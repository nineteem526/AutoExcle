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nsghlijin\.copilot\chats\2026-09-28\special-invention-733a1c89\"/>
    </mc:Choice>
  </mc:AlternateContent>
  <xr:revisionPtr revIDLastSave="0" documentId="13_ncr:1_{934D88A7-7C97-48D5-B8B7-BC4CF7FB782D}" xr6:coauthVersionLast="47" xr6:coauthVersionMax="47" xr10:uidLastSave="{00000000-0000-0000-0000-000000000000}"/>
  <bookViews>
    <workbookView xWindow="-108" yWindow="-108" windowWidth="23256" windowHeight="12456" firstSheet="3" activeTab="3" xr2:uid="{F656C8EE-C213-471B-9E2F-0C89C14FC673}"/>
  </bookViews>
  <sheets>
    <sheet name="_V7Batches" sheetId="21" state="hidden" r:id="rId1"/>
    <sheet name="_V7Map" sheetId="22" state="veryHidden" r:id="rId2"/>
    <sheet name="_V7Snapshot" sheetId="23" state="veryHidden" r:id="rId3"/>
    <sheet name="Shipping Program" sheetId="7" r:id="rId4"/>
    <sheet name="Summary overview list" sheetId="16" r:id="rId5"/>
    <sheet name="Detail Shipping planning" sheetId="10" r:id="rId6"/>
    <sheet name="批量恢复结果" sheetId="24" state="hidden" r:id="rId7"/>
    <sheet name="Sheet1" sheetId="18" state="hidden" r:id="rId8"/>
    <sheet name="_PlantSnapshot" sheetId="19" state="veryHidden" r:id="rId9"/>
    <sheet name="_ImportUI" sheetId="20" state="veryHidden" r:id="rId10"/>
    <sheet name="_V19Layout" sheetId="25" state="veryHidden" r:id="rId11"/>
    <sheet name="_V21Templates" sheetId="26" state="veryHidden" r:id="rId12"/>
    <sheet name="待处理事项" sheetId="27" state="hidden" r:id="rId13"/>
  </sheets>
  <functionGroups builtInGroupCount="19"/>
  <definedNames>
    <definedName name="_xlnm._FilterDatabase" localSheetId="5" hidden="1">'Detail Shipping planning'!$A$2:$AG$343</definedName>
    <definedName name="_xlnm._FilterDatabase" localSheetId="12" hidden="1">待处理事项!$A$4:$I$447</definedName>
    <definedName name="_xlnm._FilterDatabase" localSheetId="6" hidden="1">批量恢复结果!$A$4:$H$293</definedName>
    <definedName name="_SPV_Areas" hidden="1">'Detail Shipping planning'!$F$3:$F$343</definedName>
    <definedName name="_SPV_Items" hidden="1">'Detail Shipping planning'!$G$3:$G$343</definedName>
    <definedName name="_SPV_Orders" hidden="1">'Detail Shipping planning'!$P$3:$P$343</definedName>
    <definedName name="PlantList">Sheet1!$A$2:$A$61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0" l="1"/>
  <c r="B9" i="10"/>
  <c r="B8" i="10" s="1"/>
  <c r="B7" i="10" s="1"/>
  <c r="B6" i="10" s="1"/>
  <c r="B5" i="10" s="1"/>
  <c r="B4" i="10" s="1"/>
  <c r="E4" i="10"/>
  <c r="I4" i="10"/>
  <c r="K4" i="10"/>
  <c r="I9" i="10"/>
  <c r="AH4" i="10"/>
  <c r="A5" i="10"/>
  <c r="E5" i="10"/>
  <c r="I5" i="10"/>
  <c r="K5" i="10"/>
  <c r="AH5" i="10"/>
  <c r="A6" i="10"/>
  <c r="E6" i="10"/>
  <c r="I6" i="10"/>
  <c r="K6" i="10"/>
  <c r="AH6" i="10"/>
  <c r="A7" i="10"/>
  <c r="E7" i="10"/>
  <c r="I7" i="10"/>
  <c r="K7" i="10"/>
  <c r="AH7" i="10"/>
  <c r="A8" i="10"/>
  <c r="E8" i="10"/>
  <c r="I8" i="10"/>
  <c r="K8" i="10"/>
  <c r="AH8" i="10"/>
  <c r="A9" i="10"/>
  <c r="E9" i="10"/>
  <c r="K9" i="10"/>
  <c r="AH9" i="10"/>
  <c r="A10" i="10"/>
  <c r="K10" i="10" s="1"/>
  <c r="I11" i="10"/>
  <c r="I12" i="10"/>
  <c r="I13" i="10"/>
  <c r="I14" i="10"/>
  <c r="K11" i="10"/>
  <c r="K12" i="10"/>
  <c r="K13" i="10"/>
  <c r="K14" i="10"/>
  <c r="K15" i="10"/>
  <c r="K16" i="10"/>
  <c r="K17" i="10"/>
  <c r="K18" i="10"/>
  <c r="A19" i="10"/>
  <c r="K19" i="10" s="1"/>
  <c r="A11" i="10"/>
  <c r="A12" i="10"/>
  <c r="A13" i="10"/>
  <c r="A14" i="10"/>
  <c r="A15" i="10"/>
  <c r="A16" i="10"/>
  <c r="A17" i="10"/>
  <c r="A18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A33" i="10"/>
  <c r="A20" i="10"/>
  <c r="A21" i="10"/>
  <c r="A22" i="10"/>
  <c r="A23" i="10"/>
  <c r="A24" i="10"/>
  <c r="A25" i="10"/>
  <c r="A26" i="10"/>
  <c r="A27" i="10"/>
  <c r="K33" i="10" s="1"/>
  <c r="A28" i="10"/>
  <c r="A29" i="10"/>
  <c r="A30" i="10"/>
  <c r="A31" i="10"/>
  <c r="A32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A48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A68" i="10"/>
  <c r="K68" i="10" s="1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K69" i="10"/>
  <c r="K70" i="10"/>
  <c r="K71" i="10"/>
  <c r="K72" i="10"/>
  <c r="K73" i="10"/>
  <c r="K74" i="10"/>
  <c r="K75" i="10"/>
  <c r="K76" i="10"/>
  <c r="K77" i="10"/>
  <c r="K78" i="10"/>
  <c r="K79" i="10"/>
  <c r="A80" i="10"/>
  <c r="K80" i="10" s="1"/>
  <c r="A69" i="10"/>
  <c r="A70" i="10"/>
  <c r="A71" i="10"/>
  <c r="A72" i="10"/>
  <c r="A73" i="10"/>
  <c r="A74" i="10"/>
  <c r="A75" i="10"/>
  <c r="A76" i="10"/>
  <c r="A77" i="10"/>
  <c r="A78" i="10"/>
  <c r="A79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A97" i="10"/>
  <c r="A81" i="10"/>
  <c r="A82" i="10"/>
  <c r="A83" i="10"/>
  <c r="K97" i="10" s="1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A122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A147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K147" i="10" s="1"/>
  <c r="A138" i="10"/>
  <c r="A139" i="10"/>
  <c r="A140" i="10"/>
  <c r="A141" i="10"/>
  <c r="A142" i="10"/>
  <c r="A143" i="10"/>
  <c r="A144" i="10"/>
  <c r="A145" i="10"/>
  <c r="A146" i="10"/>
  <c r="K148" i="10"/>
  <c r="K149" i="10"/>
  <c r="K150" i="10"/>
  <c r="K151" i="10"/>
  <c r="K152" i="10"/>
  <c r="K153" i="10"/>
  <c r="A154" i="10"/>
  <c r="K154" i="10" s="1"/>
  <c r="A148" i="10"/>
  <c r="A149" i="10"/>
  <c r="A150" i="10"/>
  <c r="A151" i="10"/>
  <c r="A152" i="10"/>
  <c r="A153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A171" i="10"/>
  <c r="K171" i="10" s="1"/>
  <c r="A155" i="10"/>
  <c r="A156" i="10"/>
  <c r="A157" i="10"/>
  <c r="A158" i="10"/>
  <c r="A159" i="10"/>
  <c r="A160" i="10"/>
  <c r="A161" i="10"/>
  <c r="A162" i="10"/>
  <c r="K192" i="10" s="1"/>
  <c r="A163" i="10"/>
  <c r="A164" i="10"/>
  <c r="A165" i="10"/>
  <c r="A166" i="10"/>
  <c r="A167" i="10"/>
  <c r="A168" i="10"/>
  <c r="A169" i="10"/>
  <c r="A170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A192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K203" i="10" s="1"/>
  <c r="A190" i="10"/>
  <c r="A191" i="10"/>
  <c r="K193" i="10"/>
  <c r="K194" i="10"/>
  <c r="K195" i="10"/>
  <c r="K196" i="10"/>
  <c r="K197" i="10"/>
  <c r="K198" i="10"/>
  <c r="K199" i="10"/>
  <c r="K200" i="10"/>
  <c r="K201" i="10"/>
  <c r="K202" i="10"/>
  <c r="A203" i="10"/>
  <c r="A193" i="10"/>
  <c r="A194" i="10"/>
  <c r="A195" i="10"/>
  <c r="A196" i="10"/>
  <c r="A197" i="10"/>
  <c r="A198" i="10"/>
  <c r="A199" i="10"/>
  <c r="A200" i="10"/>
  <c r="A201" i="10"/>
  <c r="A202" i="10"/>
  <c r="K204" i="10"/>
  <c r="K205" i="10"/>
  <c r="K206" i="10"/>
  <c r="K207" i="10"/>
  <c r="K208" i="10"/>
  <c r="K209" i="10"/>
  <c r="A210" i="10"/>
  <c r="K210" i="10" s="1"/>
  <c r="A204" i="10"/>
  <c r="A205" i="10"/>
  <c r="A206" i="10"/>
  <c r="A207" i="10"/>
  <c r="A208" i="10"/>
  <c r="A209" i="10"/>
  <c r="K211" i="10"/>
  <c r="K212" i="10"/>
  <c r="A213" i="10"/>
  <c r="A211" i="10"/>
  <c r="A212" i="10"/>
  <c r="K214" i="10"/>
  <c r="K215" i="10"/>
  <c r="A216" i="10"/>
  <c r="A214" i="10"/>
  <c r="A215" i="10"/>
  <c r="K217" i="10"/>
  <c r="K218" i="10"/>
  <c r="K219" i="10"/>
  <c r="K220" i="10"/>
  <c r="A221" i="10"/>
  <c r="A217" i="10"/>
  <c r="A218" i="10"/>
  <c r="A219" i="10"/>
  <c r="A220" i="10"/>
  <c r="K222" i="10"/>
  <c r="K223" i="10"/>
  <c r="K224" i="10"/>
  <c r="K225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5" i="10"/>
  <c r="K316" i="10"/>
  <c r="K317" i="10"/>
  <c r="K318" i="10"/>
  <c r="K319" i="10"/>
  <c r="K320" i="10"/>
  <c r="K321" i="10"/>
  <c r="K322" i="10"/>
  <c r="K324" i="10"/>
  <c r="K334" i="10"/>
  <c r="K340" i="10"/>
  <c r="K341" i="10"/>
  <c r="K343" i="10"/>
  <c r="I15" i="10"/>
  <c r="I16" i="10"/>
  <c r="I17" i="10"/>
  <c r="I18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9" i="10"/>
  <c r="I70" i="10"/>
  <c r="I71" i="10"/>
  <c r="I72" i="10"/>
  <c r="I73" i="10"/>
  <c r="I74" i="10"/>
  <c r="I75" i="10"/>
  <c r="I76" i="10"/>
  <c r="I77" i="10"/>
  <c r="I78" i="10"/>
  <c r="I79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8" i="10"/>
  <c r="I149" i="10"/>
  <c r="I150" i="10"/>
  <c r="I151" i="10"/>
  <c r="I152" i="10"/>
  <c r="I153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3" i="10"/>
  <c r="I194" i="10"/>
  <c r="I195" i="10"/>
  <c r="I196" i="10"/>
  <c r="I197" i="10"/>
  <c r="I198" i="10"/>
  <c r="I199" i="10"/>
  <c r="I200" i="10"/>
  <c r="I201" i="10"/>
  <c r="I202" i="10"/>
  <c r="I204" i="10"/>
  <c r="I205" i="10"/>
  <c r="I206" i="10"/>
  <c r="I207" i="10"/>
  <c r="I208" i="10"/>
  <c r="I209" i="10"/>
  <c r="I211" i="10"/>
  <c r="I212" i="10"/>
  <c r="I214" i="10"/>
  <c r="I215" i="10"/>
  <c r="I217" i="10"/>
  <c r="I218" i="10"/>
  <c r="I219" i="10"/>
  <c r="I220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AA10" i="10"/>
  <c r="AB10" i="10"/>
  <c r="AC10" i="10"/>
  <c r="B18" i="10"/>
  <c r="B17" i="10"/>
  <c r="B16" i="10" s="1"/>
  <c r="B15" i="10"/>
  <c r="B14" i="10" s="1"/>
  <c r="B13" i="10" s="1"/>
  <c r="B12" i="10" s="1"/>
  <c r="B11" i="10" s="1"/>
  <c r="E11" i="10"/>
  <c r="AH11" i="10"/>
  <c r="E12" i="10"/>
  <c r="AH12" i="10"/>
  <c r="E13" i="10"/>
  <c r="AH13" i="10"/>
  <c r="E14" i="10"/>
  <c r="AH14" i="10"/>
  <c r="E15" i="10"/>
  <c r="AH15" i="10"/>
  <c r="E16" i="10"/>
  <c r="AH16" i="10"/>
  <c r="E17" i="10"/>
  <c r="AH17" i="10"/>
  <c r="E18" i="10"/>
  <c r="AH18" i="10"/>
  <c r="L19" i="10"/>
  <c r="AA19" i="10"/>
  <c r="AB19" i="10" s="1"/>
  <c r="AC19" i="10"/>
  <c r="B32" i="10"/>
  <c r="B31" i="10"/>
  <c r="B30" i="10" s="1"/>
  <c r="B29" i="10" s="1"/>
  <c r="B28" i="10" s="1"/>
  <c r="B27" i="10" s="1"/>
  <c r="B26" i="10" s="1"/>
  <c r="B25" i="10" s="1"/>
  <c r="B24" i="10" s="1"/>
  <c r="B23" i="10" s="1"/>
  <c r="B22" i="10" s="1"/>
  <c r="B21" i="10"/>
  <c r="B20" i="10" s="1"/>
  <c r="E20" i="10"/>
  <c r="AH20" i="10"/>
  <c r="E21" i="10"/>
  <c r="AH21" i="10"/>
  <c r="E22" i="10"/>
  <c r="AH22" i="10"/>
  <c r="E23" i="10"/>
  <c r="AH23" i="10"/>
  <c r="E24" i="10"/>
  <c r="AH24" i="10"/>
  <c r="E25" i="10"/>
  <c r="AH25" i="10"/>
  <c r="E26" i="10"/>
  <c r="AH26" i="10"/>
  <c r="E27" i="10"/>
  <c r="AH27" i="10"/>
  <c r="E28" i="10"/>
  <c r="AH28" i="10"/>
  <c r="E29" i="10"/>
  <c r="AH29" i="10"/>
  <c r="E30" i="10"/>
  <c r="AH30" i="10"/>
  <c r="E31" i="10"/>
  <c r="AH31" i="10"/>
  <c r="E32" i="10"/>
  <c r="AH32" i="10"/>
  <c r="L33" i="10"/>
  <c r="AA33" i="10"/>
  <c r="AB33" i="10" s="1"/>
  <c r="AC33" i="10"/>
  <c r="B47" i="10"/>
  <c r="B46" i="10"/>
  <c r="B45" i="10" s="1"/>
  <c r="B44" i="10"/>
  <c r="B43" i="10"/>
  <c r="B42" i="10"/>
  <c r="B41" i="10" s="1"/>
  <c r="B40" i="10" s="1"/>
  <c r="B39" i="10" s="1"/>
  <c r="B38" i="10"/>
  <c r="B37" i="10" s="1"/>
  <c r="B36" i="10" s="1"/>
  <c r="B35" i="10" s="1"/>
  <c r="B34" i="10" s="1"/>
  <c r="E34" i="10"/>
  <c r="AH34" i="10"/>
  <c r="E35" i="10"/>
  <c r="AH35" i="10"/>
  <c r="E36" i="10"/>
  <c r="AH36" i="10"/>
  <c r="E37" i="10"/>
  <c r="AH37" i="10"/>
  <c r="E38" i="10"/>
  <c r="AH38" i="10"/>
  <c r="E39" i="10"/>
  <c r="AH39" i="10"/>
  <c r="E40" i="10"/>
  <c r="AH40" i="10"/>
  <c r="E41" i="10"/>
  <c r="AH41" i="10"/>
  <c r="E42" i="10"/>
  <c r="AH42" i="10"/>
  <c r="E43" i="10"/>
  <c r="AH43" i="10"/>
  <c r="E44" i="10"/>
  <c r="AH44" i="10"/>
  <c r="E45" i="10"/>
  <c r="AH45" i="10"/>
  <c r="E46" i="10"/>
  <c r="AH46" i="10"/>
  <c r="E47" i="10"/>
  <c r="AH47" i="10"/>
  <c r="L48" i="10"/>
  <c r="AA48" i="10"/>
  <c r="AB48" i="10"/>
  <c r="AC48" i="10"/>
  <c r="B67" i="10"/>
  <c r="B66" i="10"/>
  <c r="B65" i="10" s="1"/>
  <c r="B64" i="10" s="1"/>
  <c r="B63" i="10" s="1"/>
  <c r="B62" i="10" s="1"/>
  <c r="B61" i="10" s="1"/>
  <c r="B60" i="10" s="1"/>
  <c r="B59" i="10" s="1"/>
  <c r="B58" i="10" s="1"/>
  <c r="B57" i="10" s="1"/>
  <c r="B56" i="10" s="1"/>
  <c r="B55" i="10" s="1"/>
  <c r="B54" i="10" s="1"/>
  <c r="B53" i="10" s="1"/>
  <c r="B52" i="10" s="1"/>
  <c r="B51" i="10" s="1"/>
  <c r="B50" i="10" s="1"/>
  <c r="B49" i="10" s="1"/>
  <c r="E49" i="10"/>
  <c r="AH49" i="10"/>
  <c r="E50" i="10"/>
  <c r="AH50" i="10"/>
  <c r="E51" i="10"/>
  <c r="AH51" i="10"/>
  <c r="E52" i="10"/>
  <c r="AH52" i="10"/>
  <c r="E53" i="10"/>
  <c r="AH53" i="10"/>
  <c r="E54" i="10"/>
  <c r="AH54" i="10"/>
  <c r="E55" i="10"/>
  <c r="AH55" i="10"/>
  <c r="E56" i="10"/>
  <c r="AH56" i="10"/>
  <c r="E57" i="10"/>
  <c r="AH57" i="10"/>
  <c r="E58" i="10"/>
  <c r="AH58" i="10"/>
  <c r="E59" i="10"/>
  <c r="AH59" i="10"/>
  <c r="E60" i="10"/>
  <c r="AH60" i="10"/>
  <c r="E61" i="10"/>
  <c r="AH61" i="10"/>
  <c r="E62" i="10"/>
  <c r="AH62" i="10"/>
  <c r="E63" i="10"/>
  <c r="AH63" i="10"/>
  <c r="E64" i="10"/>
  <c r="AH64" i="10"/>
  <c r="E65" i="10"/>
  <c r="AH65" i="10"/>
  <c r="E66" i="10"/>
  <c r="AH66" i="10"/>
  <c r="E67" i="10"/>
  <c r="AH67" i="10"/>
  <c r="L68" i="10"/>
  <c r="AA68" i="10"/>
  <c r="AB68" i="10"/>
  <c r="AC68" i="10"/>
  <c r="B79" i="10"/>
  <c r="B78" i="10" s="1"/>
  <c r="B77" i="10" s="1"/>
  <c r="B76" i="10" s="1"/>
  <c r="B75" i="10" s="1"/>
  <c r="B74" i="10" s="1"/>
  <c r="B73" i="10" s="1"/>
  <c r="B72" i="10" s="1"/>
  <c r="B71" i="10" s="1"/>
  <c r="B70" i="10" s="1"/>
  <c r="B69" i="10" s="1"/>
  <c r="E69" i="10"/>
  <c r="AH69" i="10"/>
  <c r="E70" i="10"/>
  <c r="AH70" i="10"/>
  <c r="E71" i="10"/>
  <c r="AH71" i="10"/>
  <c r="E72" i="10"/>
  <c r="AH72" i="10"/>
  <c r="E73" i="10"/>
  <c r="AH73" i="10"/>
  <c r="E74" i="10"/>
  <c r="AH74" i="10"/>
  <c r="E75" i="10"/>
  <c r="AH75" i="10"/>
  <c r="E76" i="10"/>
  <c r="AH76" i="10"/>
  <c r="E77" i="10"/>
  <c r="AH77" i="10"/>
  <c r="E78" i="10"/>
  <c r="AH78" i="10"/>
  <c r="E79" i="10"/>
  <c r="AH79" i="10"/>
  <c r="L80" i="10"/>
  <c r="AA80" i="10"/>
  <c r="AB80" i="10"/>
  <c r="AC80" i="10"/>
  <c r="B96" i="10"/>
  <c r="B95" i="10" s="1"/>
  <c r="B94" i="10" s="1"/>
  <c r="B93" i="10"/>
  <c r="B92" i="10" s="1"/>
  <c r="B91" i="10" s="1"/>
  <c r="B90" i="10" s="1"/>
  <c r="B89" i="10" s="1"/>
  <c r="B88" i="10" s="1"/>
  <c r="B87" i="10" s="1"/>
  <c r="B86" i="10" s="1"/>
  <c r="B85" i="10" s="1"/>
  <c r="B84" i="10" s="1"/>
  <c r="B83" i="10" s="1"/>
  <c r="B82" i="10" s="1"/>
  <c r="B81" i="10" s="1"/>
  <c r="E81" i="10"/>
  <c r="AH81" i="10"/>
  <c r="E82" i="10"/>
  <c r="AH82" i="10"/>
  <c r="E83" i="10"/>
  <c r="AH83" i="10"/>
  <c r="E84" i="10"/>
  <c r="AH84" i="10"/>
  <c r="E85" i="10"/>
  <c r="AH85" i="10"/>
  <c r="E86" i="10"/>
  <c r="AH86" i="10"/>
  <c r="E87" i="10"/>
  <c r="AH87" i="10"/>
  <c r="E88" i="10"/>
  <c r="AH88" i="10"/>
  <c r="E89" i="10"/>
  <c r="AH89" i="10"/>
  <c r="E90" i="10"/>
  <c r="AH90" i="10"/>
  <c r="E91" i="10"/>
  <c r="AH91" i="10"/>
  <c r="E92" i="10"/>
  <c r="AH92" i="10"/>
  <c r="E93" i="10"/>
  <c r="AH93" i="10"/>
  <c r="E94" i="10"/>
  <c r="AH94" i="10"/>
  <c r="E95" i="10"/>
  <c r="AH95" i="10"/>
  <c r="E96" i="10"/>
  <c r="AH96" i="10"/>
  <c r="L97" i="10"/>
  <c r="AA97" i="10"/>
  <c r="AB97" i="10"/>
  <c r="AC97" i="10"/>
  <c r="B121" i="10"/>
  <c r="B120" i="10"/>
  <c r="B119" i="10"/>
  <c r="B118" i="10"/>
  <c r="B117" i="10"/>
  <c r="B116" i="10" s="1"/>
  <c r="B115" i="10" s="1"/>
  <c r="B114" i="10" s="1"/>
  <c r="B113" i="10" s="1"/>
  <c r="B112" i="10" s="1"/>
  <c r="B111" i="10" s="1"/>
  <c r="B110" i="10" s="1"/>
  <c r="B109" i="10" s="1"/>
  <c r="B108" i="10" s="1"/>
  <c r="B107" i="10" s="1"/>
  <c r="B106" i="10" s="1"/>
  <c r="B105" i="10" s="1"/>
  <c r="B104" i="10" s="1"/>
  <c r="B103" i="10" s="1"/>
  <c r="B102" i="10" s="1"/>
  <c r="B101" i="10" s="1"/>
  <c r="B100" i="10" s="1"/>
  <c r="B99" i="10"/>
  <c r="B98" i="10" s="1"/>
  <c r="E98" i="10"/>
  <c r="AH98" i="10"/>
  <c r="E99" i="10"/>
  <c r="AH99" i="10"/>
  <c r="E100" i="10"/>
  <c r="AH100" i="10"/>
  <c r="E101" i="10"/>
  <c r="AH101" i="10"/>
  <c r="E102" i="10"/>
  <c r="AH102" i="10"/>
  <c r="E103" i="10"/>
  <c r="AH103" i="10"/>
  <c r="E104" i="10"/>
  <c r="AH104" i="10"/>
  <c r="E105" i="10"/>
  <c r="AH105" i="10"/>
  <c r="E106" i="10"/>
  <c r="AH106" i="10"/>
  <c r="E107" i="10"/>
  <c r="AH107" i="10"/>
  <c r="E108" i="10"/>
  <c r="AH108" i="10"/>
  <c r="E109" i="10"/>
  <c r="AH109" i="10"/>
  <c r="E110" i="10"/>
  <c r="AH110" i="10"/>
  <c r="E111" i="10"/>
  <c r="AH111" i="10"/>
  <c r="E112" i="10"/>
  <c r="AH112" i="10"/>
  <c r="E113" i="10"/>
  <c r="AH113" i="10"/>
  <c r="E114" i="10"/>
  <c r="AH114" i="10"/>
  <c r="E115" i="10"/>
  <c r="AH115" i="10"/>
  <c r="E116" i="10"/>
  <c r="AH116" i="10"/>
  <c r="E117" i="10"/>
  <c r="AH117" i="10"/>
  <c r="E118" i="10"/>
  <c r="AH118" i="10"/>
  <c r="E119" i="10"/>
  <c r="AH119" i="10"/>
  <c r="E120" i="10"/>
  <c r="AH120" i="10"/>
  <c r="E121" i="10"/>
  <c r="AH121" i="10"/>
  <c r="L122" i="10"/>
  <c r="AA122" i="10"/>
  <c r="AB122" i="10" s="1"/>
  <c r="AC122" i="10"/>
  <c r="B146" i="10"/>
  <c r="B145" i="10"/>
  <c r="B144" i="10" s="1"/>
  <c r="B143" i="10"/>
  <c r="B142" i="10"/>
  <c r="B141" i="10" s="1"/>
  <c r="B140" i="10" s="1"/>
  <c r="B139" i="10" s="1"/>
  <c r="B138" i="10" s="1"/>
  <c r="B137" i="10" s="1"/>
  <c r="B136" i="10" s="1"/>
  <c r="B135" i="10" s="1"/>
  <c r="B134" i="10" s="1"/>
  <c r="B133" i="10" s="1"/>
  <c r="B132" i="10" s="1"/>
  <c r="B131" i="10" s="1"/>
  <c r="B130" i="10" s="1"/>
  <c r="B129" i="10" s="1"/>
  <c r="B128" i="10" s="1"/>
  <c r="B127" i="10" s="1"/>
  <c r="B126" i="10" s="1"/>
  <c r="B125" i="10" s="1"/>
  <c r="B124" i="10" s="1"/>
  <c r="B123" i="10" s="1"/>
  <c r="E123" i="10"/>
  <c r="AH123" i="10"/>
  <c r="E124" i="10"/>
  <c r="AH124" i="10"/>
  <c r="E125" i="10"/>
  <c r="AH125" i="10"/>
  <c r="E126" i="10"/>
  <c r="AH126" i="10"/>
  <c r="E127" i="10"/>
  <c r="AH127" i="10"/>
  <c r="E128" i="10"/>
  <c r="AH128" i="10"/>
  <c r="E129" i="10"/>
  <c r="AH129" i="10"/>
  <c r="E130" i="10"/>
  <c r="AH130" i="10"/>
  <c r="E131" i="10"/>
  <c r="AH131" i="10"/>
  <c r="E132" i="10"/>
  <c r="AH132" i="10"/>
  <c r="E133" i="10"/>
  <c r="AH133" i="10"/>
  <c r="E134" i="10"/>
  <c r="AH134" i="10"/>
  <c r="E135" i="10"/>
  <c r="AH135" i="10"/>
  <c r="E136" i="10"/>
  <c r="AH136" i="10"/>
  <c r="E137" i="10"/>
  <c r="AH137" i="10"/>
  <c r="E138" i="10"/>
  <c r="AH138" i="10"/>
  <c r="E139" i="10"/>
  <c r="AH139" i="10"/>
  <c r="E140" i="10"/>
  <c r="AH140" i="10"/>
  <c r="E141" i="10"/>
  <c r="AH141" i="10"/>
  <c r="E142" i="10"/>
  <c r="AH142" i="10"/>
  <c r="E143" i="10"/>
  <c r="AH143" i="10"/>
  <c r="E144" i="10"/>
  <c r="AH144" i="10"/>
  <c r="E145" i="10"/>
  <c r="AH145" i="10"/>
  <c r="E146" i="10"/>
  <c r="AH146" i="10"/>
  <c r="L147" i="10"/>
  <c r="AA147" i="10"/>
  <c r="AB147" i="10" s="1"/>
  <c r="AC147" i="10"/>
  <c r="B153" i="10"/>
  <c r="B152" i="10"/>
  <c r="B151" i="10"/>
  <c r="B150" i="10"/>
  <c r="B149" i="10"/>
  <c r="B148" i="10" s="1"/>
  <c r="E148" i="10"/>
  <c r="AH148" i="10"/>
  <c r="E149" i="10"/>
  <c r="AH149" i="10"/>
  <c r="E150" i="10"/>
  <c r="AH150" i="10"/>
  <c r="E151" i="10"/>
  <c r="AH151" i="10"/>
  <c r="E152" i="10"/>
  <c r="AH152" i="10"/>
  <c r="E153" i="10"/>
  <c r="AH153" i="10"/>
  <c r="L154" i="10"/>
  <c r="AA154" i="10"/>
  <c r="AB154" i="10" s="1"/>
  <c r="AC154" i="10"/>
  <c r="B170" i="10"/>
  <c r="B169" i="10"/>
  <c r="B168" i="10" s="1"/>
  <c r="B167" i="10" s="1"/>
  <c r="B166" i="10"/>
  <c r="B165" i="10"/>
  <c r="B164" i="10" s="1"/>
  <c r="B163" i="10" s="1"/>
  <c r="B162" i="10" s="1"/>
  <c r="B161" i="10" s="1"/>
  <c r="B160" i="10" s="1"/>
  <c r="B159" i="10" s="1"/>
  <c r="B158" i="10" s="1"/>
  <c r="B157" i="10" s="1"/>
  <c r="B156" i="10" s="1"/>
  <c r="B155" i="10" s="1"/>
  <c r="E155" i="10"/>
  <c r="AH155" i="10"/>
  <c r="E156" i="10"/>
  <c r="AH156" i="10"/>
  <c r="E157" i="10"/>
  <c r="AH157" i="10"/>
  <c r="E158" i="10"/>
  <c r="AH158" i="10"/>
  <c r="E159" i="10"/>
  <c r="AH159" i="10"/>
  <c r="E160" i="10"/>
  <c r="AH160" i="10"/>
  <c r="E161" i="10"/>
  <c r="AH161" i="10"/>
  <c r="E162" i="10"/>
  <c r="AH162" i="10"/>
  <c r="E163" i="10"/>
  <c r="AH163" i="10"/>
  <c r="E164" i="10"/>
  <c r="AH164" i="10"/>
  <c r="E165" i="10"/>
  <c r="AH165" i="10"/>
  <c r="E166" i="10"/>
  <c r="AH166" i="10"/>
  <c r="E167" i="10"/>
  <c r="AH167" i="10"/>
  <c r="E168" i="10"/>
  <c r="AH168" i="10"/>
  <c r="E169" i="10"/>
  <c r="AH169" i="10"/>
  <c r="E170" i="10"/>
  <c r="AH170" i="10"/>
  <c r="L171" i="10"/>
  <c r="AA171" i="10"/>
  <c r="AB171" i="10"/>
  <c r="AC171" i="10"/>
  <c r="B191" i="10"/>
  <c r="B190" i="10"/>
  <c r="B189" i="10"/>
  <c r="B188" i="10" s="1"/>
  <c r="B187" i="10" s="1"/>
  <c r="B186" i="10" s="1"/>
  <c r="B185" i="10" s="1"/>
  <c r="B184" i="10" s="1"/>
  <c r="B183" i="10" s="1"/>
  <c r="B182" i="10" s="1"/>
  <c r="B181" i="10" s="1"/>
  <c r="B180" i="10" s="1"/>
  <c r="B179" i="10" s="1"/>
  <c r="B178" i="10" s="1"/>
  <c r="B177" i="10" s="1"/>
  <c r="B176" i="10" s="1"/>
  <c r="B175" i="10" s="1"/>
  <c r="B174" i="10" s="1"/>
  <c r="B173" i="10" s="1"/>
  <c r="B172" i="10" s="1"/>
  <c r="E172" i="10"/>
  <c r="AH172" i="10"/>
  <c r="E173" i="10"/>
  <c r="AH173" i="10"/>
  <c r="E174" i="10"/>
  <c r="AH174" i="10"/>
  <c r="E175" i="10"/>
  <c r="AH175" i="10"/>
  <c r="E176" i="10"/>
  <c r="AH176" i="10"/>
  <c r="E177" i="10"/>
  <c r="AH177" i="10"/>
  <c r="E178" i="10"/>
  <c r="AH178" i="10"/>
  <c r="E179" i="10"/>
  <c r="AH179" i="10"/>
  <c r="E180" i="10"/>
  <c r="AH180" i="10"/>
  <c r="E181" i="10"/>
  <c r="AH181" i="10"/>
  <c r="E182" i="10"/>
  <c r="AH182" i="10"/>
  <c r="E183" i="10"/>
  <c r="AH183" i="10"/>
  <c r="E184" i="10"/>
  <c r="AH184" i="10"/>
  <c r="E185" i="10"/>
  <c r="AH185" i="10"/>
  <c r="E186" i="10"/>
  <c r="AH186" i="10"/>
  <c r="E187" i="10"/>
  <c r="AH187" i="10"/>
  <c r="E188" i="10"/>
  <c r="AH188" i="10"/>
  <c r="E189" i="10"/>
  <c r="AH189" i="10"/>
  <c r="E190" i="10"/>
  <c r="AH190" i="10"/>
  <c r="E191" i="10"/>
  <c r="AH191" i="10"/>
  <c r="L192" i="10"/>
  <c r="AA192" i="10"/>
  <c r="AB192" i="10" s="1"/>
  <c r="AC192" i="10"/>
  <c r="B202" i="10"/>
  <c r="B201" i="10"/>
  <c r="B200" i="10" s="1"/>
  <c r="B199" i="10" s="1"/>
  <c r="B198" i="10"/>
  <c r="B197" i="10" s="1"/>
  <c r="B196" i="10" s="1"/>
  <c r="B195" i="10" s="1"/>
  <c r="B194" i="10" s="1"/>
  <c r="B193" i="10" s="1"/>
  <c r="E193" i="10"/>
  <c r="AH193" i="10"/>
  <c r="E194" i="10"/>
  <c r="AH194" i="10"/>
  <c r="E195" i="10"/>
  <c r="AH195" i="10"/>
  <c r="E196" i="10"/>
  <c r="AH196" i="10"/>
  <c r="E197" i="10"/>
  <c r="AH197" i="10"/>
  <c r="E198" i="10"/>
  <c r="AH198" i="10"/>
  <c r="E199" i="10"/>
  <c r="AH199" i="10"/>
  <c r="E200" i="10"/>
  <c r="AH200" i="10"/>
  <c r="E201" i="10"/>
  <c r="AH201" i="10"/>
  <c r="E202" i="10"/>
  <c r="AH202" i="10"/>
  <c r="L203" i="10"/>
  <c r="AA203" i="10"/>
  <c r="AB203" i="10" s="1"/>
  <c r="AC203" i="10"/>
  <c r="B209" i="10"/>
  <c r="B208" i="10"/>
  <c r="B207" i="10"/>
  <c r="B206" i="10"/>
  <c r="B205" i="10" s="1"/>
  <c r="B204" i="10" s="1"/>
  <c r="E204" i="10"/>
  <c r="AH204" i="10"/>
  <c r="E205" i="10"/>
  <c r="AH205" i="10"/>
  <c r="E206" i="10"/>
  <c r="AH206" i="10"/>
  <c r="E207" i="10"/>
  <c r="AH207" i="10"/>
  <c r="E208" i="10"/>
  <c r="AH208" i="10"/>
  <c r="E209" i="10"/>
  <c r="AH209" i="10"/>
  <c r="L210" i="10"/>
  <c r="AA210" i="10"/>
  <c r="AB210" i="10" s="1"/>
  <c r="AC210" i="10"/>
  <c r="B212" i="10"/>
  <c r="B211" i="10" s="1"/>
  <c r="E211" i="10"/>
  <c r="AH211" i="10"/>
  <c r="E212" i="10"/>
  <c r="AH212" i="10"/>
  <c r="L213" i="10"/>
  <c r="AA213" i="10"/>
  <c r="AB213" i="10" s="1"/>
  <c r="AC213" i="10"/>
  <c r="B215" i="10"/>
  <c r="B214" i="10" s="1"/>
  <c r="E214" i="10"/>
  <c r="AH214" i="10"/>
  <c r="E215" i="10"/>
  <c r="AH215" i="10"/>
  <c r="AA216" i="10"/>
  <c r="AB216" i="10" s="1"/>
  <c r="AC216" i="10"/>
  <c r="B220" i="10"/>
  <c r="B219" i="10"/>
  <c r="B218" i="10"/>
  <c r="B217" i="10"/>
  <c r="E217" i="10"/>
  <c r="AH217" i="10"/>
  <c r="E218" i="10"/>
  <c r="AH218" i="10"/>
  <c r="E219" i="10"/>
  <c r="AH219" i="10"/>
  <c r="E220" i="10"/>
  <c r="AH220" i="10"/>
  <c r="L221" i="10"/>
  <c r="AA221" i="10"/>
  <c r="AB221" i="10" s="1"/>
  <c r="AC221" i="10"/>
  <c r="A222" i="10"/>
  <c r="B309" i="10"/>
  <c r="B308" i="10"/>
  <c r="B307" i="10"/>
  <c r="B306" i="10"/>
  <c r="B305" i="10" s="1"/>
  <c r="B304" i="10" s="1"/>
  <c r="B303" i="10" s="1"/>
  <c r="B302" i="10" s="1"/>
  <c r="B301" i="10" s="1"/>
  <c r="B300" i="10" s="1"/>
  <c r="B299" i="10" s="1"/>
  <c r="B298" i="10"/>
  <c r="B297" i="10" s="1"/>
  <c r="B296" i="10" s="1"/>
  <c r="B295" i="10" s="1"/>
  <c r="B294" i="10" s="1"/>
  <c r="B293" i="10" s="1"/>
  <c r="B292" i="10" s="1"/>
  <c r="B291" i="10" s="1"/>
  <c r="B290" i="10" s="1"/>
  <c r="B289" i="10" s="1"/>
  <c r="B288" i="10" s="1"/>
  <c r="B287" i="10" s="1"/>
  <c r="B286" i="10" s="1"/>
  <c r="B285" i="10" s="1"/>
  <c r="B284" i="10" s="1"/>
  <c r="B283" i="10" s="1"/>
  <c r="B282" i="10" s="1"/>
  <c r="B281" i="10" s="1"/>
  <c r="B280" i="10" s="1"/>
  <c r="B279" i="10" s="1"/>
  <c r="B278" i="10" s="1"/>
  <c r="B277" i="10" s="1"/>
  <c r="B276" i="10" s="1"/>
  <c r="B275" i="10" s="1"/>
  <c r="B274" i="10" s="1"/>
  <c r="B273" i="10" s="1"/>
  <c r="B272" i="10" s="1"/>
  <c r="B271" i="10" s="1"/>
  <c r="B270" i="10" s="1"/>
  <c r="B269" i="10" s="1"/>
  <c r="B268" i="10" s="1"/>
  <c r="B267" i="10" s="1"/>
  <c r="B266" i="10" s="1"/>
  <c r="B265" i="10" s="1"/>
  <c r="B264" i="10" s="1"/>
  <c r="B263" i="10" s="1"/>
  <c r="B262" i="10" s="1"/>
  <c r="B261" i="10" s="1"/>
  <c r="B260" i="10" s="1"/>
  <c r="B259" i="10" s="1"/>
  <c r="B258" i="10" s="1"/>
  <c r="B257" i="10" s="1"/>
  <c r="B256" i="10" s="1"/>
  <c r="B255" i="10" s="1"/>
  <c r="B254" i="10" s="1"/>
  <c r="B253" i="10" s="1"/>
  <c r="B252" i="10" s="1"/>
  <c r="B251" i="10" s="1"/>
  <c r="B250" i="10" s="1"/>
  <c r="B249" i="10" s="1"/>
  <c r="B248" i="10" s="1"/>
  <c r="B247" i="10" s="1"/>
  <c r="B246" i="10" s="1"/>
  <c r="B245" i="10" s="1"/>
  <c r="B244" i="10" s="1"/>
  <c r="B243" i="10" s="1"/>
  <c r="B242" i="10" s="1"/>
  <c r="B241" i="10" s="1"/>
  <c r="B240" i="10" s="1"/>
  <c r="B239" i="10" s="1"/>
  <c r="B238" i="10" s="1"/>
  <c r="B237" i="10" s="1"/>
  <c r="B236" i="10" s="1"/>
  <c r="B235" i="10" s="1"/>
  <c r="B234" i="10" s="1"/>
  <c r="B233" i="10" s="1"/>
  <c r="B232" i="10" s="1"/>
  <c r="B231" i="10" s="1"/>
  <c r="B230" i="10" s="1"/>
  <c r="B229" i="10" s="1"/>
  <c r="B228" i="10" s="1"/>
  <c r="B227" i="10" s="1"/>
  <c r="B226" i="10" s="1"/>
  <c r="B225" i="10" s="1"/>
  <c r="B224" i="10" s="1"/>
  <c r="B223" i="10" s="1"/>
  <c r="B222" i="10" s="1"/>
  <c r="E222" i="10"/>
  <c r="AH222" i="10"/>
  <c r="A223" i="10"/>
  <c r="E223" i="10"/>
  <c r="AH223" i="10"/>
  <c r="A224" i="10"/>
  <c r="E224" i="10"/>
  <c r="AH224" i="10"/>
  <c r="A225" i="10"/>
  <c r="E225" i="10"/>
  <c r="AH225" i="10"/>
  <c r="A226" i="10"/>
  <c r="E226" i="10"/>
  <c r="AH226" i="10"/>
  <c r="A227" i="10"/>
  <c r="E227" i="10"/>
  <c r="AH227" i="10"/>
  <c r="A228" i="10"/>
  <c r="E228" i="10"/>
  <c r="AH228" i="10"/>
  <c r="A229" i="10"/>
  <c r="E229" i="10"/>
  <c r="AH229" i="10"/>
  <c r="A230" i="10"/>
  <c r="E230" i="10"/>
  <c r="AH230" i="10"/>
  <c r="A231" i="10"/>
  <c r="E231" i="10"/>
  <c r="AH231" i="10"/>
  <c r="A232" i="10"/>
  <c r="E232" i="10"/>
  <c r="AH232" i="10"/>
  <c r="A233" i="10"/>
  <c r="E233" i="10"/>
  <c r="AH233" i="10"/>
  <c r="A234" i="10"/>
  <c r="E234" i="10"/>
  <c r="AH234" i="10"/>
  <c r="A235" i="10"/>
  <c r="E235" i="10"/>
  <c r="AH235" i="10"/>
  <c r="A236" i="10"/>
  <c r="E236" i="10"/>
  <c r="AH236" i="10"/>
  <c r="A237" i="10"/>
  <c r="E237" i="10"/>
  <c r="AH237" i="10"/>
  <c r="A238" i="10"/>
  <c r="E238" i="10"/>
  <c r="AH238" i="10"/>
  <c r="A239" i="10"/>
  <c r="E239" i="10"/>
  <c r="AH239" i="10"/>
  <c r="A240" i="10"/>
  <c r="E240" i="10"/>
  <c r="AH240" i="10"/>
  <c r="A241" i="10"/>
  <c r="E241" i="10"/>
  <c r="AH241" i="10"/>
  <c r="A242" i="10"/>
  <c r="E242" i="10"/>
  <c r="AH242" i="10"/>
  <c r="A243" i="10"/>
  <c r="E243" i="10"/>
  <c r="AH243" i="10"/>
  <c r="A244" i="10"/>
  <c r="E244" i="10"/>
  <c r="AH244" i="10"/>
  <c r="A245" i="10"/>
  <c r="E245" i="10"/>
  <c r="AH245" i="10"/>
  <c r="A246" i="10"/>
  <c r="E246" i="10"/>
  <c r="AH246" i="10"/>
  <c r="A247" i="10"/>
  <c r="E247" i="10"/>
  <c r="AH247" i="10"/>
  <c r="A248" i="10"/>
  <c r="E248" i="10"/>
  <c r="AH248" i="10"/>
  <c r="A249" i="10"/>
  <c r="E249" i="10"/>
  <c r="AH249" i="10"/>
  <c r="A250" i="10"/>
  <c r="E250" i="10"/>
  <c r="AH250" i="10"/>
  <c r="A251" i="10"/>
  <c r="E251" i="10"/>
  <c r="AH251" i="10"/>
  <c r="A252" i="10"/>
  <c r="E252" i="10"/>
  <c r="AH252" i="10"/>
  <c r="A253" i="10"/>
  <c r="E253" i="10"/>
  <c r="AH253" i="10"/>
  <c r="A254" i="10"/>
  <c r="E254" i="10"/>
  <c r="AH254" i="10"/>
  <c r="A255" i="10"/>
  <c r="E255" i="10"/>
  <c r="AH255" i="10"/>
  <c r="A256" i="10"/>
  <c r="E256" i="10"/>
  <c r="AH256" i="10"/>
  <c r="A257" i="10"/>
  <c r="E257" i="10"/>
  <c r="AH257" i="10"/>
  <c r="A258" i="10"/>
  <c r="E258" i="10"/>
  <c r="AH258" i="10"/>
  <c r="A259" i="10"/>
  <c r="E259" i="10"/>
  <c r="AH259" i="10"/>
  <c r="A260" i="10"/>
  <c r="E260" i="10"/>
  <c r="AH260" i="10"/>
  <c r="A261" i="10"/>
  <c r="E261" i="10"/>
  <c r="AH261" i="10"/>
  <c r="A262" i="10"/>
  <c r="E262" i="10"/>
  <c r="AH262" i="10"/>
  <c r="A263" i="10"/>
  <c r="E263" i="10"/>
  <c r="AH263" i="10"/>
  <c r="A264" i="10"/>
  <c r="E264" i="10"/>
  <c r="AH264" i="10"/>
  <c r="A265" i="10"/>
  <c r="E265" i="10"/>
  <c r="AH265" i="10"/>
  <c r="A266" i="10"/>
  <c r="E266" i="10"/>
  <c r="AH266" i="10"/>
  <c r="A267" i="10"/>
  <c r="E267" i="10"/>
  <c r="AH267" i="10"/>
  <c r="A268" i="10"/>
  <c r="E268" i="10"/>
  <c r="AH268" i="10"/>
  <c r="A269" i="10"/>
  <c r="E269" i="10"/>
  <c r="AH269" i="10"/>
  <c r="A270" i="10"/>
  <c r="E270" i="10"/>
  <c r="AH270" i="10"/>
  <c r="A271" i="10"/>
  <c r="E271" i="10"/>
  <c r="AH271" i="10"/>
  <c r="A272" i="10"/>
  <c r="E272" i="10"/>
  <c r="AH272" i="10"/>
  <c r="A273" i="10"/>
  <c r="E273" i="10"/>
  <c r="AH273" i="10"/>
  <c r="A274" i="10"/>
  <c r="E274" i="10"/>
  <c r="AH274" i="10"/>
  <c r="A275" i="10"/>
  <c r="E275" i="10"/>
  <c r="AH275" i="10"/>
  <c r="A276" i="10"/>
  <c r="E276" i="10"/>
  <c r="AH276" i="10"/>
  <c r="A277" i="10"/>
  <c r="E277" i="10"/>
  <c r="AH277" i="10"/>
  <c r="A278" i="10"/>
  <c r="E278" i="10"/>
  <c r="AH278" i="10"/>
  <c r="A279" i="10"/>
  <c r="E279" i="10"/>
  <c r="AH279" i="10"/>
  <c r="A280" i="10"/>
  <c r="E280" i="10"/>
  <c r="AH280" i="10"/>
  <c r="A281" i="10"/>
  <c r="E281" i="10"/>
  <c r="AH281" i="10"/>
  <c r="A282" i="10"/>
  <c r="E282" i="10"/>
  <c r="AH282" i="10"/>
  <c r="A283" i="10"/>
  <c r="E283" i="10"/>
  <c r="AH283" i="10"/>
  <c r="A284" i="10"/>
  <c r="AH284" i="10"/>
  <c r="A285" i="10"/>
  <c r="E285" i="10"/>
  <c r="AH285" i="10"/>
  <c r="A286" i="10"/>
  <c r="E286" i="10"/>
  <c r="AH286" i="10"/>
  <c r="A287" i="10"/>
  <c r="E287" i="10"/>
  <c r="AH287" i="10"/>
  <c r="A288" i="10"/>
  <c r="E288" i="10"/>
  <c r="AH288" i="10"/>
  <c r="A289" i="10"/>
  <c r="E289" i="10"/>
  <c r="AH289" i="10"/>
  <c r="A290" i="10"/>
  <c r="E290" i="10"/>
  <c r="AH290" i="10"/>
  <c r="A291" i="10"/>
  <c r="E291" i="10"/>
  <c r="AH291" i="10"/>
  <c r="A292" i="10"/>
  <c r="E292" i="10"/>
  <c r="AH292" i="10"/>
  <c r="A293" i="10"/>
  <c r="E293" i="10"/>
  <c r="AH293" i="10"/>
  <c r="A294" i="10"/>
  <c r="AH294" i="10"/>
  <c r="A295" i="10"/>
  <c r="AH295" i="10"/>
  <c r="A296" i="10"/>
  <c r="AH296" i="10"/>
  <c r="A297" i="10"/>
  <c r="AH297" i="10"/>
  <c r="A298" i="10"/>
  <c r="AH298" i="10"/>
  <c r="A299" i="10"/>
  <c r="AH299" i="10"/>
  <c r="A300" i="10"/>
  <c r="AH300" i="10"/>
  <c r="A301" i="10"/>
  <c r="AH301" i="10"/>
  <c r="A302" i="10"/>
  <c r="AH302" i="10"/>
  <c r="A303" i="10"/>
  <c r="AH303" i="10"/>
  <c r="A304" i="10"/>
  <c r="AH304" i="10"/>
  <c r="A305" i="10"/>
  <c r="AH305" i="10"/>
  <c r="A306" i="10"/>
  <c r="E306" i="10"/>
  <c r="AH306" i="10"/>
  <c r="A307" i="10"/>
  <c r="E307" i="10"/>
  <c r="AH307" i="10"/>
  <c r="A308" i="10"/>
  <c r="E308" i="10"/>
  <c r="AH308" i="10"/>
  <c r="A309" i="10"/>
  <c r="E309" i="10"/>
  <c r="AH309" i="10"/>
  <c r="AH310" i="10"/>
  <c r="AH311" i="10"/>
  <c r="AH312" i="10"/>
  <c r="AH313" i="10"/>
  <c r="AH315" i="10"/>
  <c r="AH316" i="10"/>
  <c r="AH317" i="10"/>
  <c r="AH318" i="10"/>
  <c r="AH319" i="10"/>
  <c r="AH320" i="10"/>
  <c r="AH321" i="10"/>
  <c r="AH322" i="10"/>
  <c r="AH324" i="10"/>
  <c r="AH334" i="10"/>
  <c r="AH340" i="10"/>
  <c r="AH341" i="10"/>
  <c r="AH343" i="10"/>
  <c r="A32" i="7"/>
  <c r="C32" i="7" s="1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A33" i="7" l="1"/>
  <c r="B2" i="21"/>
  <c r="E32" i="7"/>
  <c r="K216" i="10"/>
  <c r="L216" i="10"/>
  <c r="K221" i="10"/>
  <c r="K213" i="10"/>
  <c r="K48" i="10"/>
  <c r="K344" i="10" s="1"/>
  <c r="T344" i="10" s="1" a="1"/>
  <c r="T344" i="10" s="1"/>
  <c r="L10" i="10"/>
  <c r="L344" i="10" s="1"/>
  <c r="C2" i="21" l="1"/>
  <c r="C4" i="16"/>
  <c r="F32" i="7"/>
  <c r="E2" i="21" s="1"/>
  <c r="C5" i="16" s="1"/>
  <c r="D2" i="21"/>
  <c r="A34" i="7"/>
  <c r="C33" i="7"/>
  <c r="E33" i="7"/>
  <c r="B3" i="21"/>
  <c r="F33" i="7" l="1"/>
  <c r="E3" i="21" s="1"/>
  <c r="D5" i="16" s="1"/>
  <c r="D3" i="21"/>
  <c r="D4" i="16"/>
  <c r="C3" i="21"/>
  <c r="E34" i="7"/>
  <c r="C34" i="7"/>
  <c r="B4" i="21"/>
  <c r="A35" i="7"/>
  <c r="F34" i="7" l="1"/>
  <c r="E4" i="21" s="1"/>
  <c r="E5" i="16" s="1"/>
  <c r="D4" i="21"/>
  <c r="E35" i="7"/>
  <c r="A36" i="7"/>
  <c r="C35" i="7"/>
  <c r="B5" i="21"/>
  <c r="E4" i="16"/>
  <c r="C4" i="21"/>
  <c r="C5" i="21" l="1"/>
  <c r="F4" i="16"/>
  <c r="A37" i="7"/>
  <c r="B6" i="21"/>
  <c r="C36" i="7"/>
  <c r="E36" i="7"/>
  <c r="D5" i="21"/>
  <c r="F35" i="7"/>
  <c r="E5" i="21" s="1"/>
  <c r="F5" i="16" s="1"/>
  <c r="D6" i="21" l="1"/>
  <c r="F36" i="7"/>
  <c r="E6" i="21" s="1"/>
  <c r="G5" i="16" s="1"/>
  <c r="G4" i="16"/>
  <c r="C6" i="21"/>
  <c r="C37" i="7"/>
  <c r="E37" i="7"/>
  <c r="A38" i="7"/>
  <c r="B7" i="21"/>
  <c r="C7" i="21" l="1"/>
  <c r="H4" i="16"/>
  <c r="E38" i="7"/>
  <c r="C38" i="7"/>
  <c r="A39" i="7"/>
  <c r="B8" i="21"/>
  <c r="D7" i="21"/>
  <c r="F37" i="7"/>
  <c r="E7" i="21" s="1"/>
  <c r="H5" i="16" s="1"/>
  <c r="C8" i="21" l="1"/>
  <c r="I4" i="16"/>
  <c r="E39" i="7"/>
  <c r="C39" i="7"/>
  <c r="A40" i="7"/>
  <c r="B9" i="21"/>
  <c r="F38" i="7"/>
  <c r="E8" i="21" s="1"/>
  <c r="I5" i="16" s="1"/>
  <c r="D8" i="21"/>
  <c r="C40" i="7" l="1"/>
  <c r="E40" i="7"/>
  <c r="B10" i="21"/>
  <c r="A41" i="7"/>
  <c r="C9" i="21"/>
  <c r="J4" i="16"/>
  <c r="D9" i="21"/>
  <c r="F39" i="7"/>
  <c r="E9" i="21" s="1"/>
  <c r="J5" i="16" s="1"/>
  <c r="F40" i="7" l="1"/>
  <c r="E10" i="21" s="1"/>
  <c r="K5" i="16" s="1"/>
  <c r="D10" i="21"/>
  <c r="A42" i="7"/>
  <c r="C41" i="7"/>
  <c r="E41" i="7"/>
  <c r="B11" i="21"/>
  <c r="C10" i="21"/>
  <c r="K4" i="16"/>
  <c r="E42" i="7" l="1"/>
  <c r="C42" i="7"/>
  <c r="B12" i="21"/>
  <c r="A43" i="7"/>
  <c r="F41" i="7"/>
  <c r="E11" i="21" s="1"/>
  <c r="L5" i="16" s="1"/>
  <c r="D11" i="21"/>
  <c r="C11" i="21"/>
  <c r="L4" i="16"/>
  <c r="E43" i="7" l="1"/>
  <c r="A44" i="7"/>
  <c r="B13" i="21"/>
  <c r="C43" i="7"/>
  <c r="M4" i="16"/>
  <c r="C12" i="21"/>
  <c r="D12" i="21"/>
  <c r="F42" i="7"/>
  <c r="E12" i="21" s="1"/>
  <c r="M5" i="16" s="1"/>
  <c r="A45" i="7" l="1"/>
  <c r="B14" i="21"/>
  <c r="C44" i="7"/>
  <c r="E44" i="7"/>
  <c r="C13" i="21"/>
  <c r="N4" i="16"/>
  <c r="D13" i="21"/>
  <c r="F43" i="7"/>
  <c r="E13" i="21" s="1"/>
  <c r="N5" i="16" s="1"/>
  <c r="D14" i="21" l="1"/>
  <c r="F44" i="7"/>
  <c r="E14" i="21" s="1"/>
  <c r="O5" i="16" s="1"/>
  <c r="C45" i="7"/>
  <c r="E45" i="7"/>
  <c r="A46" i="7"/>
  <c r="B15" i="21"/>
  <c r="O4" i="16"/>
  <c r="C14" i="21"/>
  <c r="E46" i="7" l="1"/>
  <c r="A47" i="7"/>
  <c r="B16" i="21"/>
  <c r="C46" i="7"/>
  <c r="F45" i="7"/>
  <c r="E15" i="21" s="1"/>
  <c r="P5" i="16" s="1"/>
  <c r="D15" i="21"/>
  <c r="C15" i="21"/>
  <c r="P4" i="16"/>
  <c r="Q4" i="16" l="1"/>
  <c r="C16" i="21"/>
  <c r="C47" i="7"/>
  <c r="E47" i="7"/>
  <c r="B17" i="21"/>
  <c r="A48" i="7"/>
  <c r="F46" i="7"/>
  <c r="E16" i="21" s="1"/>
  <c r="Q5" i="16" s="1"/>
  <c r="D16" i="21"/>
  <c r="C48" i="7" l="1"/>
  <c r="A49" i="7"/>
  <c r="E48" i="7"/>
  <c r="B18" i="21"/>
  <c r="C17" i="21"/>
  <c r="R4" i="16"/>
  <c r="F47" i="7"/>
  <c r="E17" i="21" s="1"/>
  <c r="R5" i="16" s="1"/>
  <c r="D17" i="21"/>
  <c r="C18" i="21" l="1"/>
  <c r="S4" i="16"/>
  <c r="F48" i="7"/>
  <c r="E18" i="21" s="1"/>
  <c r="S5" i="16" s="1"/>
  <c r="D18" i="21"/>
  <c r="A50" i="7"/>
  <c r="C49" i="7"/>
  <c r="B19" i="21"/>
  <c r="E49" i="7"/>
  <c r="C50" i="7" l="1"/>
  <c r="B20" i="21"/>
  <c r="E50" i="7"/>
  <c r="A51" i="7"/>
  <c r="F49" i="7"/>
  <c r="E19" i="21" s="1"/>
  <c r="T5" i="16" s="1"/>
  <c r="D19" i="21"/>
  <c r="C19" i="21"/>
  <c r="T4" i="16"/>
  <c r="E51" i="7" l="1"/>
  <c r="A52" i="7"/>
  <c r="B21" i="21"/>
  <c r="C51" i="7"/>
  <c r="F50" i="7"/>
  <c r="E20" i="21" s="1"/>
  <c r="U5" i="16" s="1"/>
  <c r="D20" i="21"/>
  <c r="C20" i="21"/>
  <c r="U4" i="16"/>
  <c r="V4" i="16" l="1"/>
  <c r="C21" i="21"/>
  <c r="A53" i="7"/>
  <c r="C52" i="7"/>
  <c r="E52" i="7"/>
  <c r="B22" i="21"/>
  <c r="D21" i="21"/>
  <c r="F51" i="7"/>
  <c r="E21" i="21" s="1"/>
  <c r="V5" i="16" s="1"/>
  <c r="W4" i="16" l="1"/>
  <c r="C22" i="21"/>
  <c r="D22" i="21"/>
  <c r="F52" i="7"/>
  <c r="E22" i="21" s="1"/>
  <c r="W5" i="16" s="1"/>
  <c r="C53" i="7"/>
  <c r="E53" i="7"/>
  <c r="A54" i="7"/>
  <c r="B23" i="21"/>
  <c r="C23" i="21" l="1"/>
  <c r="X4" i="16"/>
  <c r="E54" i="7"/>
  <c r="A55" i="7"/>
  <c r="B24" i="21"/>
  <c r="C54" i="7"/>
  <c r="D23" i="21"/>
  <c r="F53" i="7"/>
  <c r="E23" i="21" s="1"/>
  <c r="X5" i="16" s="1"/>
  <c r="Y4" i="16" l="1"/>
  <c r="C24" i="21"/>
  <c r="O12" i="10"/>
  <c r="P12" i="10" s="1"/>
  <c r="O14" i="10"/>
  <c r="P14" i="10" s="1"/>
  <c r="O34" i="10"/>
  <c r="P34" i="10" s="1"/>
  <c r="O36" i="10"/>
  <c r="P36" i="10" s="1"/>
  <c r="O38" i="10"/>
  <c r="P38" i="10" s="1"/>
  <c r="O40" i="10"/>
  <c r="P40" i="10" s="1"/>
  <c r="O42" i="10"/>
  <c r="P42" i="10" s="1"/>
  <c r="O44" i="10"/>
  <c r="P44" i="10" s="1"/>
  <c r="O46" i="10"/>
  <c r="P46" i="10" s="1"/>
  <c r="O99" i="10"/>
  <c r="P99" i="10" s="1"/>
  <c r="O101" i="10"/>
  <c r="P101" i="10" s="1"/>
  <c r="O103" i="10"/>
  <c r="P103" i="10" s="1"/>
  <c r="O105" i="10"/>
  <c r="P105" i="10" s="1"/>
  <c r="O107" i="10"/>
  <c r="P107" i="10" s="1"/>
  <c r="O109" i="10"/>
  <c r="P109" i="10" s="1"/>
  <c r="O111" i="10"/>
  <c r="P111" i="10" s="1"/>
  <c r="O113" i="10"/>
  <c r="P113" i="10" s="1"/>
  <c r="O115" i="10"/>
  <c r="P115" i="10" s="1"/>
  <c r="O117" i="10"/>
  <c r="P117" i="10" s="1"/>
  <c r="O119" i="10"/>
  <c r="P119" i="10" s="1"/>
  <c r="O121" i="10"/>
  <c r="P121" i="10" s="1"/>
  <c r="O49" i="10"/>
  <c r="P49" i="10" s="1"/>
  <c r="O51" i="10"/>
  <c r="P51" i="10" s="1"/>
  <c r="O53" i="10"/>
  <c r="P53" i="10" s="1"/>
  <c r="O55" i="10"/>
  <c r="P55" i="10" s="1"/>
  <c r="O57" i="10"/>
  <c r="P57" i="10" s="1"/>
  <c r="O59" i="10"/>
  <c r="P59" i="10" s="1"/>
  <c r="O61" i="10"/>
  <c r="P61" i="10" s="1"/>
  <c r="O63" i="10"/>
  <c r="P63" i="10" s="1"/>
  <c r="O65" i="10"/>
  <c r="P65" i="10" s="1"/>
  <c r="O67" i="10"/>
  <c r="P67" i="10" s="1"/>
  <c r="O6" i="10"/>
  <c r="P6" i="10" s="1"/>
  <c r="O16" i="10"/>
  <c r="P16" i="10" s="1"/>
  <c r="O18" i="10"/>
  <c r="P18" i="10" s="1"/>
  <c r="O69" i="10"/>
  <c r="P69" i="10" s="1"/>
  <c r="O71" i="10"/>
  <c r="P71" i="10" s="1"/>
  <c r="O148" i="10"/>
  <c r="P148" i="10" s="1"/>
  <c r="O17" i="10"/>
  <c r="P17" i="10" s="1"/>
  <c r="O35" i="10"/>
  <c r="P35" i="10" s="1"/>
  <c r="O39" i="10"/>
  <c r="P39" i="10" s="1"/>
  <c r="O43" i="10"/>
  <c r="P43" i="10" s="1"/>
  <c r="O47" i="10"/>
  <c r="P47" i="10" s="1"/>
  <c r="O72" i="10"/>
  <c r="P72" i="10" s="1"/>
  <c r="O77" i="10"/>
  <c r="P77" i="10" s="1"/>
  <c r="O81" i="10"/>
  <c r="P81" i="10" s="1"/>
  <c r="O85" i="10"/>
  <c r="P85" i="10" s="1"/>
  <c r="O89" i="10"/>
  <c r="P89" i="10" s="1"/>
  <c r="O93" i="10"/>
  <c r="P93" i="10" s="1"/>
  <c r="O104" i="10"/>
  <c r="P104" i="10" s="1"/>
  <c r="O130" i="10"/>
  <c r="P130" i="10" s="1"/>
  <c r="O138" i="10"/>
  <c r="P138" i="10" s="1"/>
  <c r="O146" i="10"/>
  <c r="P146" i="10" s="1"/>
  <c r="O149" i="10"/>
  <c r="P149" i="10" s="1"/>
  <c r="O197" i="10"/>
  <c r="P197" i="10" s="1"/>
  <c r="O209" i="10"/>
  <c r="P209" i="10" s="1"/>
  <c r="O215" i="10"/>
  <c r="P215" i="10" s="1"/>
  <c r="O218" i="10"/>
  <c r="P218" i="10" s="1"/>
  <c r="O15" i="10"/>
  <c r="P15" i="10" s="1"/>
  <c r="O195" i="10"/>
  <c r="P195" i="10" s="1"/>
  <c r="O207" i="10"/>
  <c r="P207" i="10" s="1"/>
  <c r="O176" i="10"/>
  <c r="P176" i="10" s="1"/>
  <c r="O181" i="10"/>
  <c r="P181" i="10" s="1"/>
  <c r="O184" i="10"/>
  <c r="P184" i="10" s="1"/>
  <c r="O189" i="10"/>
  <c r="P189" i="10" s="1"/>
  <c r="O193" i="10"/>
  <c r="P193" i="10" s="1"/>
  <c r="O45" i="10"/>
  <c r="P45" i="10" s="1"/>
  <c r="O73" i="10"/>
  <c r="P73" i="10" s="1"/>
  <c r="O100" i="10"/>
  <c r="P100" i="10" s="1"/>
  <c r="O126" i="10"/>
  <c r="P126" i="10" s="1"/>
  <c r="O140" i="10"/>
  <c r="P140" i="10" s="1"/>
  <c r="O144" i="10"/>
  <c r="P144" i="10" s="1"/>
  <c r="O152" i="10"/>
  <c r="P152" i="10" s="1"/>
  <c r="O204" i="10"/>
  <c r="P204" i="10" s="1"/>
  <c r="O174" i="10"/>
  <c r="P174" i="10" s="1"/>
  <c r="O179" i="10"/>
  <c r="P179" i="10" s="1"/>
  <c r="O182" i="10"/>
  <c r="P182" i="10" s="1"/>
  <c r="O187" i="10"/>
  <c r="P187" i="10" s="1"/>
  <c r="O190" i="10"/>
  <c r="P190" i="10" s="1"/>
  <c r="O41" i="10"/>
  <c r="P41" i="10" s="1"/>
  <c r="O70" i="10"/>
  <c r="P70" i="10" s="1"/>
  <c r="O74" i="10"/>
  <c r="P74" i="10" s="1"/>
  <c r="O78" i="10"/>
  <c r="P78" i="10" s="1"/>
  <c r="O83" i="10"/>
  <c r="P83" i="10" s="1"/>
  <c r="O134" i="10"/>
  <c r="P134" i="10" s="1"/>
  <c r="O201" i="10"/>
  <c r="P201" i="10" s="1"/>
  <c r="O205" i="10"/>
  <c r="P205" i="10" s="1"/>
  <c r="O37" i="10"/>
  <c r="P37" i="10" s="1"/>
  <c r="O75" i="10"/>
  <c r="P75" i="10" s="1"/>
  <c r="O124" i="10"/>
  <c r="P124" i="10" s="1"/>
  <c r="O128" i="10"/>
  <c r="P128" i="10" s="1"/>
  <c r="O142" i="10"/>
  <c r="P142" i="10" s="1"/>
  <c r="O202" i="10"/>
  <c r="P202" i="10" s="1"/>
  <c r="O136" i="10"/>
  <c r="P136" i="10" s="1"/>
  <c r="O172" i="10"/>
  <c r="P172" i="10" s="1"/>
  <c r="O185" i="10"/>
  <c r="P185" i="10" s="1"/>
  <c r="O214" i="10"/>
  <c r="P214" i="10" s="1"/>
  <c r="O102" i="10"/>
  <c r="P102" i="10" s="1"/>
  <c r="O166" i="10"/>
  <c r="P166" i="10" s="1"/>
  <c r="O177" i="10"/>
  <c r="P177" i="10" s="1"/>
  <c r="O79" i="10"/>
  <c r="P79" i="10" s="1"/>
  <c r="O108" i="10"/>
  <c r="P108" i="10" s="1"/>
  <c r="O132" i="10"/>
  <c r="P132" i="10" s="1"/>
  <c r="O150" i="10"/>
  <c r="P150" i="10" s="1"/>
  <c r="O186" i="10"/>
  <c r="P186" i="10" s="1"/>
  <c r="O191" i="10"/>
  <c r="P191" i="10" s="1"/>
  <c r="O153" i="10"/>
  <c r="P153" i="10" s="1"/>
  <c r="O175" i="10"/>
  <c r="P175" i="10" s="1"/>
  <c r="O188" i="10"/>
  <c r="P188" i="10" s="1"/>
  <c r="O211" i="10"/>
  <c r="P211" i="10" s="1"/>
  <c r="O219" i="10"/>
  <c r="P219" i="10" s="1"/>
  <c r="O178" i="10"/>
  <c r="P178" i="10" s="1"/>
  <c r="O183" i="10"/>
  <c r="P183" i="10" s="1"/>
  <c r="O158" i="10"/>
  <c r="P158" i="10" s="1"/>
  <c r="O180" i="10"/>
  <c r="P180" i="10" s="1"/>
  <c r="O194" i="10"/>
  <c r="P194" i="10" s="1"/>
  <c r="O226" i="10"/>
  <c r="P226" i="10" s="1"/>
  <c r="O76" i="10"/>
  <c r="P76" i="10" s="1"/>
  <c r="E55" i="7"/>
  <c r="C55" i="7"/>
  <c r="A56" i="7"/>
  <c r="B25" i="21"/>
  <c r="O20" i="10"/>
  <c r="P20" i="10" s="1"/>
  <c r="O9" i="10"/>
  <c r="P9" i="10" s="1"/>
  <c r="O98" i="10"/>
  <c r="P98" i="10" s="1"/>
  <c r="O114" i="10"/>
  <c r="P114" i="10" s="1"/>
  <c r="O220" i="10"/>
  <c r="P220" i="10" s="1"/>
  <c r="O28" i="10"/>
  <c r="P28" i="10" s="1"/>
  <c r="O25" i="10"/>
  <c r="P25" i="10" s="1"/>
  <c r="O32" i="10"/>
  <c r="P32" i="10" s="1"/>
  <c r="O95" i="10"/>
  <c r="P95" i="10" s="1"/>
  <c r="O131" i="10"/>
  <c r="P131" i="10" s="1"/>
  <c r="O106" i="10"/>
  <c r="P106" i="10" s="1"/>
  <c r="O118" i="10"/>
  <c r="P118" i="10" s="1"/>
  <c r="O94" i="10"/>
  <c r="P94" i="10" s="1"/>
  <c r="O27" i="10"/>
  <c r="P27" i="10" s="1"/>
  <c r="O212" i="10"/>
  <c r="P212" i="10" s="1"/>
  <c r="O5" i="10"/>
  <c r="P5" i="10" s="1"/>
  <c r="O21" i="10"/>
  <c r="P21" i="10" s="1"/>
  <c r="O23" i="10"/>
  <c r="P23" i="10" s="1"/>
  <c r="O165" i="10"/>
  <c r="P165" i="10" s="1"/>
  <c r="O167" i="10"/>
  <c r="P167" i="10" s="1"/>
  <c r="O11" i="10"/>
  <c r="P11" i="10" s="1"/>
  <c r="O199" i="10"/>
  <c r="P199" i="10" s="1"/>
  <c r="O66" i="10"/>
  <c r="P66" i="10" s="1"/>
  <c r="O22" i="10"/>
  <c r="P22" i="10" s="1"/>
  <c r="O196" i="10"/>
  <c r="P196" i="10" s="1"/>
  <c r="O163" i="10"/>
  <c r="P163" i="10" s="1"/>
  <c r="O64" i="10"/>
  <c r="P64" i="10" s="1"/>
  <c r="O157" i="10"/>
  <c r="P157" i="10" s="1"/>
  <c r="O159" i="10"/>
  <c r="P159" i="10" s="1"/>
  <c r="O8" i="10"/>
  <c r="P8" i="10" s="1"/>
  <c r="O225" i="10"/>
  <c r="P225" i="10" s="1"/>
  <c r="O170" i="10"/>
  <c r="P170" i="10" s="1"/>
  <c r="O30" i="10"/>
  <c r="P30" i="10" s="1"/>
  <c r="O58" i="10"/>
  <c r="P58" i="10" s="1"/>
  <c r="O173" i="10"/>
  <c r="P173" i="10" s="1"/>
  <c r="O60" i="10"/>
  <c r="P60" i="10" s="1"/>
  <c r="O31" i="10"/>
  <c r="P31" i="10" s="1"/>
  <c r="O224" i="10"/>
  <c r="P224" i="10" s="1"/>
  <c r="O24" i="10"/>
  <c r="P24" i="10" s="1"/>
  <c r="O87" i="10"/>
  <c r="P87" i="10" s="1"/>
  <c r="O86" i="10"/>
  <c r="P86" i="10" s="1"/>
  <c r="O247" i="10"/>
  <c r="P247" i="10" s="1"/>
  <c r="O96" i="10"/>
  <c r="P96" i="10" s="1"/>
  <c r="O110" i="10"/>
  <c r="P110" i="10" s="1"/>
  <c r="O145" i="10"/>
  <c r="P145" i="10" s="1"/>
  <c r="O208" i="10"/>
  <c r="P208" i="10" s="1"/>
  <c r="O88" i="10"/>
  <c r="P88" i="10" s="1"/>
  <c r="O141" i="10"/>
  <c r="P141" i="10" s="1"/>
  <c r="O135" i="10"/>
  <c r="P135" i="10" s="1"/>
  <c r="O139" i="10"/>
  <c r="P139" i="10" s="1"/>
  <c r="O227" i="10"/>
  <c r="P227" i="10" s="1"/>
  <c r="O160" i="10"/>
  <c r="P160" i="10" s="1"/>
  <c r="O90" i="10"/>
  <c r="P90" i="10" s="1"/>
  <c r="O217" i="10"/>
  <c r="P217" i="10" s="1"/>
  <c r="O155" i="10"/>
  <c r="P155" i="10" s="1"/>
  <c r="O143" i="10"/>
  <c r="P143" i="10" s="1"/>
  <c r="O198" i="10"/>
  <c r="P198" i="10" s="1"/>
  <c r="O116" i="10"/>
  <c r="P116" i="10" s="1"/>
  <c r="O56" i="10"/>
  <c r="P56" i="10" s="1"/>
  <c r="O254" i="10"/>
  <c r="P254" i="10" s="1"/>
  <c r="O54" i="10"/>
  <c r="P54" i="10" s="1"/>
  <c r="O62" i="10"/>
  <c r="P62" i="10" s="1"/>
  <c r="O29" i="10"/>
  <c r="P29" i="10" s="1"/>
  <c r="O156" i="10"/>
  <c r="P156" i="10" s="1"/>
  <c r="O200" i="10"/>
  <c r="P200" i="10" s="1"/>
  <c r="O92" i="10"/>
  <c r="P92" i="10" s="1"/>
  <c r="O168" i="10"/>
  <c r="P168" i="10" s="1"/>
  <c r="O137" i="10"/>
  <c r="P137" i="10" s="1"/>
  <c r="O7" i="10"/>
  <c r="P7" i="10" s="1"/>
  <c r="O123" i="10"/>
  <c r="P123" i="10" s="1"/>
  <c r="O13" i="10"/>
  <c r="P13" i="10" s="1"/>
  <c r="O91" i="10"/>
  <c r="P91" i="10" s="1"/>
  <c r="O112" i="10"/>
  <c r="P112" i="10" s="1"/>
  <c r="O84" i="10"/>
  <c r="P84" i="10" s="1"/>
  <c r="O151" i="10"/>
  <c r="P151" i="10" s="1"/>
  <c r="O162" i="10"/>
  <c r="P162" i="10" s="1"/>
  <c r="O206" i="10"/>
  <c r="P206" i="10" s="1"/>
  <c r="O169" i="10"/>
  <c r="P169" i="10" s="1"/>
  <c r="O82" i="10"/>
  <c r="P82" i="10" s="1"/>
  <c r="O164" i="10"/>
  <c r="P164" i="10" s="1"/>
  <c r="O133" i="10"/>
  <c r="P133" i="10" s="1"/>
  <c r="O52" i="10"/>
  <c r="P52" i="10" s="1"/>
  <c r="O127" i="10"/>
  <c r="P127" i="10" s="1"/>
  <c r="O129" i="10"/>
  <c r="P129" i="10" s="1"/>
  <c r="O26" i="10"/>
  <c r="P26" i="10" s="1"/>
  <c r="O50" i="10"/>
  <c r="P50" i="10" s="1"/>
  <c r="O120" i="10"/>
  <c r="P120" i="10" s="1"/>
  <c r="O161" i="10"/>
  <c r="P161" i="10" s="1"/>
  <c r="O125" i="10"/>
  <c r="P125" i="10" s="1"/>
  <c r="O223" i="10"/>
  <c r="P223" i="10" s="1"/>
  <c r="O4" i="10"/>
  <c r="P4" i="10" s="1"/>
  <c r="F54" i="7"/>
  <c r="E24" i="21" s="1"/>
  <c r="Y5" i="16" s="1"/>
  <c r="D24" i="21"/>
  <c r="S164" i="10" l="1"/>
  <c r="T164" i="10" s="1"/>
  <c r="U164" i="10" s="1"/>
  <c r="V164" i="10" s="1"/>
  <c r="R164" i="10"/>
  <c r="Q164" i="10" s="1"/>
  <c r="S198" i="10"/>
  <c r="T198" i="10" s="1"/>
  <c r="U198" i="10" s="1"/>
  <c r="V198" i="10" s="1"/>
  <c r="R198" i="10"/>
  <c r="Q198" i="10" s="1"/>
  <c r="S212" i="10"/>
  <c r="R212" i="10"/>
  <c r="D25" i="21"/>
  <c r="F55" i="7"/>
  <c r="E25" i="21" s="1"/>
  <c r="Z5" i="16" s="1"/>
  <c r="S102" i="10"/>
  <c r="T102" i="10" s="1"/>
  <c r="U102" i="10" s="1"/>
  <c r="V102" i="10" s="1"/>
  <c r="R102" i="10"/>
  <c r="Q102" i="10" s="1"/>
  <c r="S205" i="10"/>
  <c r="T205" i="10" s="1"/>
  <c r="U205" i="10" s="1"/>
  <c r="V205" i="10" s="1"/>
  <c r="R205" i="10"/>
  <c r="Q205" i="10" s="1"/>
  <c r="S140" i="10"/>
  <c r="T140" i="10" s="1"/>
  <c r="U140" i="10" s="1"/>
  <c r="V140" i="10" s="1"/>
  <c r="R140" i="10"/>
  <c r="Q140" i="10" s="1"/>
  <c r="S197" i="10"/>
  <c r="T197" i="10" s="1"/>
  <c r="U197" i="10" s="1"/>
  <c r="V197" i="10" s="1"/>
  <c r="R197" i="10"/>
  <c r="Q197" i="10" s="1"/>
  <c r="S17" i="10"/>
  <c r="T17" i="10" s="1"/>
  <c r="U17" i="10" s="1"/>
  <c r="V17" i="10" s="1"/>
  <c r="R17" i="10"/>
  <c r="Q17" i="10" s="1"/>
  <c r="S49" i="10"/>
  <c r="T49" i="10" s="1"/>
  <c r="U49" i="10" s="1"/>
  <c r="V49" i="10" s="1"/>
  <c r="R49" i="10"/>
  <c r="Q49" i="10" s="1"/>
  <c r="S107" i="10"/>
  <c r="T107" i="10" s="1"/>
  <c r="U107" i="10" s="1"/>
  <c r="V107" i="10" s="1"/>
  <c r="R107" i="10"/>
  <c r="Q107" i="10" s="1"/>
  <c r="R4" i="10"/>
  <c r="Q4" i="10" s="1"/>
  <c r="S4" i="10"/>
  <c r="T4" i="10" s="1"/>
  <c r="U4" i="10" s="1"/>
  <c r="V4" i="10" s="1"/>
  <c r="S169" i="10"/>
  <c r="T169" i="10" s="1"/>
  <c r="U169" i="10" s="1"/>
  <c r="V169" i="10" s="1"/>
  <c r="R169" i="10"/>
  <c r="Q169" i="10" s="1"/>
  <c r="S112" i="10"/>
  <c r="T112" i="10" s="1"/>
  <c r="U112" i="10" s="1"/>
  <c r="V112" i="10" s="1"/>
  <c r="R112" i="10"/>
  <c r="Q112" i="10" s="1"/>
  <c r="S168" i="10"/>
  <c r="T168" i="10" s="1"/>
  <c r="U168" i="10" s="1"/>
  <c r="V168" i="10" s="1"/>
  <c r="R168" i="10"/>
  <c r="Q168" i="10" s="1"/>
  <c r="S54" i="10"/>
  <c r="T54" i="10" s="1"/>
  <c r="U54" i="10" s="1"/>
  <c r="V54" i="10" s="1"/>
  <c r="R54" i="10"/>
  <c r="Q54" i="10" s="1"/>
  <c r="S143" i="10"/>
  <c r="T143" i="10" s="1"/>
  <c r="U143" i="10" s="1"/>
  <c r="V143" i="10" s="1"/>
  <c r="R143" i="10"/>
  <c r="Q143" i="10" s="1"/>
  <c r="S90" i="10"/>
  <c r="T90" i="10" s="1"/>
  <c r="U90" i="10" s="1"/>
  <c r="V90" i="10" s="1"/>
  <c r="R90" i="10"/>
  <c r="Q90" i="10" s="1"/>
  <c r="S208" i="10"/>
  <c r="T208" i="10" s="1"/>
  <c r="U208" i="10" s="1"/>
  <c r="V208" i="10" s="1"/>
  <c r="R208" i="10"/>
  <c r="Q208" i="10" s="1"/>
  <c r="S87" i="10"/>
  <c r="T87" i="10" s="1"/>
  <c r="U87" i="10" s="1"/>
  <c r="V87" i="10" s="1"/>
  <c r="R87" i="10"/>
  <c r="Q87" i="10" s="1"/>
  <c r="S31" i="10"/>
  <c r="T31" i="10" s="1"/>
  <c r="U31" i="10" s="1"/>
  <c r="V31" i="10" s="1"/>
  <c r="R31" i="10"/>
  <c r="Q31" i="10" s="1"/>
  <c r="S8" i="10"/>
  <c r="T8" i="10" s="1"/>
  <c r="U8" i="10" s="1"/>
  <c r="V8" i="10" s="1"/>
  <c r="R8" i="10"/>
  <c r="Q8" i="10" s="1"/>
  <c r="S27" i="10"/>
  <c r="T27" i="10" s="1"/>
  <c r="U27" i="10" s="1"/>
  <c r="V27" i="10" s="1"/>
  <c r="R27" i="10"/>
  <c r="Q27" i="10" s="1"/>
  <c r="S32" i="10"/>
  <c r="R32" i="10"/>
  <c r="S28" i="10"/>
  <c r="T28" i="10" s="1"/>
  <c r="U28" i="10" s="1"/>
  <c r="V28" i="10" s="1"/>
  <c r="R28" i="10"/>
  <c r="Q28" i="10" s="1"/>
  <c r="S180" i="10"/>
  <c r="T180" i="10" s="1"/>
  <c r="U180" i="10" s="1"/>
  <c r="V180" i="10" s="1"/>
  <c r="R180" i="10"/>
  <c r="Q180" i="10" s="1"/>
  <c r="S188" i="10"/>
  <c r="T188" i="10" s="1"/>
  <c r="U188" i="10" s="1"/>
  <c r="V188" i="10" s="1"/>
  <c r="R188" i="10"/>
  <c r="Q188" i="10" s="1"/>
  <c r="S186" i="10"/>
  <c r="T186" i="10" s="1"/>
  <c r="U186" i="10" s="1"/>
  <c r="V186" i="10" s="1"/>
  <c r="R186" i="10"/>
  <c r="Q186" i="10" s="1"/>
  <c r="S128" i="10"/>
  <c r="T128" i="10" s="1"/>
  <c r="U128" i="10" s="1"/>
  <c r="V128" i="10" s="1"/>
  <c r="R128" i="10"/>
  <c r="Q128" i="10" s="1"/>
  <c r="S201" i="10"/>
  <c r="T201" i="10" s="1"/>
  <c r="U201" i="10" s="1"/>
  <c r="V201" i="10" s="1"/>
  <c r="R201" i="10"/>
  <c r="Q201" i="10" s="1"/>
  <c r="S187" i="10"/>
  <c r="T187" i="10" s="1"/>
  <c r="U187" i="10" s="1"/>
  <c r="V187" i="10" s="1"/>
  <c r="R187" i="10"/>
  <c r="Q187" i="10" s="1"/>
  <c r="S126" i="10"/>
  <c r="T126" i="10" s="1"/>
  <c r="U126" i="10" s="1"/>
  <c r="V126" i="10" s="1"/>
  <c r="R126" i="10"/>
  <c r="Q126" i="10" s="1"/>
  <c r="S176" i="10"/>
  <c r="T176" i="10" s="1"/>
  <c r="U176" i="10" s="1"/>
  <c r="V176" i="10" s="1"/>
  <c r="R176" i="10"/>
  <c r="Q176" i="10" s="1"/>
  <c r="S149" i="10"/>
  <c r="T149" i="10" s="1"/>
  <c r="U149" i="10" s="1"/>
  <c r="V149" i="10" s="1"/>
  <c r="R149" i="10"/>
  <c r="Q149" i="10" s="1"/>
  <c r="S81" i="10"/>
  <c r="T81" i="10" s="1"/>
  <c r="U81" i="10" s="1"/>
  <c r="V81" i="10" s="1"/>
  <c r="R81" i="10"/>
  <c r="Q81" i="10" s="1"/>
  <c r="S148" i="10"/>
  <c r="T148" i="10" s="1"/>
  <c r="U148" i="10" s="1"/>
  <c r="V148" i="10" s="1"/>
  <c r="R148" i="10"/>
  <c r="Q148" i="10" s="1"/>
  <c r="S63" i="10"/>
  <c r="T63" i="10" s="1"/>
  <c r="U63" i="10" s="1"/>
  <c r="V63" i="10" s="1"/>
  <c r="R63" i="10"/>
  <c r="Q63" i="10" s="1"/>
  <c r="S121" i="10"/>
  <c r="R121" i="10"/>
  <c r="S105" i="10"/>
  <c r="T105" i="10" s="1"/>
  <c r="U105" i="10" s="1"/>
  <c r="V105" i="10" s="1"/>
  <c r="R105" i="10"/>
  <c r="Q105" i="10" s="1"/>
  <c r="S38" i="10"/>
  <c r="T38" i="10" s="1"/>
  <c r="U38" i="10" s="1"/>
  <c r="V38" i="10" s="1"/>
  <c r="R38" i="10"/>
  <c r="Q38" i="10" s="1"/>
  <c r="S170" i="10"/>
  <c r="R170" i="10"/>
  <c r="S62" i="10"/>
  <c r="T62" i="10" s="1"/>
  <c r="U62" i="10" s="1"/>
  <c r="V62" i="10" s="1"/>
  <c r="R62" i="10"/>
  <c r="Q62" i="10" s="1"/>
  <c r="S25" i="10"/>
  <c r="T25" i="10" s="1"/>
  <c r="U25" i="10" s="1"/>
  <c r="V25" i="10" s="1"/>
  <c r="R25" i="10"/>
  <c r="Q25" i="10" s="1"/>
  <c r="S142" i="10"/>
  <c r="T142" i="10" s="1"/>
  <c r="U142" i="10" s="1"/>
  <c r="V142" i="10" s="1"/>
  <c r="R142" i="10"/>
  <c r="Q142" i="10" s="1"/>
  <c r="S190" i="10"/>
  <c r="T190" i="10" s="1"/>
  <c r="U190" i="10" s="1"/>
  <c r="V190" i="10" s="1"/>
  <c r="R190" i="10"/>
  <c r="Q190" i="10" s="1"/>
  <c r="S181" i="10"/>
  <c r="T181" i="10" s="1"/>
  <c r="U181" i="10" s="1"/>
  <c r="V181" i="10" s="1"/>
  <c r="R181" i="10"/>
  <c r="Q181" i="10" s="1"/>
  <c r="S85" i="10"/>
  <c r="T85" i="10" s="1"/>
  <c r="U85" i="10" s="1"/>
  <c r="V85" i="10" s="1"/>
  <c r="R85" i="10"/>
  <c r="Q85" i="10" s="1"/>
  <c r="S65" i="10"/>
  <c r="T65" i="10" s="1"/>
  <c r="U65" i="10" s="1"/>
  <c r="V65" i="10" s="1"/>
  <c r="R65" i="10"/>
  <c r="Q65" i="10" s="1"/>
  <c r="S40" i="10"/>
  <c r="T40" i="10" s="1"/>
  <c r="U40" i="10" s="1"/>
  <c r="V40" i="10" s="1"/>
  <c r="R40" i="10"/>
  <c r="Q40" i="10" s="1"/>
  <c r="S223" i="10"/>
  <c r="T223" i="10" s="1"/>
  <c r="U223" i="10" s="1"/>
  <c r="V223" i="10" s="1"/>
  <c r="R223" i="10"/>
  <c r="Q223" i="10" s="1"/>
  <c r="S91" i="10"/>
  <c r="T91" i="10" s="1"/>
  <c r="U91" i="10" s="1"/>
  <c r="V91" i="10" s="1"/>
  <c r="R91" i="10"/>
  <c r="Q91" i="10" s="1"/>
  <c r="S155" i="10"/>
  <c r="T155" i="10" s="1"/>
  <c r="U155" i="10" s="1"/>
  <c r="V155" i="10" s="1"/>
  <c r="R155" i="10"/>
  <c r="Q155" i="10" s="1"/>
  <c r="S160" i="10"/>
  <c r="T160" i="10" s="1"/>
  <c r="U160" i="10" s="1"/>
  <c r="V160" i="10" s="1"/>
  <c r="R160" i="10"/>
  <c r="Q160" i="10" s="1"/>
  <c r="S24" i="10"/>
  <c r="T24" i="10" s="1"/>
  <c r="U24" i="10" s="1"/>
  <c r="V24" i="10" s="1"/>
  <c r="R24" i="10"/>
  <c r="Q24" i="10" s="1"/>
  <c r="S60" i="10"/>
  <c r="T60" i="10" s="1"/>
  <c r="U60" i="10" s="1"/>
  <c r="V60" i="10" s="1"/>
  <c r="R60" i="10"/>
  <c r="Q60" i="10" s="1"/>
  <c r="S159" i="10"/>
  <c r="T159" i="10" s="1"/>
  <c r="U159" i="10" s="1"/>
  <c r="V159" i="10" s="1"/>
  <c r="R159" i="10"/>
  <c r="Q159" i="10" s="1"/>
  <c r="S66" i="10"/>
  <c r="T66" i="10" s="1"/>
  <c r="U66" i="10" s="1"/>
  <c r="V66" i="10" s="1"/>
  <c r="R66" i="10"/>
  <c r="Q66" i="10" s="1"/>
  <c r="S11" i="10"/>
  <c r="T11" i="10" s="1"/>
  <c r="U11" i="10" s="1"/>
  <c r="V11" i="10" s="1"/>
  <c r="R11" i="10"/>
  <c r="Q11" i="10" s="1"/>
  <c r="S94" i="10"/>
  <c r="T94" i="10" s="1"/>
  <c r="U94" i="10" s="1"/>
  <c r="V94" i="10" s="1"/>
  <c r="R94" i="10"/>
  <c r="Q94" i="10" s="1"/>
  <c r="S76" i="10"/>
  <c r="T76" i="10" s="1"/>
  <c r="U76" i="10" s="1"/>
  <c r="V76" i="10" s="1"/>
  <c r="R76" i="10"/>
  <c r="Q76" i="10" s="1"/>
  <c r="S194" i="10"/>
  <c r="T194" i="10" s="1"/>
  <c r="U194" i="10" s="1"/>
  <c r="V194" i="10" s="1"/>
  <c r="R194" i="10"/>
  <c r="Q194" i="10" s="1"/>
  <c r="S183" i="10"/>
  <c r="T183" i="10" s="1"/>
  <c r="U183" i="10" s="1"/>
  <c r="V183" i="10" s="1"/>
  <c r="R183" i="10"/>
  <c r="Q183" i="10" s="1"/>
  <c r="S175" i="10"/>
  <c r="T175" i="10" s="1"/>
  <c r="U175" i="10" s="1"/>
  <c r="V175" i="10" s="1"/>
  <c r="R175" i="10"/>
  <c r="Q175" i="10" s="1"/>
  <c r="S150" i="10"/>
  <c r="T150" i="10" s="1"/>
  <c r="U150" i="10" s="1"/>
  <c r="V150" i="10" s="1"/>
  <c r="R150" i="10"/>
  <c r="Q150" i="10" s="1"/>
  <c r="S124" i="10"/>
  <c r="T124" i="10" s="1"/>
  <c r="U124" i="10" s="1"/>
  <c r="V124" i="10" s="1"/>
  <c r="R124" i="10"/>
  <c r="Q124" i="10" s="1"/>
  <c r="S134" i="10"/>
  <c r="T134" i="10" s="1"/>
  <c r="U134" i="10" s="1"/>
  <c r="V134" i="10" s="1"/>
  <c r="R134" i="10"/>
  <c r="Q134" i="10" s="1"/>
  <c r="S182" i="10"/>
  <c r="T182" i="10" s="1"/>
  <c r="U182" i="10" s="1"/>
  <c r="V182" i="10" s="1"/>
  <c r="R182" i="10"/>
  <c r="Q182" i="10" s="1"/>
  <c r="S100" i="10"/>
  <c r="T100" i="10" s="1"/>
  <c r="U100" i="10" s="1"/>
  <c r="V100" i="10" s="1"/>
  <c r="R100" i="10"/>
  <c r="Q100" i="10" s="1"/>
  <c r="S207" i="10"/>
  <c r="T207" i="10" s="1"/>
  <c r="U207" i="10" s="1"/>
  <c r="V207" i="10" s="1"/>
  <c r="R207" i="10"/>
  <c r="Q207" i="10" s="1"/>
  <c r="S146" i="10"/>
  <c r="R146" i="10"/>
  <c r="S77" i="10"/>
  <c r="T77" i="10" s="1"/>
  <c r="U77" i="10" s="1"/>
  <c r="V77" i="10" s="1"/>
  <c r="R77" i="10"/>
  <c r="Q77" i="10" s="1"/>
  <c r="S71" i="10"/>
  <c r="T71" i="10" s="1"/>
  <c r="U71" i="10" s="1"/>
  <c r="V71" i="10" s="1"/>
  <c r="R71" i="10"/>
  <c r="Q71" i="10" s="1"/>
  <c r="S61" i="10"/>
  <c r="T61" i="10" s="1"/>
  <c r="U61" i="10" s="1"/>
  <c r="V61" i="10" s="1"/>
  <c r="R61" i="10"/>
  <c r="Q61" i="10" s="1"/>
  <c r="S119" i="10"/>
  <c r="T119" i="10" s="1"/>
  <c r="U119" i="10" s="1"/>
  <c r="V119" i="10" s="1"/>
  <c r="R119" i="10"/>
  <c r="Q119" i="10" s="1"/>
  <c r="S103" i="10"/>
  <c r="T103" i="10" s="1"/>
  <c r="U103" i="10" s="1"/>
  <c r="V103" i="10" s="1"/>
  <c r="R103" i="10"/>
  <c r="Q103" i="10" s="1"/>
  <c r="S36" i="10"/>
  <c r="T36" i="10" s="1"/>
  <c r="U36" i="10" s="1"/>
  <c r="V36" i="10" s="1"/>
  <c r="R36" i="10"/>
  <c r="Q36" i="10" s="1"/>
  <c r="S84" i="10"/>
  <c r="T84" i="10" s="1"/>
  <c r="U84" i="10" s="1"/>
  <c r="V84" i="10" s="1"/>
  <c r="R84" i="10"/>
  <c r="Q84" i="10" s="1"/>
  <c r="S88" i="10"/>
  <c r="T88" i="10" s="1"/>
  <c r="U88" i="10" s="1"/>
  <c r="V88" i="10" s="1"/>
  <c r="R88" i="10"/>
  <c r="Q88" i="10" s="1"/>
  <c r="R5" i="10"/>
  <c r="Q5" i="10" s="1"/>
  <c r="S5" i="10"/>
  <c r="T5" i="10" s="1"/>
  <c r="U5" i="10" s="1"/>
  <c r="V5" i="10" s="1"/>
  <c r="S137" i="10"/>
  <c r="T137" i="10" s="1"/>
  <c r="U137" i="10" s="1"/>
  <c r="V137" i="10" s="1"/>
  <c r="R137" i="10"/>
  <c r="Q137" i="10" s="1"/>
  <c r="S225" i="10"/>
  <c r="T225" i="10" s="1"/>
  <c r="U225" i="10" s="1"/>
  <c r="V225" i="10" s="1"/>
  <c r="R225" i="10"/>
  <c r="Q225" i="10" s="1"/>
  <c r="S254" i="10"/>
  <c r="T254" i="10" s="1"/>
  <c r="U254" i="10" s="1"/>
  <c r="V254" i="10" s="1"/>
  <c r="R254" i="10"/>
  <c r="Q254" i="10" s="1"/>
  <c r="S157" i="10"/>
  <c r="T157" i="10" s="1"/>
  <c r="U157" i="10" s="1"/>
  <c r="V157" i="10" s="1"/>
  <c r="R157" i="10"/>
  <c r="Q157" i="10" s="1"/>
  <c r="S83" i="10"/>
  <c r="T83" i="10" s="1"/>
  <c r="U83" i="10" s="1"/>
  <c r="V83" i="10" s="1"/>
  <c r="R83" i="10"/>
  <c r="Q83" i="10" s="1"/>
  <c r="S195" i="10"/>
  <c r="T195" i="10" s="1"/>
  <c r="U195" i="10" s="1"/>
  <c r="V195" i="10" s="1"/>
  <c r="R195" i="10"/>
  <c r="Q195" i="10" s="1"/>
  <c r="S69" i="10"/>
  <c r="T69" i="10" s="1"/>
  <c r="U69" i="10" s="1"/>
  <c r="V69" i="10" s="1"/>
  <c r="R69" i="10"/>
  <c r="Q69" i="10" s="1"/>
  <c r="S117" i="10"/>
  <c r="T117" i="10" s="1"/>
  <c r="U117" i="10" s="1"/>
  <c r="V117" i="10" s="1"/>
  <c r="R117" i="10"/>
  <c r="Q117" i="10" s="1"/>
  <c r="S34" i="10"/>
  <c r="T34" i="10" s="1"/>
  <c r="U34" i="10" s="1"/>
  <c r="V34" i="10" s="1"/>
  <c r="R34" i="10"/>
  <c r="Q34" i="10" s="1"/>
  <c r="S116" i="10"/>
  <c r="T116" i="10" s="1"/>
  <c r="U116" i="10" s="1"/>
  <c r="V116" i="10" s="1"/>
  <c r="R116" i="10"/>
  <c r="Q116" i="10" s="1"/>
  <c r="S22" i="10"/>
  <c r="T22" i="10" s="1"/>
  <c r="U22" i="10" s="1"/>
  <c r="V22" i="10" s="1"/>
  <c r="R22" i="10"/>
  <c r="Q22" i="10" s="1"/>
  <c r="S95" i="10"/>
  <c r="T95" i="10" s="1"/>
  <c r="U95" i="10" s="1"/>
  <c r="V95" i="10" s="1"/>
  <c r="R95" i="10"/>
  <c r="Q95" i="10" s="1"/>
  <c r="S125" i="10"/>
  <c r="T125" i="10" s="1"/>
  <c r="U125" i="10" s="1"/>
  <c r="V125" i="10" s="1"/>
  <c r="R125" i="10"/>
  <c r="Q125" i="10" s="1"/>
  <c r="S227" i="10"/>
  <c r="T227" i="10" s="1"/>
  <c r="U227" i="10" s="1"/>
  <c r="V227" i="10" s="1"/>
  <c r="R227" i="10"/>
  <c r="Q227" i="10" s="1"/>
  <c r="S153" i="10"/>
  <c r="R153" i="10"/>
  <c r="S75" i="10"/>
  <c r="T75" i="10" s="1"/>
  <c r="U75" i="10" s="1"/>
  <c r="V75" i="10" s="1"/>
  <c r="R75" i="10"/>
  <c r="Q75" i="10" s="1"/>
  <c r="S73" i="10"/>
  <c r="T73" i="10" s="1"/>
  <c r="U73" i="10" s="1"/>
  <c r="V73" i="10" s="1"/>
  <c r="R73" i="10"/>
  <c r="Q73" i="10" s="1"/>
  <c r="S138" i="10"/>
  <c r="T138" i="10" s="1"/>
  <c r="U138" i="10" s="1"/>
  <c r="V138" i="10" s="1"/>
  <c r="R138" i="10"/>
  <c r="Q138" i="10" s="1"/>
  <c r="S101" i="10"/>
  <c r="T101" i="10" s="1"/>
  <c r="U101" i="10" s="1"/>
  <c r="V101" i="10" s="1"/>
  <c r="R101" i="10"/>
  <c r="Q101" i="10" s="1"/>
  <c r="S161" i="10"/>
  <c r="T161" i="10" s="1"/>
  <c r="U161" i="10" s="1"/>
  <c r="V161" i="10" s="1"/>
  <c r="R161" i="10"/>
  <c r="Q161" i="10" s="1"/>
  <c r="S127" i="10"/>
  <c r="T127" i="10" s="1"/>
  <c r="U127" i="10" s="1"/>
  <c r="V127" i="10" s="1"/>
  <c r="R127" i="10"/>
  <c r="Q127" i="10" s="1"/>
  <c r="S13" i="10"/>
  <c r="T13" i="10" s="1"/>
  <c r="U13" i="10" s="1"/>
  <c r="V13" i="10" s="1"/>
  <c r="R13" i="10"/>
  <c r="Q13" i="10" s="1"/>
  <c r="S200" i="10"/>
  <c r="T200" i="10" s="1"/>
  <c r="U200" i="10" s="1"/>
  <c r="V200" i="10" s="1"/>
  <c r="R200" i="10"/>
  <c r="Q200" i="10" s="1"/>
  <c r="S56" i="10"/>
  <c r="T56" i="10" s="1"/>
  <c r="U56" i="10" s="1"/>
  <c r="V56" i="10" s="1"/>
  <c r="R56" i="10"/>
  <c r="Q56" i="10" s="1"/>
  <c r="S139" i="10"/>
  <c r="T139" i="10" s="1"/>
  <c r="U139" i="10" s="1"/>
  <c r="V139" i="10" s="1"/>
  <c r="R139" i="10"/>
  <c r="Q139" i="10" s="1"/>
  <c r="S58" i="10"/>
  <c r="T58" i="10" s="1"/>
  <c r="U58" i="10" s="1"/>
  <c r="V58" i="10" s="1"/>
  <c r="R58" i="10"/>
  <c r="Q58" i="10" s="1"/>
  <c r="S64" i="10"/>
  <c r="T64" i="10" s="1"/>
  <c r="U64" i="10" s="1"/>
  <c r="V64" i="10" s="1"/>
  <c r="R64" i="10"/>
  <c r="Q64" i="10" s="1"/>
  <c r="S165" i="10"/>
  <c r="T165" i="10" s="1"/>
  <c r="U165" i="10" s="1"/>
  <c r="V165" i="10" s="1"/>
  <c r="R165" i="10"/>
  <c r="Q165" i="10" s="1"/>
  <c r="S118" i="10"/>
  <c r="T118" i="10" s="1"/>
  <c r="U118" i="10" s="1"/>
  <c r="V118" i="10" s="1"/>
  <c r="R118" i="10"/>
  <c r="Q118" i="10" s="1"/>
  <c r="S114" i="10"/>
  <c r="T114" i="10" s="1"/>
  <c r="U114" i="10" s="1"/>
  <c r="V114" i="10" s="1"/>
  <c r="R114" i="10"/>
  <c r="Q114" i="10" s="1"/>
  <c r="S20" i="10"/>
  <c r="T20" i="10" s="1"/>
  <c r="U20" i="10" s="1"/>
  <c r="V20" i="10" s="1"/>
  <c r="R20" i="10"/>
  <c r="Q20" i="10" s="1"/>
  <c r="S226" i="10"/>
  <c r="T226" i="10" s="1"/>
  <c r="U226" i="10" s="1"/>
  <c r="V226" i="10" s="1"/>
  <c r="R226" i="10"/>
  <c r="Q226" i="10" s="1"/>
  <c r="S158" i="10"/>
  <c r="T158" i="10" s="1"/>
  <c r="U158" i="10" s="1"/>
  <c r="V158" i="10" s="1"/>
  <c r="R158" i="10"/>
  <c r="Q158" i="10" s="1"/>
  <c r="S108" i="10"/>
  <c r="T108" i="10" s="1"/>
  <c r="U108" i="10" s="1"/>
  <c r="V108" i="10" s="1"/>
  <c r="R108" i="10"/>
  <c r="Q108" i="10" s="1"/>
  <c r="S185" i="10"/>
  <c r="T185" i="10" s="1"/>
  <c r="U185" i="10" s="1"/>
  <c r="V185" i="10" s="1"/>
  <c r="R185" i="10"/>
  <c r="Q185" i="10" s="1"/>
  <c r="S37" i="10"/>
  <c r="T37" i="10" s="1"/>
  <c r="U37" i="10" s="1"/>
  <c r="V37" i="10" s="1"/>
  <c r="R37" i="10"/>
  <c r="Q37" i="10" s="1"/>
  <c r="S78" i="10"/>
  <c r="T78" i="10" s="1"/>
  <c r="U78" i="10" s="1"/>
  <c r="V78" i="10" s="1"/>
  <c r="R78" i="10"/>
  <c r="Q78" i="10" s="1"/>
  <c r="S174" i="10"/>
  <c r="T174" i="10" s="1"/>
  <c r="U174" i="10" s="1"/>
  <c r="V174" i="10" s="1"/>
  <c r="R174" i="10"/>
  <c r="Q174" i="10" s="1"/>
  <c r="S45" i="10"/>
  <c r="T45" i="10" s="1"/>
  <c r="U45" i="10" s="1"/>
  <c r="V45" i="10" s="1"/>
  <c r="R45" i="10"/>
  <c r="Q45" i="10" s="1"/>
  <c r="S15" i="10"/>
  <c r="T15" i="10" s="1"/>
  <c r="U15" i="10" s="1"/>
  <c r="V15" i="10" s="1"/>
  <c r="R15" i="10"/>
  <c r="Q15" i="10" s="1"/>
  <c r="S130" i="10"/>
  <c r="T130" i="10" s="1"/>
  <c r="U130" i="10" s="1"/>
  <c r="V130" i="10" s="1"/>
  <c r="R130" i="10"/>
  <c r="Q130" i="10" s="1"/>
  <c r="S47" i="10"/>
  <c r="R47" i="10"/>
  <c r="S18" i="10"/>
  <c r="R18" i="10"/>
  <c r="S57" i="10"/>
  <c r="T57" i="10" s="1"/>
  <c r="U57" i="10" s="1"/>
  <c r="V57" i="10" s="1"/>
  <c r="R57" i="10"/>
  <c r="Q57" i="10" s="1"/>
  <c r="S115" i="10"/>
  <c r="T115" i="10" s="1"/>
  <c r="U115" i="10" s="1"/>
  <c r="V115" i="10" s="1"/>
  <c r="R115" i="10"/>
  <c r="Q115" i="10" s="1"/>
  <c r="S99" i="10"/>
  <c r="T99" i="10" s="1"/>
  <c r="U99" i="10" s="1"/>
  <c r="V99" i="10" s="1"/>
  <c r="R99" i="10"/>
  <c r="Q99" i="10" s="1"/>
  <c r="S14" i="10"/>
  <c r="T14" i="10" s="1"/>
  <c r="U14" i="10" s="1"/>
  <c r="V14" i="10" s="1"/>
  <c r="R14" i="10"/>
  <c r="Q14" i="10" s="1"/>
  <c r="S29" i="10"/>
  <c r="T29" i="10" s="1"/>
  <c r="U29" i="10" s="1"/>
  <c r="V29" i="10" s="1"/>
  <c r="R29" i="10"/>
  <c r="Q29" i="10" s="1"/>
  <c r="S26" i="10"/>
  <c r="T26" i="10" s="1"/>
  <c r="U26" i="10" s="1"/>
  <c r="V26" i="10" s="1"/>
  <c r="R26" i="10"/>
  <c r="Q26" i="10" s="1"/>
  <c r="S206" i="10"/>
  <c r="T206" i="10" s="1"/>
  <c r="U206" i="10" s="1"/>
  <c r="V206" i="10" s="1"/>
  <c r="R206" i="10"/>
  <c r="Q206" i="10" s="1"/>
  <c r="S217" i="10"/>
  <c r="T217" i="10" s="1"/>
  <c r="U217" i="10" s="1"/>
  <c r="V217" i="10" s="1"/>
  <c r="R217" i="10"/>
  <c r="Q217" i="10" s="1"/>
  <c r="S173" i="10"/>
  <c r="T173" i="10" s="1"/>
  <c r="U173" i="10" s="1"/>
  <c r="V173" i="10" s="1"/>
  <c r="R173" i="10"/>
  <c r="Q173" i="10" s="1"/>
  <c r="S220" i="10"/>
  <c r="R220" i="10"/>
  <c r="S132" i="10"/>
  <c r="T132" i="10" s="1"/>
  <c r="U132" i="10" s="1"/>
  <c r="V132" i="10" s="1"/>
  <c r="R132" i="10"/>
  <c r="Q132" i="10" s="1"/>
  <c r="S72" i="10"/>
  <c r="T72" i="10" s="1"/>
  <c r="U72" i="10" s="1"/>
  <c r="V72" i="10" s="1"/>
  <c r="R72" i="10"/>
  <c r="Q72" i="10" s="1"/>
  <c r="S52" i="10"/>
  <c r="T52" i="10" s="1"/>
  <c r="U52" i="10" s="1"/>
  <c r="V52" i="10" s="1"/>
  <c r="R52" i="10"/>
  <c r="Q52" i="10" s="1"/>
  <c r="S123" i="10"/>
  <c r="T123" i="10" s="1"/>
  <c r="U123" i="10" s="1"/>
  <c r="V123" i="10" s="1"/>
  <c r="R123" i="10"/>
  <c r="Q123" i="10" s="1"/>
  <c r="S135" i="10"/>
  <c r="T135" i="10" s="1"/>
  <c r="U135" i="10" s="1"/>
  <c r="V135" i="10" s="1"/>
  <c r="R135" i="10"/>
  <c r="Q135" i="10" s="1"/>
  <c r="S110" i="10"/>
  <c r="T110" i="10" s="1"/>
  <c r="U110" i="10" s="1"/>
  <c r="V110" i="10" s="1"/>
  <c r="R110" i="10"/>
  <c r="Q110" i="10" s="1"/>
  <c r="S163" i="10"/>
  <c r="T163" i="10" s="1"/>
  <c r="U163" i="10" s="1"/>
  <c r="V163" i="10" s="1"/>
  <c r="R163" i="10"/>
  <c r="Q163" i="10" s="1"/>
  <c r="S199" i="10"/>
  <c r="T199" i="10" s="1"/>
  <c r="U199" i="10" s="1"/>
  <c r="V199" i="10" s="1"/>
  <c r="R199" i="10"/>
  <c r="Q199" i="10" s="1"/>
  <c r="S23" i="10"/>
  <c r="T23" i="10" s="1"/>
  <c r="U23" i="10" s="1"/>
  <c r="V23" i="10" s="1"/>
  <c r="R23" i="10"/>
  <c r="Q23" i="10" s="1"/>
  <c r="S106" i="10"/>
  <c r="T106" i="10" s="1"/>
  <c r="U106" i="10" s="1"/>
  <c r="V106" i="10" s="1"/>
  <c r="R106" i="10"/>
  <c r="Q106" i="10" s="1"/>
  <c r="S98" i="10"/>
  <c r="T98" i="10" s="1"/>
  <c r="U98" i="10" s="1"/>
  <c r="V98" i="10" s="1"/>
  <c r="R98" i="10"/>
  <c r="Q98" i="10" s="1"/>
  <c r="C25" i="21"/>
  <c r="Z4" i="16"/>
  <c r="S219" i="10"/>
  <c r="T219" i="10" s="1"/>
  <c r="U219" i="10" s="1"/>
  <c r="V219" i="10" s="1"/>
  <c r="R219" i="10"/>
  <c r="Q219" i="10" s="1"/>
  <c r="S79" i="10"/>
  <c r="R79" i="10"/>
  <c r="S172" i="10"/>
  <c r="T172" i="10" s="1"/>
  <c r="U172" i="10" s="1"/>
  <c r="V172" i="10" s="1"/>
  <c r="R172" i="10"/>
  <c r="Q172" i="10" s="1"/>
  <c r="S74" i="10"/>
  <c r="T74" i="10" s="1"/>
  <c r="U74" i="10" s="1"/>
  <c r="V74" i="10" s="1"/>
  <c r="R74" i="10"/>
  <c r="Q74" i="10" s="1"/>
  <c r="S204" i="10"/>
  <c r="T204" i="10" s="1"/>
  <c r="U204" i="10" s="1"/>
  <c r="V204" i="10" s="1"/>
  <c r="R204" i="10"/>
  <c r="Q204" i="10" s="1"/>
  <c r="S193" i="10"/>
  <c r="T193" i="10" s="1"/>
  <c r="U193" i="10" s="1"/>
  <c r="V193" i="10" s="1"/>
  <c r="R193" i="10"/>
  <c r="Q193" i="10" s="1"/>
  <c r="S218" i="10"/>
  <c r="T218" i="10" s="1"/>
  <c r="U218" i="10" s="1"/>
  <c r="V218" i="10" s="1"/>
  <c r="R218" i="10"/>
  <c r="Q218" i="10" s="1"/>
  <c r="S104" i="10"/>
  <c r="T104" i="10" s="1"/>
  <c r="U104" i="10" s="1"/>
  <c r="V104" i="10" s="1"/>
  <c r="R104" i="10"/>
  <c r="Q104" i="10" s="1"/>
  <c r="S43" i="10"/>
  <c r="T43" i="10" s="1"/>
  <c r="U43" i="10" s="1"/>
  <c r="V43" i="10" s="1"/>
  <c r="R43" i="10"/>
  <c r="Q43" i="10" s="1"/>
  <c r="S16" i="10"/>
  <c r="T16" i="10" s="1"/>
  <c r="U16" i="10" s="1"/>
  <c r="V16" i="10" s="1"/>
  <c r="R16" i="10"/>
  <c r="Q16" i="10" s="1"/>
  <c r="S55" i="10"/>
  <c r="T55" i="10" s="1"/>
  <c r="U55" i="10" s="1"/>
  <c r="V55" i="10" s="1"/>
  <c r="R55" i="10"/>
  <c r="Q55" i="10" s="1"/>
  <c r="S113" i="10"/>
  <c r="T113" i="10" s="1"/>
  <c r="U113" i="10" s="1"/>
  <c r="V113" i="10" s="1"/>
  <c r="R113" i="10"/>
  <c r="Q113" i="10" s="1"/>
  <c r="S46" i="10"/>
  <c r="T46" i="10" s="1"/>
  <c r="U46" i="10" s="1"/>
  <c r="V46" i="10" s="1"/>
  <c r="R46" i="10"/>
  <c r="Q46" i="10" s="1"/>
  <c r="S12" i="10"/>
  <c r="T12" i="10" s="1"/>
  <c r="U12" i="10" s="1"/>
  <c r="V12" i="10" s="1"/>
  <c r="R12" i="10"/>
  <c r="Q12" i="10" s="1"/>
  <c r="S247" i="10"/>
  <c r="T247" i="10" s="1"/>
  <c r="U247" i="10" s="1"/>
  <c r="V247" i="10" s="1"/>
  <c r="R247" i="10"/>
  <c r="Q247" i="10" s="1"/>
  <c r="S131" i="10"/>
  <c r="T131" i="10" s="1"/>
  <c r="U131" i="10" s="1"/>
  <c r="V131" i="10" s="1"/>
  <c r="R131" i="10"/>
  <c r="Q131" i="10" s="1"/>
  <c r="S82" i="10"/>
  <c r="T82" i="10" s="1"/>
  <c r="U82" i="10" s="1"/>
  <c r="V82" i="10" s="1"/>
  <c r="R82" i="10"/>
  <c r="Q82" i="10" s="1"/>
  <c r="S86" i="10"/>
  <c r="T86" i="10" s="1"/>
  <c r="U86" i="10" s="1"/>
  <c r="V86" i="10" s="1"/>
  <c r="R86" i="10"/>
  <c r="Q86" i="10" s="1"/>
  <c r="S129" i="10"/>
  <c r="T129" i="10" s="1"/>
  <c r="U129" i="10" s="1"/>
  <c r="V129" i="10" s="1"/>
  <c r="R129" i="10"/>
  <c r="Q129" i="10" s="1"/>
  <c r="S92" i="10"/>
  <c r="T92" i="10" s="1"/>
  <c r="U92" i="10" s="1"/>
  <c r="V92" i="10" s="1"/>
  <c r="R92" i="10"/>
  <c r="Q92" i="10" s="1"/>
  <c r="S145" i="10"/>
  <c r="T145" i="10" s="1"/>
  <c r="U145" i="10" s="1"/>
  <c r="V145" i="10" s="1"/>
  <c r="R145" i="10"/>
  <c r="Q145" i="10" s="1"/>
  <c r="S167" i="10"/>
  <c r="T167" i="10" s="1"/>
  <c r="U167" i="10" s="1"/>
  <c r="V167" i="10" s="1"/>
  <c r="R167" i="10"/>
  <c r="Q167" i="10" s="1"/>
  <c r="S178" i="10"/>
  <c r="T178" i="10" s="1"/>
  <c r="U178" i="10" s="1"/>
  <c r="V178" i="10" s="1"/>
  <c r="R178" i="10"/>
  <c r="Q178" i="10" s="1"/>
  <c r="S214" i="10"/>
  <c r="T214" i="10" s="1"/>
  <c r="U214" i="10" s="1"/>
  <c r="V214" i="10" s="1"/>
  <c r="R214" i="10"/>
  <c r="Q214" i="10" s="1"/>
  <c r="S179" i="10"/>
  <c r="T179" i="10" s="1"/>
  <c r="U179" i="10" s="1"/>
  <c r="V179" i="10" s="1"/>
  <c r="R179" i="10"/>
  <c r="Q179" i="10" s="1"/>
  <c r="S59" i="10"/>
  <c r="T59" i="10" s="1"/>
  <c r="U59" i="10" s="1"/>
  <c r="V59" i="10" s="1"/>
  <c r="R59" i="10"/>
  <c r="Q59" i="10" s="1"/>
  <c r="S120" i="10"/>
  <c r="T120" i="10" s="1"/>
  <c r="U120" i="10" s="1"/>
  <c r="V120" i="10" s="1"/>
  <c r="R120" i="10"/>
  <c r="Q120" i="10" s="1"/>
  <c r="S162" i="10"/>
  <c r="T162" i="10" s="1"/>
  <c r="U162" i="10" s="1"/>
  <c r="V162" i="10" s="1"/>
  <c r="R162" i="10"/>
  <c r="Q162" i="10" s="1"/>
  <c r="S50" i="10"/>
  <c r="T50" i="10" s="1"/>
  <c r="U50" i="10" s="1"/>
  <c r="V50" i="10" s="1"/>
  <c r="R50" i="10"/>
  <c r="Q50" i="10" s="1"/>
  <c r="S133" i="10"/>
  <c r="T133" i="10" s="1"/>
  <c r="U133" i="10" s="1"/>
  <c r="V133" i="10" s="1"/>
  <c r="R133" i="10"/>
  <c r="Q133" i="10" s="1"/>
  <c r="S151" i="10"/>
  <c r="T151" i="10" s="1"/>
  <c r="U151" i="10" s="1"/>
  <c r="V151" i="10" s="1"/>
  <c r="R151" i="10"/>
  <c r="Q151" i="10" s="1"/>
  <c r="S7" i="10"/>
  <c r="T7" i="10" s="1"/>
  <c r="U7" i="10" s="1"/>
  <c r="V7" i="10" s="1"/>
  <c r="R7" i="10"/>
  <c r="Q7" i="10" s="1"/>
  <c r="S156" i="10"/>
  <c r="T156" i="10" s="1"/>
  <c r="U156" i="10" s="1"/>
  <c r="V156" i="10" s="1"/>
  <c r="R156" i="10"/>
  <c r="Q156" i="10" s="1"/>
  <c r="S141" i="10"/>
  <c r="T141" i="10" s="1"/>
  <c r="U141" i="10" s="1"/>
  <c r="V141" i="10" s="1"/>
  <c r="R141" i="10"/>
  <c r="Q141" i="10" s="1"/>
  <c r="S96" i="10"/>
  <c r="R96" i="10"/>
  <c r="S224" i="10"/>
  <c r="T224" i="10" s="1"/>
  <c r="U224" i="10" s="1"/>
  <c r="V224" i="10" s="1"/>
  <c r="R224" i="10"/>
  <c r="Q224" i="10" s="1"/>
  <c r="S30" i="10"/>
  <c r="T30" i="10" s="1"/>
  <c r="U30" i="10" s="1"/>
  <c r="V30" i="10" s="1"/>
  <c r="R30" i="10"/>
  <c r="Q30" i="10" s="1"/>
  <c r="S196" i="10"/>
  <c r="T196" i="10" s="1"/>
  <c r="U196" i="10" s="1"/>
  <c r="V196" i="10" s="1"/>
  <c r="R196" i="10"/>
  <c r="Q196" i="10" s="1"/>
  <c r="S21" i="10"/>
  <c r="T21" i="10" s="1"/>
  <c r="U21" i="10" s="1"/>
  <c r="V21" i="10" s="1"/>
  <c r="R21" i="10"/>
  <c r="Q21" i="10" s="1"/>
  <c r="S9" i="10"/>
  <c r="R9" i="10"/>
  <c r="C56" i="7"/>
  <c r="A57" i="7"/>
  <c r="E56" i="7"/>
  <c r="B26" i="21"/>
  <c r="S211" i="10"/>
  <c r="T211" i="10" s="1"/>
  <c r="U211" i="10" s="1"/>
  <c r="V211" i="10" s="1"/>
  <c r="R211" i="10"/>
  <c r="Q211" i="10" s="1"/>
  <c r="S191" i="10"/>
  <c r="R191" i="10"/>
  <c r="S177" i="10"/>
  <c r="T177" i="10" s="1"/>
  <c r="U177" i="10" s="1"/>
  <c r="V177" i="10" s="1"/>
  <c r="R177" i="10"/>
  <c r="Q177" i="10" s="1"/>
  <c r="S136" i="10"/>
  <c r="T136" i="10" s="1"/>
  <c r="U136" i="10" s="1"/>
  <c r="V136" i="10" s="1"/>
  <c r="R136" i="10"/>
  <c r="Q136" i="10" s="1"/>
  <c r="S70" i="10"/>
  <c r="T70" i="10" s="1"/>
  <c r="U70" i="10" s="1"/>
  <c r="V70" i="10" s="1"/>
  <c r="R70" i="10"/>
  <c r="Q70" i="10" s="1"/>
  <c r="S152" i="10"/>
  <c r="T152" i="10" s="1"/>
  <c r="U152" i="10" s="1"/>
  <c r="V152" i="10" s="1"/>
  <c r="R152" i="10"/>
  <c r="Q152" i="10" s="1"/>
  <c r="S189" i="10"/>
  <c r="T189" i="10" s="1"/>
  <c r="U189" i="10" s="1"/>
  <c r="V189" i="10" s="1"/>
  <c r="R189" i="10"/>
  <c r="Q189" i="10" s="1"/>
  <c r="S215" i="10"/>
  <c r="R215" i="10"/>
  <c r="S93" i="10"/>
  <c r="T93" i="10" s="1"/>
  <c r="U93" i="10" s="1"/>
  <c r="V93" i="10" s="1"/>
  <c r="R93" i="10"/>
  <c r="Q93" i="10" s="1"/>
  <c r="S39" i="10"/>
  <c r="T39" i="10" s="1"/>
  <c r="U39" i="10" s="1"/>
  <c r="V39" i="10" s="1"/>
  <c r="R39" i="10"/>
  <c r="Q39" i="10" s="1"/>
  <c r="R6" i="10"/>
  <c r="Q6" i="10" s="1"/>
  <c r="S6" i="10"/>
  <c r="T6" i="10" s="1"/>
  <c r="U6" i="10" s="1"/>
  <c r="V6" i="10" s="1"/>
  <c r="S53" i="10"/>
  <c r="T53" i="10" s="1"/>
  <c r="U53" i="10" s="1"/>
  <c r="V53" i="10" s="1"/>
  <c r="R53" i="10"/>
  <c r="Q53" i="10" s="1"/>
  <c r="S111" i="10"/>
  <c r="T111" i="10" s="1"/>
  <c r="U111" i="10" s="1"/>
  <c r="V111" i="10" s="1"/>
  <c r="R111" i="10"/>
  <c r="Q111" i="10" s="1"/>
  <c r="S44" i="10"/>
  <c r="T44" i="10" s="1"/>
  <c r="U44" i="10" s="1"/>
  <c r="V44" i="10" s="1"/>
  <c r="R44" i="10"/>
  <c r="Q44" i="10" s="1"/>
  <c r="S166" i="10"/>
  <c r="T166" i="10" s="1"/>
  <c r="U166" i="10" s="1"/>
  <c r="V166" i="10" s="1"/>
  <c r="R166" i="10"/>
  <c r="Q166" i="10" s="1"/>
  <c r="S202" i="10"/>
  <c r="R202" i="10"/>
  <c r="S41" i="10"/>
  <c r="T41" i="10" s="1"/>
  <c r="U41" i="10" s="1"/>
  <c r="V41" i="10" s="1"/>
  <c r="R41" i="10"/>
  <c r="Q41" i="10" s="1"/>
  <c r="S144" i="10"/>
  <c r="T144" i="10" s="1"/>
  <c r="U144" i="10" s="1"/>
  <c r="V144" i="10" s="1"/>
  <c r="R144" i="10"/>
  <c r="Q144" i="10" s="1"/>
  <c r="S184" i="10"/>
  <c r="T184" i="10" s="1"/>
  <c r="U184" i="10" s="1"/>
  <c r="V184" i="10" s="1"/>
  <c r="R184" i="10"/>
  <c r="Q184" i="10" s="1"/>
  <c r="S209" i="10"/>
  <c r="R209" i="10"/>
  <c r="S89" i="10"/>
  <c r="T89" i="10" s="1"/>
  <c r="U89" i="10" s="1"/>
  <c r="V89" i="10" s="1"/>
  <c r="R89" i="10"/>
  <c r="Q89" i="10" s="1"/>
  <c r="S35" i="10"/>
  <c r="T35" i="10" s="1"/>
  <c r="U35" i="10" s="1"/>
  <c r="V35" i="10" s="1"/>
  <c r="R35" i="10"/>
  <c r="Q35" i="10" s="1"/>
  <c r="S67" i="10"/>
  <c r="R67" i="10"/>
  <c r="S51" i="10"/>
  <c r="T51" i="10" s="1"/>
  <c r="U51" i="10" s="1"/>
  <c r="V51" i="10" s="1"/>
  <c r="R51" i="10"/>
  <c r="Q51" i="10" s="1"/>
  <c r="S109" i="10"/>
  <c r="T109" i="10" s="1"/>
  <c r="U109" i="10" s="1"/>
  <c r="V109" i="10" s="1"/>
  <c r="R109" i="10"/>
  <c r="Q109" i="10" s="1"/>
  <c r="S42" i="10"/>
  <c r="T42" i="10" s="1"/>
  <c r="U42" i="10" s="1"/>
  <c r="V42" i="10" s="1"/>
  <c r="R42" i="10"/>
  <c r="Q42" i="10" s="1"/>
  <c r="X47" i="10" l="1"/>
  <c r="R48" i="10"/>
  <c r="Q48" i="10" s="1"/>
  <c r="Q47" i="10"/>
  <c r="X212" i="10"/>
  <c r="R213" i="10"/>
  <c r="Q213" i="10" s="1"/>
  <c r="Q212" i="10"/>
  <c r="A58" i="7"/>
  <c r="C57" i="7"/>
  <c r="E57" i="7"/>
  <c r="B27" i="21"/>
  <c r="S48" i="10"/>
  <c r="W48" i="10" s="1"/>
  <c r="T47" i="10"/>
  <c r="X153" i="10"/>
  <c r="Q153" i="10"/>
  <c r="R154" i="10"/>
  <c r="Q154" i="10" s="1"/>
  <c r="R147" i="10"/>
  <c r="Q147" i="10" s="1"/>
  <c r="X146" i="10"/>
  <c r="Q146" i="10"/>
  <c r="X121" i="10"/>
  <c r="R122" i="10"/>
  <c r="Q122" i="10" s="1"/>
  <c r="Q121" i="10"/>
  <c r="S213" i="10"/>
  <c r="W213" i="10" s="1"/>
  <c r="T212" i="10"/>
  <c r="S192" i="10"/>
  <c r="W192" i="10" s="1"/>
  <c r="T191" i="10"/>
  <c r="Q220" i="10"/>
  <c r="R221" i="10"/>
  <c r="Q221" i="10" s="1"/>
  <c r="X220" i="10"/>
  <c r="S154" i="10"/>
  <c r="W154" i="10" s="1"/>
  <c r="T153" i="10"/>
  <c r="S147" i="10"/>
  <c r="W147" i="10" s="1"/>
  <c r="T146" i="10"/>
  <c r="S122" i="10"/>
  <c r="W122" i="10" s="1"/>
  <c r="T121" i="10"/>
  <c r="S19" i="10"/>
  <c r="W19" i="10" s="1"/>
  <c r="T18" i="10"/>
  <c r="Q202" i="10"/>
  <c r="R203" i="10"/>
  <c r="Q203" i="10" s="1"/>
  <c r="X202" i="10"/>
  <c r="S210" i="10"/>
  <c r="W210" i="10" s="1"/>
  <c r="T209" i="10"/>
  <c r="Q96" i="10"/>
  <c r="R97" i="10"/>
  <c r="Q97" i="10" s="1"/>
  <c r="X96" i="10"/>
  <c r="S221" i="10"/>
  <c r="W221" i="10" s="1"/>
  <c r="T220" i="10"/>
  <c r="X170" i="10"/>
  <c r="R171" i="10"/>
  <c r="Q171" i="10" s="1"/>
  <c r="Q170" i="10"/>
  <c r="S203" i="10"/>
  <c r="W203" i="10" s="1"/>
  <c r="T202" i="10"/>
  <c r="S171" i="10"/>
  <c r="W171" i="10" s="1"/>
  <c r="T170" i="10"/>
  <c r="Q209" i="10"/>
  <c r="R210" i="10"/>
  <c r="Q210" i="10" s="1"/>
  <c r="X209" i="10"/>
  <c r="S216" i="10"/>
  <c r="W216" i="10" s="1"/>
  <c r="T215" i="10"/>
  <c r="X67" i="10"/>
  <c r="R68" i="10"/>
  <c r="Q68" i="10" s="1"/>
  <c r="Q67" i="10"/>
  <c r="C26" i="21"/>
  <c r="AA4" i="16"/>
  <c r="X79" i="10"/>
  <c r="Q79" i="10"/>
  <c r="R80" i="10"/>
  <c r="Q80" i="10" s="1"/>
  <c r="S33" i="10"/>
  <c r="W33" i="10" s="1"/>
  <c r="T32" i="10"/>
  <c r="X215" i="10"/>
  <c r="R216" i="10"/>
  <c r="Q216" i="10" s="1"/>
  <c r="Q215" i="10"/>
  <c r="Q9" i="10"/>
  <c r="R10" i="10"/>
  <c r="Q10" i="10" s="1"/>
  <c r="X9" i="10"/>
  <c r="T9" i="10"/>
  <c r="S10" i="10"/>
  <c r="W10" i="10" s="1"/>
  <c r="S68" i="10"/>
  <c r="W68" i="10" s="1"/>
  <c r="T67" i="10"/>
  <c r="S97" i="10"/>
  <c r="W97" i="10" s="1"/>
  <c r="T96" i="10"/>
  <c r="Q191" i="10"/>
  <c r="R192" i="10"/>
  <c r="Q192" i="10" s="1"/>
  <c r="X191" i="10"/>
  <c r="F56" i="7"/>
  <c r="E26" i="21" s="1"/>
  <c r="AA5" i="16" s="1"/>
  <c r="D26" i="21"/>
  <c r="S80" i="10"/>
  <c r="W80" i="10" s="1"/>
  <c r="T79" i="10"/>
  <c r="X18" i="10"/>
  <c r="Q18" i="10"/>
  <c r="R19" i="10"/>
  <c r="Q19" i="10" s="1"/>
  <c r="X32" i="10"/>
  <c r="R33" i="10"/>
  <c r="Q33" i="10" s="1"/>
  <c r="Q32" i="10"/>
  <c r="X201" i="10" l="1"/>
  <c r="X200" i="10" s="1"/>
  <c r="X199" i="10" s="1"/>
  <c r="X198" i="10" s="1"/>
  <c r="X197" i="10" s="1"/>
  <c r="X196" i="10" s="1"/>
  <c r="X195" i="10" s="1"/>
  <c r="X194" i="10" s="1"/>
  <c r="X193" i="10" s="1"/>
  <c r="Y202" i="10"/>
  <c r="C58" i="7"/>
  <c r="A59" i="7"/>
  <c r="B28" i="21"/>
  <c r="E58" i="7"/>
  <c r="X145" i="10"/>
  <c r="X144" i="10" s="1"/>
  <c r="X143" i="10" s="1"/>
  <c r="X142" i="10" s="1"/>
  <c r="X141" i="10" s="1"/>
  <c r="X140" i="10" s="1"/>
  <c r="X139" i="10" s="1"/>
  <c r="X138" i="10" s="1"/>
  <c r="X137" i="10" s="1"/>
  <c r="X136" i="10" s="1"/>
  <c r="X135" i="10" s="1"/>
  <c r="X134" i="10" s="1"/>
  <c r="X133" i="10" s="1"/>
  <c r="X132" i="10" s="1"/>
  <c r="X131" i="10" s="1"/>
  <c r="X130" i="10" s="1"/>
  <c r="X129" i="10" s="1"/>
  <c r="X128" i="10" s="1"/>
  <c r="X127" i="10" s="1"/>
  <c r="X126" i="10" s="1"/>
  <c r="X125" i="10" s="1"/>
  <c r="X124" i="10" s="1"/>
  <c r="X123" i="10" s="1"/>
  <c r="Y146" i="10"/>
  <c r="T203" i="10"/>
  <c r="U203" i="10" s="1"/>
  <c r="V203" i="10" s="1"/>
  <c r="U202" i="10"/>
  <c r="V202" i="10" s="1"/>
  <c r="X95" i="10"/>
  <c r="X94" i="10" s="1"/>
  <c r="X93" i="10" s="1"/>
  <c r="X92" i="10" s="1"/>
  <c r="X91" i="10" s="1"/>
  <c r="X90" i="10" s="1"/>
  <c r="X89" i="10" s="1"/>
  <c r="X88" i="10" s="1"/>
  <c r="X87" i="10" s="1"/>
  <c r="X86" i="10" s="1"/>
  <c r="X85" i="10" s="1"/>
  <c r="X84" i="10" s="1"/>
  <c r="X83" i="10" s="1"/>
  <c r="X82" i="10" s="1"/>
  <c r="X81" i="10" s="1"/>
  <c r="Y96" i="10"/>
  <c r="U153" i="10"/>
  <c r="V153" i="10" s="1"/>
  <c r="T154" i="10"/>
  <c r="U154" i="10" s="1"/>
  <c r="V154" i="10" s="1"/>
  <c r="U212" i="10"/>
  <c r="V212" i="10" s="1"/>
  <c r="T213" i="10"/>
  <c r="U213" i="10" s="1"/>
  <c r="V213" i="10" s="1"/>
  <c r="X78" i="10"/>
  <c r="X77" i="10" s="1"/>
  <c r="X76" i="10" s="1"/>
  <c r="X75" i="10" s="1"/>
  <c r="X74" i="10" s="1"/>
  <c r="X73" i="10" s="1"/>
  <c r="X72" i="10" s="1"/>
  <c r="X71" i="10" s="1"/>
  <c r="X70" i="10" s="1"/>
  <c r="X69" i="10" s="1"/>
  <c r="Y79" i="10"/>
  <c r="X208" i="10"/>
  <c r="X207" i="10" s="1"/>
  <c r="X206" i="10" s="1"/>
  <c r="X205" i="10" s="1"/>
  <c r="X204" i="10" s="1"/>
  <c r="Y209" i="10"/>
  <c r="T10" i="10"/>
  <c r="U10" i="10" s="1"/>
  <c r="V10" i="10" s="1"/>
  <c r="U9" i="10"/>
  <c r="V9" i="10" s="1"/>
  <c r="Y67" i="10"/>
  <c r="X66" i="10"/>
  <c r="X65" i="10" s="1"/>
  <c r="X64" i="10" s="1"/>
  <c r="X63" i="10" s="1"/>
  <c r="X62" i="10" s="1"/>
  <c r="X61" i="10" s="1"/>
  <c r="X60" i="10" s="1"/>
  <c r="X59" i="10" s="1"/>
  <c r="X58" i="10" s="1"/>
  <c r="X57" i="10" s="1"/>
  <c r="X56" i="10" s="1"/>
  <c r="X55" i="10" s="1"/>
  <c r="X54" i="10" s="1"/>
  <c r="X53" i="10" s="1"/>
  <c r="X52" i="10" s="1"/>
  <c r="X51" i="10" s="1"/>
  <c r="X50" i="10" s="1"/>
  <c r="X49" i="10" s="1"/>
  <c r="U191" i="10"/>
  <c r="V191" i="10" s="1"/>
  <c r="T192" i="10"/>
  <c r="U192" i="10" s="1"/>
  <c r="V192" i="10" s="1"/>
  <c r="U67" i="10"/>
  <c r="V67" i="10" s="1"/>
  <c r="T68" i="10"/>
  <c r="U68" i="10" s="1"/>
  <c r="V68" i="10" s="1"/>
  <c r="T19" i="10"/>
  <c r="U19" i="10" s="1"/>
  <c r="V19" i="10" s="1"/>
  <c r="U18" i="10"/>
  <c r="V18" i="10" s="1"/>
  <c r="X152" i="10"/>
  <c r="X151" i="10" s="1"/>
  <c r="X150" i="10" s="1"/>
  <c r="X149" i="10" s="1"/>
  <c r="X148" i="10" s="1"/>
  <c r="Y153" i="10"/>
  <c r="X211" i="10"/>
  <c r="Y212" i="10"/>
  <c r="Y191" i="10"/>
  <c r="X190" i="10"/>
  <c r="X189" i="10" s="1"/>
  <c r="X188" i="10" s="1"/>
  <c r="X187" i="10" s="1"/>
  <c r="X186" i="10" s="1"/>
  <c r="X185" i="10" s="1"/>
  <c r="X184" i="10" s="1"/>
  <c r="X183" i="10" s="1"/>
  <c r="X182" i="10" s="1"/>
  <c r="X181" i="10" s="1"/>
  <c r="X180" i="10" s="1"/>
  <c r="X179" i="10" s="1"/>
  <c r="X178" i="10" s="1"/>
  <c r="X177" i="10" s="1"/>
  <c r="X176" i="10" s="1"/>
  <c r="X175" i="10" s="1"/>
  <c r="X174" i="10" s="1"/>
  <c r="X173" i="10" s="1"/>
  <c r="X172" i="10" s="1"/>
  <c r="Y9" i="10"/>
  <c r="X8" i="10"/>
  <c r="X7" i="10" s="1"/>
  <c r="X6" i="10" s="1"/>
  <c r="X5" i="10" s="1"/>
  <c r="X4" i="10" s="1"/>
  <c r="T221" i="10"/>
  <c r="U221" i="10" s="1"/>
  <c r="V221" i="10" s="1"/>
  <c r="U220" i="10"/>
  <c r="V220" i="10" s="1"/>
  <c r="T147" i="10"/>
  <c r="U147" i="10" s="1"/>
  <c r="V147" i="10" s="1"/>
  <c r="U146" i="10"/>
  <c r="V146" i="10" s="1"/>
  <c r="X17" i="10"/>
  <c r="X16" i="10" s="1"/>
  <c r="X15" i="10" s="1"/>
  <c r="X14" i="10" s="1"/>
  <c r="X13" i="10" s="1"/>
  <c r="X12" i="10" s="1"/>
  <c r="X11" i="10" s="1"/>
  <c r="Y18" i="10"/>
  <c r="T97" i="10"/>
  <c r="U97" i="10" s="1"/>
  <c r="V97" i="10" s="1"/>
  <c r="U96" i="10"/>
  <c r="V96" i="10" s="1"/>
  <c r="U215" i="10"/>
  <c r="V215" i="10" s="1"/>
  <c r="T216" i="10"/>
  <c r="U216" i="10" s="1"/>
  <c r="V216" i="10" s="1"/>
  <c r="U79" i="10"/>
  <c r="V79" i="10" s="1"/>
  <c r="T80" i="10"/>
  <c r="U80" i="10" s="1"/>
  <c r="V80" i="10" s="1"/>
  <c r="Y32" i="10"/>
  <c r="X31" i="10"/>
  <c r="X30" i="10" s="1"/>
  <c r="X29" i="10" s="1"/>
  <c r="X28" i="10" s="1"/>
  <c r="X27" i="10" s="1"/>
  <c r="X26" i="10" s="1"/>
  <c r="X25" i="10" s="1"/>
  <c r="X24" i="10" s="1"/>
  <c r="X23" i="10" s="1"/>
  <c r="X22" i="10" s="1"/>
  <c r="X21" i="10" s="1"/>
  <c r="X20" i="10" s="1"/>
  <c r="X214" i="10"/>
  <c r="Y215" i="10"/>
  <c r="Y220" i="10"/>
  <c r="X219" i="10"/>
  <c r="X218" i="10" s="1"/>
  <c r="X217" i="10" s="1"/>
  <c r="T48" i="10"/>
  <c r="U48" i="10" s="1"/>
  <c r="V48" i="10" s="1"/>
  <c r="U47" i="10"/>
  <c r="V47" i="10" s="1"/>
  <c r="W344" i="10"/>
  <c r="T33" i="10"/>
  <c r="U33" i="10" s="1"/>
  <c r="V33" i="10" s="1"/>
  <c r="U32" i="10"/>
  <c r="V32" i="10" s="1"/>
  <c r="Y170" i="10"/>
  <c r="X169" i="10"/>
  <c r="X168" i="10" s="1"/>
  <c r="X167" i="10" s="1"/>
  <c r="X166" i="10" s="1"/>
  <c r="X165" i="10" s="1"/>
  <c r="X164" i="10" s="1"/>
  <c r="X163" i="10" s="1"/>
  <c r="X162" i="10" s="1"/>
  <c r="X161" i="10" s="1"/>
  <c r="X160" i="10" s="1"/>
  <c r="X159" i="10" s="1"/>
  <c r="X158" i="10" s="1"/>
  <c r="X157" i="10" s="1"/>
  <c r="X156" i="10" s="1"/>
  <c r="X155" i="10" s="1"/>
  <c r="T210" i="10"/>
  <c r="U210" i="10" s="1"/>
  <c r="V210" i="10" s="1"/>
  <c r="U209" i="10"/>
  <c r="V209" i="10" s="1"/>
  <c r="U121" i="10"/>
  <c r="V121" i="10" s="1"/>
  <c r="T122" i="10"/>
  <c r="U122" i="10" s="1"/>
  <c r="V122" i="10" s="1"/>
  <c r="X120" i="10"/>
  <c r="X119" i="10" s="1"/>
  <c r="X118" i="10" s="1"/>
  <c r="X117" i="10" s="1"/>
  <c r="X116" i="10" s="1"/>
  <c r="X115" i="10" s="1"/>
  <c r="X114" i="10" s="1"/>
  <c r="X113" i="10" s="1"/>
  <c r="X112" i="10" s="1"/>
  <c r="X111" i="10" s="1"/>
  <c r="X110" i="10" s="1"/>
  <c r="X109" i="10" s="1"/>
  <c r="X108" i="10" s="1"/>
  <c r="X107" i="10" s="1"/>
  <c r="X106" i="10" s="1"/>
  <c r="X105" i="10" s="1"/>
  <c r="X104" i="10" s="1"/>
  <c r="X103" i="10" s="1"/>
  <c r="X102" i="10" s="1"/>
  <c r="X101" i="10" s="1"/>
  <c r="X100" i="10" s="1"/>
  <c r="X99" i="10" s="1"/>
  <c r="X98" i="10" s="1"/>
  <c r="Y121" i="10"/>
  <c r="C27" i="21"/>
  <c r="AB4" i="16"/>
  <c r="U170" i="10"/>
  <c r="V170" i="10" s="1"/>
  <c r="T171" i="10"/>
  <c r="U171" i="10" s="1"/>
  <c r="V171" i="10" s="1"/>
  <c r="F57" i="7"/>
  <c r="E27" i="21" s="1"/>
  <c r="AB5" i="16" s="1"/>
  <c r="D27" i="21"/>
  <c r="X46" i="10"/>
  <c r="X45" i="10" s="1"/>
  <c r="X44" i="10" s="1"/>
  <c r="X43" i="10" s="1"/>
  <c r="X42" i="10" s="1"/>
  <c r="X41" i="10" s="1"/>
  <c r="X40" i="10" s="1"/>
  <c r="X39" i="10" s="1"/>
  <c r="X38" i="10" s="1"/>
  <c r="X37" i="10" s="1"/>
  <c r="X36" i="10" s="1"/>
  <c r="X35" i="10" s="1"/>
  <c r="X34" i="10" s="1"/>
  <c r="Y47" i="10"/>
  <c r="Y145" i="10" l="1"/>
  <c r="Y144" i="10" s="1"/>
  <c r="Y143" i="10" s="1"/>
  <c r="Y142" i="10" s="1"/>
  <c r="Y141" i="10" s="1"/>
  <c r="Y140" i="10" s="1"/>
  <c r="Y139" i="10" s="1"/>
  <c r="Y138" i="10" s="1"/>
  <c r="Y137" i="10" s="1"/>
  <c r="Y136" i="10" s="1"/>
  <c r="Y135" i="10" s="1"/>
  <c r="Y134" i="10" s="1"/>
  <c r="Y133" i="10" s="1"/>
  <c r="Y132" i="10" s="1"/>
  <c r="Y131" i="10" s="1"/>
  <c r="Y130" i="10" s="1"/>
  <c r="Y129" i="10" s="1"/>
  <c r="Y128" i="10" s="1"/>
  <c r="Y127" i="10" s="1"/>
  <c r="Y126" i="10" s="1"/>
  <c r="Y125" i="10" s="1"/>
  <c r="Y124" i="10" s="1"/>
  <c r="Y123" i="10" s="1"/>
  <c r="Z146" i="10"/>
  <c r="Y46" i="10"/>
  <c r="Y45" i="10" s="1"/>
  <c r="Y44" i="10" s="1"/>
  <c r="Y43" i="10" s="1"/>
  <c r="Y42" i="10" s="1"/>
  <c r="Y41" i="10" s="1"/>
  <c r="Y40" i="10" s="1"/>
  <c r="Y39" i="10" s="1"/>
  <c r="Y38" i="10" s="1"/>
  <c r="Y37" i="10" s="1"/>
  <c r="Y36" i="10" s="1"/>
  <c r="Y35" i="10" s="1"/>
  <c r="Y34" i="10" s="1"/>
  <c r="Z47" i="10"/>
  <c r="Y120" i="10"/>
  <c r="Y119" i="10" s="1"/>
  <c r="Y118" i="10" s="1"/>
  <c r="Y117" i="10" s="1"/>
  <c r="Y116" i="10" s="1"/>
  <c r="Y115" i="10" s="1"/>
  <c r="Y114" i="10" s="1"/>
  <c r="Y113" i="10" s="1"/>
  <c r="Y112" i="10" s="1"/>
  <c r="Y111" i="10" s="1"/>
  <c r="Y110" i="10" s="1"/>
  <c r="Y109" i="10" s="1"/>
  <c r="Y108" i="10" s="1"/>
  <c r="Y107" i="10" s="1"/>
  <c r="Y106" i="10" s="1"/>
  <c r="Y105" i="10" s="1"/>
  <c r="Y104" i="10" s="1"/>
  <c r="Y103" i="10" s="1"/>
  <c r="Y102" i="10" s="1"/>
  <c r="Y101" i="10" s="1"/>
  <c r="Y100" i="10" s="1"/>
  <c r="Y99" i="10" s="1"/>
  <c r="Y98" i="10" s="1"/>
  <c r="Z121" i="10"/>
  <c r="Z220" i="10"/>
  <c r="Y219" i="10"/>
  <c r="Y218" i="10" s="1"/>
  <c r="Y217" i="10" s="1"/>
  <c r="Z67" i="10"/>
  <c r="Y66" i="10"/>
  <c r="Y65" i="10" s="1"/>
  <c r="Y64" i="10" s="1"/>
  <c r="Y63" i="10" s="1"/>
  <c r="Y62" i="10" s="1"/>
  <c r="Y61" i="10" s="1"/>
  <c r="Y60" i="10" s="1"/>
  <c r="Y59" i="10" s="1"/>
  <c r="Y58" i="10" s="1"/>
  <c r="Y57" i="10" s="1"/>
  <c r="Y56" i="10" s="1"/>
  <c r="Y55" i="10" s="1"/>
  <c r="Y54" i="10" s="1"/>
  <c r="Y53" i="10" s="1"/>
  <c r="Y52" i="10" s="1"/>
  <c r="Y51" i="10" s="1"/>
  <c r="Y50" i="10" s="1"/>
  <c r="Y49" i="10" s="1"/>
  <c r="F58" i="7"/>
  <c r="E28" i="21" s="1"/>
  <c r="AC5" i="16" s="1"/>
  <c r="D28" i="21"/>
  <c r="C28" i="21"/>
  <c r="AC4" i="16"/>
  <c r="Y152" i="10"/>
  <c r="Y151" i="10" s="1"/>
  <c r="Y150" i="10" s="1"/>
  <c r="Y149" i="10" s="1"/>
  <c r="Y148" i="10" s="1"/>
  <c r="Z153" i="10"/>
  <c r="Y17" i="10"/>
  <c r="Y16" i="10" s="1"/>
  <c r="Y15" i="10" s="1"/>
  <c r="Y14" i="10" s="1"/>
  <c r="Y13" i="10" s="1"/>
  <c r="Y12" i="10" s="1"/>
  <c r="Y11" i="10" s="1"/>
  <c r="Z18" i="10"/>
  <c r="Z209" i="10"/>
  <c r="Y208" i="10"/>
  <c r="Y207" i="10" s="1"/>
  <c r="Y206" i="10" s="1"/>
  <c r="Y205" i="10" s="1"/>
  <c r="Y204" i="10" s="1"/>
  <c r="Y95" i="10"/>
  <c r="Y94" i="10" s="1"/>
  <c r="Y93" i="10" s="1"/>
  <c r="Y92" i="10" s="1"/>
  <c r="Y91" i="10" s="1"/>
  <c r="Y90" i="10" s="1"/>
  <c r="Y89" i="10" s="1"/>
  <c r="Y88" i="10" s="1"/>
  <c r="Y87" i="10" s="1"/>
  <c r="Y86" i="10" s="1"/>
  <c r="Y85" i="10" s="1"/>
  <c r="Y84" i="10" s="1"/>
  <c r="Y83" i="10" s="1"/>
  <c r="Y82" i="10" s="1"/>
  <c r="Y81" i="10" s="1"/>
  <c r="Z96" i="10"/>
  <c r="E59" i="7"/>
  <c r="A60" i="7"/>
  <c r="C59" i="7"/>
  <c r="B29" i="21"/>
  <c r="Z9" i="10"/>
  <c r="Y8" i="10"/>
  <c r="Y7" i="10" s="1"/>
  <c r="Y6" i="10" s="1"/>
  <c r="Y5" i="10" s="1"/>
  <c r="Y4" i="10" s="1"/>
  <c r="Y31" i="10"/>
  <c r="Y30" i="10" s="1"/>
  <c r="Y29" i="10" s="1"/>
  <c r="Y28" i="10" s="1"/>
  <c r="Y27" i="10" s="1"/>
  <c r="Y26" i="10" s="1"/>
  <c r="Y25" i="10" s="1"/>
  <c r="Y24" i="10" s="1"/>
  <c r="Y23" i="10" s="1"/>
  <c r="Y22" i="10" s="1"/>
  <c r="Y21" i="10" s="1"/>
  <c r="Y20" i="10" s="1"/>
  <c r="Z32" i="10"/>
  <c r="Y190" i="10"/>
  <c r="Y189" i="10" s="1"/>
  <c r="Y188" i="10" s="1"/>
  <c r="Y187" i="10" s="1"/>
  <c r="Y186" i="10" s="1"/>
  <c r="Y185" i="10" s="1"/>
  <c r="Y184" i="10" s="1"/>
  <c r="Y183" i="10" s="1"/>
  <c r="Y182" i="10" s="1"/>
  <c r="Y181" i="10" s="1"/>
  <c r="Y180" i="10" s="1"/>
  <c r="Y179" i="10" s="1"/>
  <c r="Y178" i="10" s="1"/>
  <c r="Y177" i="10" s="1"/>
  <c r="Y176" i="10" s="1"/>
  <c r="Y175" i="10" s="1"/>
  <c r="Y174" i="10" s="1"/>
  <c r="Y173" i="10" s="1"/>
  <c r="Y172" i="10" s="1"/>
  <c r="Z191" i="10"/>
  <c r="Y214" i="10"/>
  <c r="Z215" i="10"/>
  <c r="Y211" i="10"/>
  <c r="Z212" i="10"/>
  <c r="Z79" i="10"/>
  <c r="Y78" i="10"/>
  <c r="Y77" i="10" s="1"/>
  <c r="Y76" i="10" s="1"/>
  <c r="Y75" i="10" s="1"/>
  <c r="Y74" i="10" s="1"/>
  <c r="Y73" i="10" s="1"/>
  <c r="Y72" i="10" s="1"/>
  <c r="Y71" i="10" s="1"/>
  <c r="Y70" i="10" s="1"/>
  <c r="Y69" i="10" s="1"/>
  <c r="Z202" i="10"/>
  <c r="Y201" i="10"/>
  <c r="Y200" i="10" s="1"/>
  <c r="Y199" i="10" s="1"/>
  <c r="Y198" i="10" s="1"/>
  <c r="Y197" i="10" s="1"/>
  <c r="Y196" i="10" s="1"/>
  <c r="Y195" i="10" s="1"/>
  <c r="Y194" i="10" s="1"/>
  <c r="Y193" i="10" s="1"/>
  <c r="Z170" i="10"/>
  <c r="Y169" i="10"/>
  <c r="Y168" i="10" s="1"/>
  <c r="Y167" i="10" s="1"/>
  <c r="Y166" i="10" s="1"/>
  <c r="Y165" i="10" s="1"/>
  <c r="Y164" i="10" s="1"/>
  <c r="Y163" i="10" s="1"/>
  <c r="Y162" i="10" s="1"/>
  <c r="Y161" i="10" s="1"/>
  <c r="Y160" i="10" s="1"/>
  <c r="Y159" i="10" s="1"/>
  <c r="Y158" i="10" s="1"/>
  <c r="Y157" i="10" s="1"/>
  <c r="Y156" i="10" s="1"/>
  <c r="Y155" i="10" s="1"/>
  <c r="AA191" i="10" l="1"/>
  <c r="AB191" i="10" s="1"/>
  <c r="Z190" i="10"/>
  <c r="AA96" i="10"/>
  <c r="AB96" i="10" s="1"/>
  <c r="Z95" i="10"/>
  <c r="Z120" i="10"/>
  <c r="AA121" i="10"/>
  <c r="AB121" i="10" s="1"/>
  <c r="Z219" i="10"/>
  <c r="AA220" i="10"/>
  <c r="AB220" i="10" s="1"/>
  <c r="AA170" i="10"/>
  <c r="AB170" i="10" s="1"/>
  <c r="Z169" i="10"/>
  <c r="Z201" i="10"/>
  <c r="AA202" i="10"/>
  <c r="AB202" i="10" s="1"/>
  <c r="Z31" i="10"/>
  <c r="AA32" i="10"/>
  <c r="AB32" i="10" s="1"/>
  <c r="Z78" i="10"/>
  <c r="AA79" i="10"/>
  <c r="AB79" i="10" s="1"/>
  <c r="Z46" i="10"/>
  <c r="AA47" i="10"/>
  <c r="AB47" i="10" s="1"/>
  <c r="AA153" i="10"/>
  <c r="AB153" i="10" s="1"/>
  <c r="Z152" i="10"/>
  <c r="Z211" i="10"/>
  <c r="AA211" i="10" s="1"/>
  <c r="AB211" i="10" s="1"/>
  <c r="AA212" i="10"/>
  <c r="AB212" i="10" s="1"/>
  <c r="Z208" i="10"/>
  <c r="AA209" i="10"/>
  <c r="AB209" i="10" s="1"/>
  <c r="A61" i="7"/>
  <c r="B30" i="21"/>
  <c r="C60" i="7"/>
  <c r="E60" i="7"/>
  <c r="D29" i="21"/>
  <c r="F59" i="7"/>
  <c r="E29" i="21" s="1"/>
  <c r="AD5" i="16" s="1"/>
  <c r="Z8" i="10"/>
  <c r="AA9" i="10"/>
  <c r="AB9" i="10" s="1"/>
  <c r="C29" i="21"/>
  <c r="AD4" i="16"/>
  <c r="Z17" i="10"/>
  <c r="AA18" i="10"/>
  <c r="AB18" i="10" s="1"/>
  <c r="Z145" i="10"/>
  <c r="AA146" i="10"/>
  <c r="AB146" i="10" s="1"/>
  <c r="AA215" i="10"/>
  <c r="AB215" i="10" s="1"/>
  <c r="Z214" i="10"/>
  <c r="AA214" i="10" s="1"/>
  <c r="AB214" i="10" s="1"/>
  <c r="Z66" i="10"/>
  <c r="AA67" i="10"/>
  <c r="AB67" i="10" s="1"/>
  <c r="AE4" i="16" l="1"/>
  <c r="C30" i="21"/>
  <c r="AA17" i="10"/>
  <c r="AB17" i="10" s="1"/>
  <c r="Z16" i="10"/>
  <c r="AA46" i="10"/>
  <c r="AB46" i="10" s="1"/>
  <c r="Z45" i="10"/>
  <c r="Z30" i="10"/>
  <c r="AA31" i="10"/>
  <c r="AB31" i="10" s="1"/>
  <c r="Z218" i="10"/>
  <c r="AA219" i="10"/>
  <c r="AB219" i="10" s="1"/>
  <c r="AA145" i="10"/>
  <c r="AB145" i="10" s="1"/>
  <c r="Z144" i="10"/>
  <c r="Z65" i="10"/>
  <c r="AA66" i="10"/>
  <c r="AB66" i="10" s="1"/>
  <c r="Z207" i="10"/>
  <c r="AA208" i="10"/>
  <c r="AB208" i="10" s="1"/>
  <c r="Z200" i="10"/>
  <c r="AA201" i="10"/>
  <c r="AB201" i="10" s="1"/>
  <c r="Z77" i="10"/>
  <c r="AA78" i="10"/>
  <c r="AB78" i="10" s="1"/>
  <c r="Z189" i="10"/>
  <c r="AA190" i="10"/>
  <c r="AB190" i="10" s="1"/>
  <c r="C61" i="7"/>
  <c r="A62" i="7"/>
  <c r="E61" i="7"/>
  <c r="B31" i="21"/>
  <c r="Z168" i="10"/>
  <c r="AA169" i="10"/>
  <c r="AB169" i="10" s="1"/>
  <c r="Z119" i="10"/>
  <c r="AA120" i="10"/>
  <c r="AB120" i="10" s="1"/>
  <c r="Z7" i="10"/>
  <c r="AA8" i="10"/>
  <c r="AB8" i="10" s="1"/>
  <c r="D30" i="21"/>
  <c r="F60" i="7"/>
  <c r="E30" i="21" s="1"/>
  <c r="AE5" i="16" s="1"/>
  <c r="Z151" i="10"/>
  <c r="AA152" i="10"/>
  <c r="AB152" i="10" s="1"/>
  <c r="Z94" i="10"/>
  <c r="AA95" i="10"/>
  <c r="AB95" i="10" s="1"/>
  <c r="AA200" i="10" l="1"/>
  <c r="AB200" i="10" s="1"/>
  <c r="Z199" i="10"/>
  <c r="Z93" i="10"/>
  <c r="AA94" i="10"/>
  <c r="AB94" i="10" s="1"/>
  <c r="AA45" i="10"/>
  <c r="AB45" i="10" s="1"/>
  <c r="Z44" i="10"/>
  <c r="Z118" i="10"/>
  <c r="AA119" i="10"/>
  <c r="AB119" i="10" s="1"/>
  <c r="Z76" i="10"/>
  <c r="AA77" i="10"/>
  <c r="AB77" i="10" s="1"/>
  <c r="Z15" i="10"/>
  <c r="AA16" i="10"/>
  <c r="AB16" i="10" s="1"/>
  <c r="AF4" i="16"/>
  <c r="C31" i="21"/>
  <c r="Z206" i="10"/>
  <c r="AA207" i="10"/>
  <c r="AB207" i="10" s="1"/>
  <c r="AA151" i="10"/>
  <c r="AB151" i="10" s="1"/>
  <c r="Z150" i="10"/>
  <c r="Z167" i="10"/>
  <c r="AA168" i="10"/>
  <c r="AB168" i="10" s="1"/>
  <c r="F61" i="7"/>
  <c r="E31" i="21" s="1"/>
  <c r="AF5" i="16" s="1"/>
  <c r="D31" i="21"/>
  <c r="AA30" i="10"/>
  <c r="AB30" i="10" s="1"/>
  <c r="Z29" i="10"/>
  <c r="AA189" i="10"/>
  <c r="AB189" i="10" s="1"/>
  <c r="Z188" i="10"/>
  <c r="E62" i="7"/>
  <c r="A63" i="7"/>
  <c r="B32" i="21"/>
  <c r="C62" i="7"/>
  <c r="Z64" i="10"/>
  <c r="AA65" i="10"/>
  <c r="AB65" i="10" s="1"/>
  <c r="Z217" i="10"/>
  <c r="AA217" i="10" s="1"/>
  <c r="AB217" i="10" s="1"/>
  <c r="AA218" i="10"/>
  <c r="AB218" i="10" s="1"/>
  <c r="Z6" i="10"/>
  <c r="AA7" i="10"/>
  <c r="AB7" i="10" s="1"/>
  <c r="Z143" i="10"/>
  <c r="AA144" i="10"/>
  <c r="AB144" i="10" s="1"/>
  <c r="Z43" i="10" l="1"/>
  <c r="AA44" i="10"/>
  <c r="AB44" i="10" s="1"/>
  <c r="AG4" i="16"/>
  <c r="C32" i="21"/>
  <c r="Z117" i="10"/>
  <c r="AA118" i="10"/>
  <c r="AB118" i="10" s="1"/>
  <c r="C63" i="7"/>
  <c r="E63" i="7"/>
  <c r="B33" i="21"/>
  <c r="A64" i="7"/>
  <c r="AA64" i="10"/>
  <c r="AB64" i="10" s="1"/>
  <c r="Z63" i="10"/>
  <c r="F62" i="7"/>
  <c r="E32" i="21" s="1"/>
  <c r="AG5" i="16" s="1"/>
  <c r="D32" i="21"/>
  <c r="Z166" i="10"/>
  <c r="AA167" i="10"/>
  <c r="AB167" i="10" s="1"/>
  <c r="Z14" i="10"/>
  <c r="AA15" i="10"/>
  <c r="AB15" i="10" s="1"/>
  <c r="Z92" i="10"/>
  <c r="AA93" i="10"/>
  <c r="AB93" i="10" s="1"/>
  <c r="Z5" i="10"/>
  <c r="AA6" i="10"/>
  <c r="AB6" i="10" s="1"/>
  <c r="Z205" i="10"/>
  <c r="AA206" i="10"/>
  <c r="AB206" i="10" s="1"/>
  <c r="Z187" i="10"/>
  <c r="AA188" i="10"/>
  <c r="AB188" i="10" s="1"/>
  <c r="AA150" i="10"/>
  <c r="AB150" i="10" s="1"/>
  <c r="Z149" i="10"/>
  <c r="Z198" i="10"/>
  <c r="AA199" i="10"/>
  <c r="AB199" i="10" s="1"/>
  <c r="AA29" i="10"/>
  <c r="AB29" i="10" s="1"/>
  <c r="Z28" i="10"/>
  <c r="Z142" i="10"/>
  <c r="AA143" i="10"/>
  <c r="AB143" i="10" s="1"/>
  <c r="AA76" i="10"/>
  <c r="AB76" i="10" s="1"/>
  <c r="Z75" i="10"/>
  <c r="Z4" i="10" l="1"/>
  <c r="AA4" i="10" s="1"/>
  <c r="AB4" i="10" s="1"/>
  <c r="AA5" i="10"/>
  <c r="AB5" i="10" s="1"/>
  <c r="AA92" i="10"/>
  <c r="AB92" i="10" s="1"/>
  <c r="Z91" i="10"/>
  <c r="AA117" i="10"/>
  <c r="AB117" i="10" s="1"/>
  <c r="Z116" i="10"/>
  <c r="Z148" i="10"/>
  <c r="AA148" i="10" s="1"/>
  <c r="AB148" i="10" s="1"/>
  <c r="AA149" i="10"/>
  <c r="AB149" i="10" s="1"/>
  <c r="F63" i="7"/>
  <c r="E33" i="21" s="1"/>
  <c r="AH5" i="16" s="1"/>
  <c r="D33" i="21"/>
  <c r="AA75" i="10"/>
  <c r="AB75" i="10" s="1"/>
  <c r="Z74" i="10"/>
  <c r="Z62" i="10"/>
  <c r="AA63" i="10"/>
  <c r="AB63" i="10" s="1"/>
  <c r="Z186" i="10"/>
  <c r="AA187" i="10"/>
  <c r="AB187" i="10" s="1"/>
  <c r="Z197" i="10"/>
  <c r="AA198" i="10"/>
  <c r="AB198" i="10" s="1"/>
  <c r="AA142" i="10"/>
  <c r="AB142" i="10" s="1"/>
  <c r="Z141" i="10"/>
  <c r="C64" i="7"/>
  <c r="A65" i="7"/>
  <c r="E64" i="7"/>
  <c r="B34" i="21"/>
  <c r="AA14" i="10"/>
  <c r="AB14" i="10" s="1"/>
  <c r="Z13" i="10"/>
  <c r="Z27" i="10"/>
  <c r="AA28" i="10"/>
  <c r="AB28" i="10" s="1"/>
  <c r="Z204" i="10"/>
  <c r="AA204" i="10" s="1"/>
  <c r="AB204" i="10" s="1"/>
  <c r="AA205" i="10"/>
  <c r="AB205" i="10" s="1"/>
  <c r="AA166" i="10"/>
  <c r="AB166" i="10" s="1"/>
  <c r="Z165" i="10"/>
  <c r="C33" i="21"/>
  <c r="AH4" i="16"/>
  <c r="AA43" i="10"/>
  <c r="AB43" i="10" s="1"/>
  <c r="Z42" i="10"/>
  <c r="A66" i="7" l="1"/>
  <c r="C65" i="7"/>
  <c r="B35" i="21"/>
  <c r="E65" i="7"/>
  <c r="AA116" i="10"/>
  <c r="AB116" i="10" s="1"/>
  <c r="Z115" i="10"/>
  <c r="Z164" i="10"/>
  <c r="AA165" i="10"/>
  <c r="AB165" i="10" s="1"/>
  <c r="AI4" i="16"/>
  <c r="C34" i="21"/>
  <c r="AA186" i="10"/>
  <c r="AB186" i="10" s="1"/>
  <c r="Z185" i="10"/>
  <c r="Z73" i="10"/>
  <c r="AA74" i="10"/>
  <c r="AB74" i="10" s="1"/>
  <c r="AA91" i="10"/>
  <c r="AB91" i="10" s="1"/>
  <c r="Z90" i="10"/>
  <c r="D34" i="21"/>
  <c r="F64" i="7"/>
  <c r="E34" i="21" s="1"/>
  <c r="AI5" i="16" s="1"/>
  <c r="Z41" i="10"/>
  <c r="AA42" i="10"/>
  <c r="AB42" i="10" s="1"/>
  <c r="Z12" i="10"/>
  <c r="AA13" i="10"/>
  <c r="AB13" i="10" s="1"/>
  <c r="Z61" i="10"/>
  <c r="AA62" i="10"/>
  <c r="AB62" i="10" s="1"/>
  <c r="Z140" i="10"/>
  <c r="AA141" i="10"/>
  <c r="AB141" i="10" s="1"/>
  <c r="AA27" i="10"/>
  <c r="AB27" i="10" s="1"/>
  <c r="Z26" i="10"/>
  <c r="Z196" i="10"/>
  <c r="AA197" i="10"/>
  <c r="AB197" i="10" s="1"/>
  <c r="AA90" i="10" l="1"/>
  <c r="AB90" i="10" s="1"/>
  <c r="Z89" i="10"/>
  <c r="Z60" i="10"/>
  <c r="AA61" i="10"/>
  <c r="AB61" i="10" s="1"/>
  <c r="AA164" i="10"/>
  <c r="AB164" i="10" s="1"/>
  <c r="Z163" i="10"/>
  <c r="Z114" i="10"/>
  <c r="AA115" i="10"/>
  <c r="AB115" i="10" s="1"/>
  <c r="AA12" i="10"/>
  <c r="AB12" i="10" s="1"/>
  <c r="Z11" i="10"/>
  <c r="AA11" i="10" s="1"/>
  <c r="AB11" i="10" s="1"/>
  <c r="AA26" i="10"/>
  <c r="AB26" i="10" s="1"/>
  <c r="Z25" i="10"/>
  <c r="Z184" i="10"/>
  <c r="AA185" i="10"/>
  <c r="AB185" i="10" s="1"/>
  <c r="F65" i="7"/>
  <c r="E35" i="21" s="1"/>
  <c r="AJ5" i="16" s="1"/>
  <c r="D35" i="21"/>
  <c r="AA196" i="10"/>
  <c r="AB196" i="10" s="1"/>
  <c r="Z195" i="10"/>
  <c r="Z72" i="10"/>
  <c r="AA73" i="10"/>
  <c r="AB73" i="10" s="1"/>
  <c r="Z40" i="10"/>
  <c r="AA41" i="10"/>
  <c r="AB41" i="10" s="1"/>
  <c r="C35" i="21"/>
  <c r="AJ4" i="16"/>
  <c r="AA140" i="10"/>
  <c r="AB140" i="10" s="1"/>
  <c r="Z139" i="10"/>
  <c r="A67" i="7"/>
  <c r="C66" i="7"/>
  <c r="B36" i="21"/>
  <c r="E66" i="7"/>
  <c r="AA139" i="10" l="1"/>
  <c r="AB139" i="10" s="1"/>
  <c r="Z138" i="10"/>
  <c r="Z88" i="10"/>
  <c r="AA89" i="10"/>
  <c r="AB89" i="10" s="1"/>
  <c r="F66" i="7"/>
  <c r="E36" i="21" s="1"/>
  <c r="AK5" i="16" s="1"/>
  <c r="D36" i="21"/>
  <c r="Z162" i="10"/>
  <c r="AA163" i="10"/>
  <c r="AB163" i="10" s="1"/>
  <c r="C36" i="21"/>
  <c r="AK4" i="16"/>
  <c r="AA40" i="10"/>
  <c r="AB40" i="10" s="1"/>
  <c r="Z39" i="10"/>
  <c r="Z183" i="10"/>
  <c r="AA184" i="10"/>
  <c r="AB184" i="10" s="1"/>
  <c r="AA195" i="10"/>
  <c r="AB195" i="10" s="1"/>
  <c r="Z194" i="10"/>
  <c r="AA25" i="10"/>
  <c r="AB25" i="10" s="1"/>
  <c r="Z24" i="10"/>
  <c r="AA114" i="10"/>
  <c r="AB114" i="10" s="1"/>
  <c r="Z113" i="10"/>
  <c r="E67" i="7"/>
  <c r="B37" i="21"/>
  <c r="C67" i="7"/>
  <c r="O241" i="10"/>
  <c r="P241" i="10" s="1"/>
  <c r="O308" i="10"/>
  <c r="P308" i="10" s="1"/>
  <c r="O300" i="10"/>
  <c r="P300" i="10" s="1"/>
  <c r="O288" i="10"/>
  <c r="P288" i="10" s="1"/>
  <c r="O292" i="10"/>
  <c r="P292" i="10" s="1"/>
  <c r="O272" i="10"/>
  <c r="P272" i="10" s="1"/>
  <c r="O249" i="10"/>
  <c r="P249" i="10" s="1"/>
  <c r="O267" i="10"/>
  <c r="P267" i="10" s="1"/>
  <c r="O275" i="10"/>
  <c r="P275" i="10" s="1"/>
  <c r="O257" i="10"/>
  <c r="P257" i="10" s="1"/>
  <c r="O229" i="10"/>
  <c r="P229" i="10" s="1"/>
  <c r="O245" i="10"/>
  <c r="P245" i="10" s="1"/>
  <c r="O235" i="10"/>
  <c r="P235" i="10" s="1"/>
  <c r="O273" i="10"/>
  <c r="P273" i="10" s="1"/>
  <c r="O269" i="10"/>
  <c r="P269" i="10" s="1"/>
  <c r="O280" i="10"/>
  <c r="P280" i="10" s="1"/>
  <c r="O284" i="10"/>
  <c r="P284" i="10" s="1"/>
  <c r="O294" i="10"/>
  <c r="P294" i="10" s="1"/>
  <c r="O222" i="10"/>
  <c r="P222" i="10" s="1"/>
  <c r="O259" i="10"/>
  <c r="P259" i="10" s="1"/>
  <c r="O286" i="10"/>
  <c r="P286" i="10" s="1"/>
  <c r="O236" i="10"/>
  <c r="P236" i="10" s="1"/>
  <c r="O296" i="10"/>
  <c r="P296" i="10" s="1"/>
  <c r="O231" i="10"/>
  <c r="P231" i="10" s="1"/>
  <c r="O278" i="10"/>
  <c r="P278" i="10" s="1"/>
  <c r="O232" i="10"/>
  <c r="P232" i="10" s="1"/>
  <c r="O251" i="10"/>
  <c r="P251" i="10" s="1"/>
  <c r="O237" i="10"/>
  <c r="P237" i="10" s="1"/>
  <c r="O290" i="10"/>
  <c r="P290" i="10" s="1"/>
  <c r="O239" i="10"/>
  <c r="P239" i="10" s="1"/>
  <c r="O243" i="10"/>
  <c r="P243" i="10" s="1"/>
  <c r="O233" i="10"/>
  <c r="P233" i="10" s="1"/>
  <c r="O302" i="10"/>
  <c r="P302" i="10" s="1"/>
  <c r="O228" i="10"/>
  <c r="P228" i="10" s="1"/>
  <c r="O263" i="10"/>
  <c r="P263" i="10" s="1"/>
  <c r="O258" i="10"/>
  <c r="P258" i="10" s="1"/>
  <c r="O265" i="10"/>
  <c r="P265" i="10" s="1"/>
  <c r="O304" i="10"/>
  <c r="P304" i="10" s="1"/>
  <c r="O271" i="10"/>
  <c r="P271" i="10" s="1"/>
  <c r="O252" i="10"/>
  <c r="P252" i="10" s="1"/>
  <c r="O256" i="10"/>
  <c r="P256" i="10" s="1"/>
  <c r="O244" i="10"/>
  <c r="P244" i="10" s="1"/>
  <c r="O298" i="10"/>
  <c r="P298" i="10" s="1"/>
  <c r="O274" i="10"/>
  <c r="P274" i="10" s="1"/>
  <c r="O261" i="10"/>
  <c r="P261" i="10" s="1"/>
  <c r="O282" i="10"/>
  <c r="P282" i="10" s="1"/>
  <c r="O240" i="10"/>
  <c r="P240" i="10" s="1"/>
  <c r="O253" i="10"/>
  <c r="P253" i="10" s="1"/>
  <c r="O255" i="10"/>
  <c r="P255" i="10" s="1"/>
  <c r="O306" i="10"/>
  <c r="P306" i="10" s="1"/>
  <c r="O299" i="10"/>
  <c r="P299" i="10" s="1"/>
  <c r="O270" i="10"/>
  <c r="P270" i="10" s="1"/>
  <c r="O307" i="10"/>
  <c r="P307" i="10" s="1"/>
  <c r="O291" i="10"/>
  <c r="P291" i="10" s="1"/>
  <c r="O285" i="10"/>
  <c r="P285" i="10" s="1"/>
  <c r="O246" i="10"/>
  <c r="P246" i="10" s="1"/>
  <c r="O264" i="10"/>
  <c r="P264" i="10" s="1"/>
  <c r="O266" i="10"/>
  <c r="P266" i="10" s="1"/>
  <c r="O309" i="10"/>
  <c r="P309" i="10" s="1"/>
  <c r="O276" i="10"/>
  <c r="P276" i="10" s="1"/>
  <c r="O305" i="10"/>
  <c r="P305" i="10" s="1"/>
  <c r="O250" i="10"/>
  <c r="P250" i="10" s="1"/>
  <c r="O230" i="10"/>
  <c r="P230" i="10" s="1"/>
  <c r="O283" i="10"/>
  <c r="P283" i="10" s="1"/>
  <c r="O238" i="10"/>
  <c r="P238" i="10" s="1"/>
  <c r="O281" i="10"/>
  <c r="P281" i="10" s="1"/>
  <c r="O301" i="10"/>
  <c r="P301" i="10" s="1"/>
  <c r="O295" i="10"/>
  <c r="P295" i="10" s="1"/>
  <c r="O234" i="10"/>
  <c r="P234" i="10" s="1"/>
  <c r="O248" i="10"/>
  <c r="P248" i="10" s="1"/>
  <c r="O279" i="10"/>
  <c r="P279" i="10" s="1"/>
  <c r="O262" i="10"/>
  <c r="P262" i="10" s="1"/>
  <c r="O303" i="10"/>
  <c r="P303" i="10" s="1"/>
  <c r="O277" i="10"/>
  <c r="P277" i="10" s="1"/>
  <c r="O289" i="10"/>
  <c r="P289" i="10" s="1"/>
  <c r="O260" i="10"/>
  <c r="P260" i="10" s="1"/>
  <c r="O287" i="10"/>
  <c r="P287" i="10" s="1"/>
  <c r="O268" i="10"/>
  <c r="P268" i="10" s="1"/>
  <c r="O293" i="10"/>
  <c r="P293" i="10" s="1"/>
  <c r="O242" i="10"/>
  <c r="P242" i="10" s="1"/>
  <c r="O297" i="10"/>
  <c r="P297" i="10" s="1"/>
  <c r="AA72" i="10"/>
  <c r="AB72" i="10" s="1"/>
  <c r="Z71" i="10"/>
  <c r="Z59" i="10"/>
  <c r="AA60" i="10"/>
  <c r="AB60" i="10" s="1"/>
  <c r="S252" i="10" l="1"/>
  <c r="T252" i="10" s="1"/>
  <c r="U252" i="10" s="1"/>
  <c r="V252" i="10" s="1"/>
  <c r="R252" i="10"/>
  <c r="Q252" i="10" s="1"/>
  <c r="S233" i="10"/>
  <c r="T233" i="10" s="1"/>
  <c r="U233" i="10" s="1"/>
  <c r="V233" i="10" s="1"/>
  <c r="R233" i="10"/>
  <c r="Q233" i="10" s="1"/>
  <c r="S231" i="10"/>
  <c r="T231" i="10" s="1"/>
  <c r="U231" i="10" s="1"/>
  <c r="V231" i="10" s="1"/>
  <c r="R231" i="10"/>
  <c r="Q231" i="10" s="1"/>
  <c r="S280" i="10"/>
  <c r="T280" i="10" s="1"/>
  <c r="U280" i="10" s="1"/>
  <c r="V280" i="10" s="1"/>
  <c r="R280" i="10"/>
  <c r="Q280" i="10" s="1"/>
  <c r="S267" i="10"/>
  <c r="T267" i="10" s="1"/>
  <c r="U267" i="10" s="1"/>
  <c r="V267" i="10" s="1"/>
  <c r="R267" i="10"/>
  <c r="Q267" i="10" s="1"/>
  <c r="Z161" i="10"/>
  <c r="AA162" i="10"/>
  <c r="AB162" i="10" s="1"/>
  <c r="S281" i="10"/>
  <c r="T281" i="10" s="1"/>
  <c r="U281" i="10" s="1"/>
  <c r="V281" i="10" s="1"/>
  <c r="R281" i="10"/>
  <c r="Q281" i="10" s="1"/>
  <c r="S303" i="10"/>
  <c r="T303" i="10" s="1"/>
  <c r="U303" i="10" s="1"/>
  <c r="V303" i="10" s="1"/>
  <c r="R303" i="10"/>
  <c r="Q303" i="10" s="1"/>
  <c r="S256" i="10"/>
  <c r="T256" i="10" s="1"/>
  <c r="U256" i="10" s="1"/>
  <c r="V256" i="10" s="1"/>
  <c r="R256" i="10"/>
  <c r="Q256" i="10" s="1"/>
  <c r="S284" i="10"/>
  <c r="T284" i="10" s="1"/>
  <c r="U284" i="10" s="1"/>
  <c r="V284" i="10" s="1"/>
  <c r="R284" i="10"/>
  <c r="Q284" i="10" s="1"/>
  <c r="AA194" i="10"/>
  <c r="AB194" i="10" s="1"/>
  <c r="Z193" i="10"/>
  <c r="AA193" i="10" s="1"/>
  <c r="AB193" i="10" s="1"/>
  <c r="S283" i="10"/>
  <c r="T283" i="10" s="1"/>
  <c r="U283" i="10" s="1"/>
  <c r="V283" i="10" s="1"/>
  <c r="R283" i="10"/>
  <c r="Q283" i="10" s="1"/>
  <c r="S279" i="10"/>
  <c r="T279" i="10" s="1"/>
  <c r="U279" i="10" s="1"/>
  <c r="V279" i="10" s="1"/>
  <c r="R279" i="10"/>
  <c r="Q279" i="10" s="1"/>
  <c r="S271" i="10"/>
  <c r="T271" i="10" s="1"/>
  <c r="U271" i="10" s="1"/>
  <c r="V271" i="10" s="1"/>
  <c r="R271" i="10"/>
  <c r="Q271" i="10" s="1"/>
  <c r="S296" i="10"/>
  <c r="T296" i="10" s="1"/>
  <c r="U296" i="10" s="1"/>
  <c r="V296" i="10" s="1"/>
  <c r="R296" i="10"/>
  <c r="Q296" i="10" s="1"/>
  <c r="S269" i="10"/>
  <c r="T269" i="10" s="1"/>
  <c r="U269" i="10" s="1"/>
  <c r="V269" i="10" s="1"/>
  <c r="R269" i="10"/>
  <c r="Q269" i="10" s="1"/>
  <c r="S249" i="10"/>
  <c r="T249" i="10" s="1"/>
  <c r="U249" i="10" s="1"/>
  <c r="V249" i="10" s="1"/>
  <c r="R249" i="10"/>
  <c r="Q249" i="10" s="1"/>
  <c r="C37" i="21"/>
  <c r="AL4" i="16"/>
  <c r="S268" i="10"/>
  <c r="T268" i="10" s="1"/>
  <c r="U268" i="10" s="1"/>
  <c r="V268" i="10" s="1"/>
  <c r="R268" i="10"/>
  <c r="Q268" i="10" s="1"/>
  <c r="S248" i="10"/>
  <c r="T248" i="10" s="1"/>
  <c r="U248" i="10" s="1"/>
  <c r="V248" i="10" s="1"/>
  <c r="R248" i="10"/>
  <c r="Q248" i="10" s="1"/>
  <c r="S250" i="10"/>
  <c r="T250" i="10" s="1"/>
  <c r="U250" i="10" s="1"/>
  <c r="V250" i="10" s="1"/>
  <c r="R250" i="10"/>
  <c r="Q250" i="10" s="1"/>
  <c r="S291" i="10"/>
  <c r="T291" i="10" s="1"/>
  <c r="U291" i="10" s="1"/>
  <c r="V291" i="10" s="1"/>
  <c r="R291" i="10"/>
  <c r="Q291" i="10" s="1"/>
  <c r="S282" i="10"/>
  <c r="T282" i="10" s="1"/>
  <c r="U282" i="10" s="1"/>
  <c r="V282" i="10" s="1"/>
  <c r="R282" i="10"/>
  <c r="Q282" i="10" s="1"/>
  <c r="S304" i="10"/>
  <c r="T304" i="10" s="1"/>
  <c r="U304" i="10" s="1"/>
  <c r="V304" i="10" s="1"/>
  <c r="R304" i="10"/>
  <c r="Q304" i="10" s="1"/>
  <c r="S239" i="10"/>
  <c r="T239" i="10" s="1"/>
  <c r="U239" i="10" s="1"/>
  <c r="V239" i="10" s="1"/>
  <c r="R239" i="10"/>
  <c r="Q239" i="10" s="1"/>
  <c r="S236" i="10"/>
  <c r="T236" i="10" s="1"/>
  <c r="U236" i="10" s="1"/>
  <c r="V236" i="10" s="1"/>
  <c r="R236" i="10"/>
  <c r="Q236" i="10" s="1"/>
  <c r="S273" i="10"/>
  <c r="T273" i="10" s="1"/>
  <c r="U273" i="10" s="1"/>
  <c r="V273" i="10" s="1"/>
  <c r="R273" i="10"/>
  <c r="Q273" i="10" s="1"/>
  <c r="S272" i="10"/>
  <c r="T272" i="10" s="1"/>
  <c r="U272" i="10" s="1"/>
  <c r="V272" i="10" s="1"/>
  <c r="R272" i="10"/>
  <c r="Q272" i="10" s="1"/>
  <c r="D37" i="21"/>
  <c r="F67" i="7"/>
  <c r="E37" i="21" s="1"/>
  <c r="AL5" i="16" s="1"/>
  <c r="Z182" i="10"/>
  <c r="AA183" i="10"/>
  <c r="AB183" i="10" s="1"/>
  <c r="S244" i="10"/>
  <c r="T244" i="10" s="1"/>
  <c r="U244" i="10" s="1"/>
  <c r="V244" i="10" s="1"/>
  <c r="R244" i="10"/>
  <c r="Q244" i="10" s="1"/>
  <c r="S264" i="10"/>
  <c r="T264" i="10" s="1"/>
  <c r="U264" i="10" s="1"/>
  <c r="V264" i="10" s="1"/>
  <c r="R264" i="10"/>
  <c r="Q264" i="10" s="1"/>
  <c r="S278" i="10"/>
  <c r="T278" i="10" s="1"/>
  <c r="U278" i="10" s="1"/>
  <c r="V278" i="10" s="1"/>
  <c r="R278" i="10"/>
  <c r="Q278" i="10" s="1"/>
  <c r="S242" i="10"/>
  <c r="T242" i="10" s="1"/>
  <c r="U242" i="10" s="1"/>
  <c r="V242" i="10" s="1"/>
  <c r="R242" i="10"/>
  <c r="Q242" i="10" s="1"/>
  <c r="S253" i="10"/>
  <c r="T253" i="10" s="1"/>
  <c r="U253" i="10" s="1"/>
  <c r="V253" i="10" s="1"/>
  <c r="R253" i="10"/>
  <c r="Q253" i="10" s="1"/>
  <c r="S285" i="10"/>
  <c r="T285" i="10" s="1"/>
  <c r="U285" i="10" s="1"/>
  <c r="V285" i="10" s="1"/>
  <c r="R285" i="10"/>
  <c r="Q285" i="10" s="1"/>
  <c r="S287" i="10"/>
  <c r="T287" i="10" s="1"/>
  <c r="U287" i="10" s="1"/>
  <c r="V287" i="10" s="1"/>
  <c r="R287" i="10"/>
  <c r="Q287" i="10" s="1"/>
  <c r="S286" i="10"/>
  <c r="T286" i="10" s="1"/>
  <c r="U286" i="10" s="1"/>
  <c r="V286" i="10" s="1"/>
  <c r="R286" i="10"/>
  <c r="Q286" i="10" s="1"/>
  <c r="S266" i="10"/>
  <c r="T266" i="10" s="1"/>
  <c r="U266" i="10" s="1"/>
  <c r="V266" i="10" s="1"/>
  <c r="R266" i="10"/>
  <c r="Q266" i="10" s="1"/>
  <c r="S238" i="10"/>
  <c r="T238" i="10" s="1"/>
  <c r="U238" i="10" s="1"/>
  <c r="V238" i="10" s="1"/>
  <c r="R238" i="10"/>
  <c r="Q238" i="10" s="1"/>
  <c r="S302" i="10"/>
  <c r="T302" i="10" s="1"/>
  <c r="U302" i="10" s="1"/>
  <c r="V302" i="10" s="1"/>
  <c r="R302" i="10"/>
  <c r="Q302" i="10" s="1"/>
  <c r="S241" i="10"/>
  <c r="T241" i="10" s="1"/>
  <c r="U241" i="10" s="1"/>
  <c r="V241" i="10" s="1"/>
  <c r="R241" i="10"/>
  <c r="Q241" i="10" s="1"/>
  <c r="S262" i="10"/>
  <c r="T262" i="10" s="1"/>
  <c r="U262" i="10" s="1"/>
  <c r="V262" i="10" s="1"/>
  <c r="R262" i="10"/>
  <c r="Q262" i="10" s="1"/>
  <c r="S293" i="10"/>
  <c r="T293" i="10" s="1"/>
  <c r="U293" i="10" s="1"/>
  <c r="V293" i="10" s="1"/>
  <c r="R293" i="10"/>
  <c r="Q293" i="10" s="1"/>
  <c r="S240" i="10"/>
  <c r="T240" i="10" s="1"/>
  <c r="U240" i="10" s="1"/>
  <c r="V240" i="10" s="1"/>
  <c r="R240" i="10"/>
  <c r="Q240" i="10" s="1"/>
  <c r="S305" i="10"/>
  <c r="T305" i="10" s="1"/>
  <c r="U305" i="10" s="1"/>
  <c r="V305" i="10" s="1"/>
  <c r="R305" i="10"/>
  <c r="Q305" i="10" s="1"/>
  <c r="S261" i="10"/>
  <c r="T261" i="10" s="1"/>
  <c r="U261" i="10" s="1"/>
  <c r="V261" i="10" s="1"/>
  <c r="R261" i="10"/>
  <c r="Q261" i="10" s="1"/>
  <c r="S265" i="10"/>
  <c r="T265" i="10" s="1"/>
  <c r="U265" i="10" s="1"/>
  <c r="V265" i="10" s="1"/>
  <c r="R265" i="10"/>
  <c r="Q265" i="10" s="1"/>
  <c r="S235" i="10"/>
  <c r="T235" i="10" s="1"/>
  <c r="U235" i="10" s="1"/>
  <c r="V235" i="10" s="1"/>
  <c r="R235" i="10"/>
  <c r="Q235" i="10" s="1"/>
  <c r="Z38" i="10"/>
  <c r="AA39" i="10"/>
  <c r="AB39" i="10" s="1"/>
  <c r="S260" i="10"/>
  <c r="T260" i="10" s="1"/>
  <c r="U260" i="10" s="1"/>
  <c r="V260" i="10" s="1"/>
  <c r="R260" i="10"/>
  <c r="Q260" i="10" s="1"/>
  <c r="S295" i="10"/>
  <c r="T295" i="10" s="1"/>
  <c r="U295" i="10" s="1"/>
  <c r="V295" i="10" s="1"/>
  <c r="R295" i="10"/>
  <c r="Q295" i="10" s="1"/>
  <c r="S276" i="10"/>
  <c r="T276" i="10" s="1"/>
  <c r="U276" i="10" s="1"/>
  <c r="V276" i="10" s="1"/>
  <c r="R276" i="10"/>
  <c r="Q276" i="10" s="1"/>
  <c r="S270" i="10"/>
  <c r="T270" i="10" s="1"/>
  <c r="U270" i="10" s="1"/>
  <c r="V270" i="10" s="1"/>
  <c r="R270" i="10"/>
  <c r="Q270" i="10" s="1"/>
  <c r="S274" i="10"/>
  <c r="T274" i="10" s="1"/>
  <c r="U274" i="10" s="1"/>
  <c r="V274" i="10" s="1"/>
  <c r="R274" i="10"/>
  <c r="Q274" i="10" s="1"/>
  <c r="S258" i="10"/>
  <c r="T258" i="10" s="1"/>
  <c r="U258" i="10" s="1"/>
  <c r="V258" i="10" s="1"/>
  <c r="R258" i="10"/>
  <c r="Q258" i="10" s="1"/>
  <c r="S237" i="10"/>
  <c r="T237" i="10" s="1"/>
  <c r="U237" i="10" s="1"/>
  <c r="V237" i="10" s="1"/>
  <c r="R237" i="10"/>
  <c r="Q237" i="10" s="1"/>
  <c r="S259" i="10"/>
  <c r="T259" i="10" s="1"/>
  <c r="U259" i="10" s="1"/>
  <c r="V259" i="10" s="1"/>
  <c r="R259" i="10"/>
  <c r="Q259" i="10" s="1"/>
  <c r="S245" i="10"/>
  <c r="T245" i="10" s="1"/>
  <c r="U245" i="10" s="1"/>
  <c r="V245" i="10" s="1"/>
  <c r="R245" i="10"/>
  <c r="Q245" i="10" s="1"/>
  <c r="S288" i="10"/>
  <c r="T288" i="10" s="1"/>
  <c r="U288" i="10" s="1"/>
  <c r="V288" i="10" s="1"/>
  <c r="R288" i="10"/>
  <c r="Q288" i="10" s="1"/>
  <c r="Z87" i="10"/>
  <c r="AA88" i="10"/>
  <c r="AB88" i="10" s="1"/>
  <c r="S277" i="10"/>
  <c r="T277" i="10" s="1"/>
  <c r="U277" i="10" s="1"/>
  <c r="V277" i="10" s="1"/>
  <c r="R277" i="10"/>
  <c r="Q277" i="10" s="1"/>
  <c r="S297" i="10"/>
  <c r="T297" i="10" s="1"/>
  <c r="U297" i="10" s="1"/>
  <c r="V297" i="10" s="1"/>
  <c r="R297" i="10"/>
  <c r="Q297" i="10" s="1"/>
  <c r="S255" i="10"/>
  <c r="T255" i="10" s="1"/>
  <c r="U255" i="10" s="1"/>
  <c r="V255" i="10" s="1"/>
  <c r="R255" i="10"/>
  <c r="Q255" i="10" s="1"/>
  <c r="S275" i="10"/>
  <c r="T275" i="10" s="1"/>
  <c r="U275" i="10" s="1"/>
  <c r="V275" i="10" s="1"/>
  <c r="R275" i="10"/>
  <c r="Q275" i="10" s="1"/>
  <c r="S246" i="10"/>
  <c r="T246" i="10" s="1"/>
  <c r="U246" i="10" s="1"/>
  <c r="V246" i="10" s="1"/>
  <c r="R246" i="10"/>
  <c r="Q246" i="10" s="1"/>
  <c r="S230" i="10"/>
  <c r="T230" i="10" s="1"/>
  <c r="U230" i="10" s="1"/>
  <c r="V230" i="10" s="1"/>
  <c r="R230" i="10"/>
  <c r="Q230" i="10" s="1"/>
  <c r="S243" i="10"/>
  <c r="T243" i="10" s="1"/>
  <c r="U243" i="10" s="1"/>
  <c r="V243" i="10" s="1"/>
  <c r="R243" i="10"/>
  <c r="Q243" i="10" s="1"/>
  <c r="S234" i="10"/>
  <c r="T234" i="10" s="1"/>
  <c r="U234" i="10" s="1"/>
  <c r="V234" i="10" s="1"/>
  <c r="R234" i="10"/>
  <c r="Q234" i="10" s="1"/>
  <c r="S307" i="10"/>
  <c r="T307" i="10" s="1"/>
  <c r="U307" i="10" s="1"/>
  <c r="V307" i="10" s="1"/>
  <c r="R307" i="10"/>
  <c r="Q307" i="10" s="1"/>
  <c r="S290" i="10"/>
  <c r="T290" i="10" s="1"/>
  <c r="U290" i="10" s="1"/>
  <c r="V290" i="10" s="1"/>
  <c r="R290" i="10"/>
  <c r="Q290" i="10" s="1"/>
  <c r="S292" i="10"/>
  <c r="T292" i="10" s="1"/>
  <c r="U292" i="10" s="1"/>
  <c r="V292" i="10" s="1"/>
  <c r="R292" i="10"/>
  <c r="Q292" i="10" s="1"/>
  <c r="Z112" i="10"/>
  <c r="AA113" i="10"/>
  <c r="AB113" i="10" s="1"/>
  <c r="Z58" i="10"/>
  <c r="AA59" i="10"/>
  <c r="AB59" i="10" s="1"/>
  <c r="Z70" i="10"/>
  <c r="AA71" i="10"/>
  <c r="AB71" i="10" s="1"/>
  <c r="S289" i="10"/>
  <c r="T289" i="10" s="1"/>
  <c r="U289" i="10" s="1"/>
  <c r="V289" i="10" s="1"/>
  <c r="R289" i="10"/>
  <c r="Q289" i="10" s="1"/>
  <c r="S301" i="10"/>
  <c r="T301" i="10" s="1"/>
  <c r="U301" i="10" s="1"/>
  <c r="V301" i="10" s="1"/>
  <c r="R301" i="10"/>
  <c r="Q301" i="10" s="1"/>
  <c r="S309" i="10"/>
  <c r="T309" i="10" s="1"/>
  <c r="U309" i="10" s="1"/>
  <c r="V309" i="10" s="1"/>
  <c r="R309" i="10"/>
  <c r="S299" i="10"/>
  <c r="T299" i="10" s="1"/>
  <c r="U299" i="10" s="1"/>
  <c r="V299" i="10" s="1"/>
  <c r="R299" i="10"/>
  <c r="Q299" i="10" s="1"/>
  <c r="S298" i="10"/>
  <c r="T298" i="10" s="1"/>
  <c r="U298" i="10" s="1"/>
  <c r="V298" i="10" s="1"/>
  <c r="R298" i="10"/>
  <c r="Q298" i="10" s="1"/>
  <c r="S263" i="10"/>
  <c r="T263" i="10" s="1"/>
  <c r="U263" i="10" s="1"/>
  <c r="V263" i="10" s="1"/>
  <c r="R263" i="10"/>
  <c r="Q263" i="10" s="1"/>
  <c r="S251" i="10"/>
  <c r="T251" i="10" s="1"/>
  <c r="U251" i="10" s="1"/>
  <c r="V251" i="10" s="1"/>
  <c r="R251" i="10"/>
  <c r="Q251" i="10" s="1"/>
  <c r="S222" i="10"/>
  <c r="T222" i="10" s="1"/>
  <c r="U222" i="10" s="1"/>
  <c r="V222" i="10" s="1"/>
  <c r="R222" i="10"/>
  <c r="Q222" i="10" s="1"/>
  <c r="S229" i="10"/>
  <c r="T229" i="10" s="1"/>
  <c r="U229" i="10" s="1"/>
  <c r="V229" i="10" s="1"/>
  <c r="R229" i="10"/>
  <c r="Q229" i="10" s="1"/>
  <c r="S300" i="10"/>
  <c r="T300" i="10" s="1"/>
  <c r="U300" i="10" s="1"/>
  <c r="V300" i="10" s="1"/>
  <c r="R300" i="10"/>
  <c r="Q300" i="10" s="1"/>
  <c r="Z23" i="10"/>
  <c r="AA24" i="10"/>
  <c r="AB24" i="10" s="1"/>
  <c r="Z137" i="10"/>
  <c r="AA138" i="10"/>
  <c r="AB138" i="10" s="1"/>
  <c r="S306" i="10"/>
  <c r="T306" i="10" s="1"/>
  <c r="U306" i="10" s="1"/>
  <c r="V306" i="10" s="1"/>
  <c r="R306" i="10"/>
  <c r="Q306" i="10" s="1"/>
  <c r="S228" i="10"/>
  <c r="T228" i="10" s="1"/>
  <c r="U228" i="10" s="1"/>
  <c r="V228" i="10" s="1"/>
  <c r="R228" i="10"/>
  <c r="Q228" i="10" s="1"/>
  <c r="S232" i="10"/>
  <c r="T232" i="10" s="1"/>
  <c r="U232" i="10" s="1"/>
  <c r="V232" i="10" s="1"/>
  <c r="R232" i="10"/>
  <c r="Q232" i="10" s="1"/>
  <c r="S294" i="10"/>
  <c r="T294" i="10" s="1"/>
  <c r="U294" i="10" s="1"/>
  <c r="V294" i="10" s="1"/>
  <c r="R294" i="10"/>
  <c r="Q294" i="10" s="1"/>
  <c r="S257" i="10"/>
  <c r="T257" i="10" s="1"/>
  <c r="U257" i="10" s="1"/>
  <c r="V257" i="10" s="1"/>
  <c r="R257" i="10"/>
  <c r="Q257" i="10" s="1"/>
  <c r="S308" i="10"/>
  <c r="T308" i="10" s="1"/>
  <c r="U308" i="10" s="1"/>
  <c r="V308" i="10" s="1"/>
  <c r="R308" i="10"/>
  <c r="Q308" i="10" s="1"/>
  <c r="Z69" i="10" l="1"/>
  <c r="AA69" i="10" s="1"/>
  <c r="AB69" i="10" s="1"/>
  <c r="AA70" i="10"/>
  <c r="AB70" i="10" s="1"/>
  <c r="AA137" i="10"/>
  <c r="AB137" i="10" s="1"/>
  <c r="Z136" i="10"/>
  <c r="X309" i="10"/>
  <c r="Q309" i="10"/>
  <c r="Z22" i="10"/>
  <c r="AA23" i="10"/>
  <c r="AB23" i="10" s="1"/>
  <c r="Z57" i="10"/>
  <c r="AA58" i="10"/>
  <c r="AB58" i="10" s="1"/>
  <c r="Z37" i="10"/>
  <c r="AA38" i="10"/>
  <c r="AB38" i="10" s="1"/>
  <c r="Z181" i="10"/>
  <c r="AA182" i="10"/>
  <c r="AB182" i="10" s="1"/>
  <c r="Z160" i="10"/>
  <c r="AA161" i="10"/>
  <c r="AB161" i="10" s="1"/>
  <c r="Z111" i="10"/>
  <c r="AA112" i="10"/>
  <c r="AB112" i="10" s="1"/>
  <c r="Z86" i="10"/>
  <c r="AA87" i="10"/>
  <c r="AB87" i="10" s="1"/>
  <c r="Z159" i="10" l="1"/>
  <c r="AA160" i="10"/>
  <c r="AB160" i="10" s="1"/>
  <c r="Z21" i="10"/>
  <c r="AA22" i="10"/>
  <c r="AB22" i="10" s="1"/>
  <c r="X308" i="10"/>
  <c r="X307" i="10" s="1"/>
  <c r="X306" i="10" s="1"/>
  <c r="X305" i="10" s="1"/>
  <c r="X304" i="10" s="1"/>
  <c r="X303" i="10" s="1"/>
  <c r="X302" i="10" s="1"/>
  <c r="X301" i="10" s="1"/>
  <c r="X300" i="10" s="1"/>
  <c r="X299" i="10" s="1"/>
  <c r="X298" i="10" s="1"/>
  <c r="X297" i="10" s="1"/>
  <c r="X296" i="10" s="1"/>
  <c r="X295" i="10" s="1"/>
  <c r="X294" i="10" s="1"/>
  <c r="X293" i="10" s="1"/>
  <c r="X292" i="10" s="1"/>
  <c r="X291" i="10" s="1"/>
  <c r="X290" i="10" s="1"/>
  <c r="X289" i="10" s="1"/>
  <c r="X288" i="10" s="1"/>
  <c r="X287" i="10" s="1"/>
  <c r="X286" i="10" s="1"/>
  <c r="X285" i="10" s="1"/>
  <c r="X284" i="10" s="1"/>
  <c r="X283" i="10" s="1"/>
  <c r="X282" i="10" s="1"/>
  <c r="X281" i="10" s="1"/>
  <c r="X280" i="10" s="1"/>
  <c r="X279" i="10" s="1"/>
  <c r="X278" i="10" s="1"/>
  <c r="X277" i="10" s="1"/>
  <c r="X276" i="10" s="1"/>
  <c r="X275" i="10" s="1"/>
  <c r="X274" i="10" s="1"/>
  <c r="X273" i="10" s="1"/>
  <c r="X272" i="10" s="1"/>
  <c r="X271" i="10" s="1"/>
  <c r="X270" i="10" s="1"/>
  <c r="X269" i="10" s="1"/>
  <c r="X268" i="10" s="1"/>
  <c r="X267" i="10" s="1"/>
  <c r="X266" i="10" s="1"/>
  <c r="X265" i="10" s="1"/>
  <c r="X264" i="10" s="1"/>
  <c r="X263" i="10" s="1"/>
  <c r="X262" i="10" s="1"/>
  <c r="X261" i="10" s="1"/>
  <c r="X260" i="10" s="1"/>
  <c r="X259" i="10" s="1"/>
  <c r="X258" i="10" s="1"/>
  <c r="X257" i="10" s="1"/>
  <c r="X256" i="10" s="1"/>
  <c r="X255" i="10" s="1"/>
  <c r="X254" i="10" s="1"/>
  <c r="X253" i="10" s="1"/>
  <c r="X252" i="10" s="1"/>
  <c r="X251" i="10" s="1"/>
  <c r="X250" i="10" s="1"/>
  <c r="X249" i="10" s="1"/>
  <c r="X248" i="10" s="1"/>
  <c r="X247" i="10" s="1"/>
  <c r="X246" i="10" s="1"/>
  <c r="X245" i="10" s="1"/>
  <c r="X244" i="10" s="1"/>
  <c r="X243" i="10" s="1"/>
  <c r="X242" i="10" s="1"/>
  <c r="X241" i="10" s="1"/>
  <c r="X240" i="10" s="1"/>
  <c r="X239" i="10" s="1"/>
  <c r="X238" i="10" s="1"/>
  <c r="X237" i="10" s="1"/>
  <c r="X236" i="10" s="1"/>
  <c r="X235" i="10" s="1"/>
  <c r="X234" i="10" s="1"/>
  <c r="X233" i="10" s="1"/>
  <c r="X232" i="10" s="1"/>
  <c r="X231" i="10" s="1"/>
  <c r="X230" i="10" s="1"/>
  <c r="X229" i="10" s="1"/>
  <c r="X228" i="10" s="1"/>
  <c r="X227" i="10" s="1"/>
  <c r="X226" i="10" s="1"/>
  <c r="X225" i="10" s="1"/>
  <c r="X224" i="10" s="1"/>
  <c r="X223" i="10" s="1"/>
  <c r="X222" i="10" s="1"/>
  <c r="Y309" i="10"/>
  <c r="Z135" i="10"/>
  <c r="AA136" i="10"/>
  <c r="AB136" i="10" s="1"/>
  <c r="Z85" i="10"/>
  <c r="AA86" i="10"/>
  <c r="AB86" i="10" s="1"/>
  <c r="AA37" i="10"/>
  <c r="AB37" i="10" s="1"/>
  <c r="Z36" i="10"/>
  <c r="AA181" i="10"/>
  <c r="AB181" i="10" s="1"/>
  <c r="Z180" i="10"/>
  <c r="Z110" i="10"/>
  <c r="AA111" i="10"/>
  <c r="AB111" i="10" s="1"/>
  <c r="AA57" i="10"/>
  <c r="AB57" i="10" s="1"/>
  <c r="Z56" i="10"/>
  <c r="AA110" i="10" l="1"/>
  <c r="AB110" i="10" s="1"/>
  <c r="Z109" i="10"/>
  <c r="Z309" i="10"/>
  <c r="Y308" i="10"/>
  <c r="Y307" i="10" s="1"/>
  <c r="Y306" i="10" s="1"/>
  <c r="Y305" i="10" s="1"/>
  <c r="Y304" i="10" s="1"/>
  <c r="Y303" i="10" s="1"/>
  <c r="Y302" i="10" s="1"/>
  <c r="Y301" i="10" s="1"/>
  <c r="Y300" i="10" s="1"/>
  <c r="Y299" i="10" s="1"/>
  <c r="Y298" i="10" s="1"/>
  <c r="Y297" i="10" s="1"/>
  <c r="Y296" i="10" s="1"/>
  <c r="Y295" i="10" s="1"/>
  <c r="Y294" i="10" s="1"/>
  <c r="Y293" i="10" s="1"/>
  <c r="Y292" i="10" s="1"/>
  <c r="Y291" i="10" s="1"/>
  <c r="Y290" i="10" s="1"/>
  <c r="Y289" i="10" s="1"/>
  <c r="Y288" i="10" s="1"/>
  <c r="Y287" i="10" s="1"/>
  <c r="Y286" i="10" s="1"/>
  <c r="Y285" i="10" s="1"/>
  <c r="Y284" i="10" s="1"/>
  <c r="Y283" i="10" s="1"/>
  <c r="Y282" i="10" s="1"/>
  <c r="Y281" i="10" s="1"/>
  <c r="Y280" i="10" s="1"/>
  <c r="Y279" i="10" s="1"/>
  <c r="Y278" i="10" s="1"/>
  <c r="Y277" i="10" s="1"/>
  <c r="Y276" i="10" s="1"/>
  <c r="Y275" i="10" s="1"/>
  <c r="Y274" i="10" s="1"/>
  <c r="Y273" i="10" s="1"/>
  <c r="Y272" i="10" s="1"/>
  <c r="Y271" i="10" s="1"/>
  <c r="Y270" i="10" s="1"/>
  <c r="Y269" i="10" s="1"/>
  <c r="Y268" i="10" s="1"/>
  <c r="Y267" i="10" s="1"/>
  <c r="Y266" i="10" s="1"/>
  <c r="Y265" i="10" s="1"/>
  <c r="Y264" i="10" s="1"/>
  <c r="Y263" i="10" s="1"/>
  <c r="Y262" i="10" s="1"/>
  <c r="Y261" i="10" s="1"/>
  <c r="Y260" i="10" s="1"/>
  <c r="Y259" i="10" s="1"/>
  <c r="Y258" i="10" s="1"/>
  <c r="Y257" i="10" s="1"/>
  <c r="Y256" i="10" s="1"/>
  <c r="Y255" i="10" s="1"/>
  <c r="Y254" i="10" s="1"/>
  <c r="Y253" i="10" s="1"/>
  <c r="Y252" i="10" s="1"/>
  <c r="Y251" i="10" s="1"/>
  <c r="Y250" i="10" s="1"/>
  <c r="Y249" i="10" s="1"/>
  <c r="Y248" i="10" s="1"/>
  <c r="Y247" i="10" s="1"/>
  <c r="Y246" i="10" s="1"/>
  <c r="Y245" i="10" s="1"/>
  <c r="Y244" i="10" s="1"/>
  <c r="Y243" i="10" s="1"/>
  <c r="Y242" i="10" s="1"/>
  <c r="Y241" i="10" s="1"/>
  <c r="Y240" i="10" s="1"/>
  <c r="Y239" i="10" s="1"/>
  <c r="Y238" i="10" s="1"/>
  <c r="Y237" i="10" s="1"/>
  <c r="Y236" i="10" s="1"/>
  <c r="Y235" i="10" s="1"/>
  <c r="Y234" i="10" s="1"/>
  <c r="Y233" i="10" s="1"/>
  <c r="Y232" i="10" s="1"/>
  <c r="Y231" i="10" s="1"/>
  <c r="Y230" i="10" s="1"/>
  <c r="Y229" i="10" s="1"/>
  <c r="Y228" i="10" s="1"/>
  <c r="Y227" i="10" s="1"/>
  <c r="Y226" i="10" s="1"/>
  <c r="Y225" i="10" s="1"/>
  <c r="Y224" i="10" s="1"/>
  <c r="Y223" i="10" s="1"/>
  <c r="Y222" i="10" s="1"/>
  <c r="AA36" i="10"/>
  <c r="AB36" i="10" s="1"/>
  <c r="Z35" i="10"/>
  <c r="Z134" i="10"/>
  <c r="AA135" i="10"/>
  <c r="AB135" i="10" s="1"/>
  <c r="Z179" i="10"/>
  <c r="AA180" i="10"/>
  <c r="AB180" i="10" s="1"/>
  <c r="Z20" i="10"/>
  <c r="AA20" i="10" s="1"/>
  <c r="AB20" i="10" s="1"/>
  <c r="AA21" i="10"/>
  <c r="AB21" i="10" s="1"/>
  <c r="Z55" i="10"/>
  <c r="AA56" i="10"/>
  <c r="AB56" i="10" s="1"/>
  <c r="AA85" i="10"/>
  <c r="AB85" i="10" s="1"/>
  <c r="Z84" i="10"/>
  <c r="Z158" i="10"/>
  <c r="AA159" i="10"/>
  <c r="AB159" i="10" s="1"/>
  <c r="Z178" i="10" l="1"/>
  <c r="AA179" i="10"/>
  <c r="AB179" i="10" s="1"/>
  <c r="AA134" i="10"/>
  <c r="AB134" i="10" s="1"/>
  <c r="Z133" i="10"/>
  <c r="AA35" i="10"/>
  <c r="AB35" i="10" s="1"/>
  <c r="Z34" i="10"/>
  <c r="AA34" i="10" s="1"/>
  <c r="AB34" i="10" s="1"/>
  <c r="AA158" i="10"/>
  <c r="AB158" i="10" s="1"/>
  <c r="Z157" i="10"/>
  <c r="AA84" i="10"/>
  <c r="AB84" i="10" s="1"/>
  <c r="Z83" i="10"/>
  <c r="Z54" i="10"/>
  <c r="AA55" i="10"/>
  <c r="AB55" i="10" s="1"/>
  <c r="AA309" i="10"/>
  <c r="AB309" i="10" s="1"/>
  <c r="Z308" i="10"/>
  <c r="AA109" i="10"/>
  <c r="AB109" i="10" s="1"/>
  <c r="Z108" i="10"/>
  <c r="AA83" i="10" l="1"/>
  <c r="AB83" i="10" s="1"/>
  <c r="Z82" i="10"/>
  <c r="AA178" i="10"/>
  <c r="AB178" i="10" s="1"/>
  <c r="Z177" i="10"/>
  <c r="AA157" i="10"/>
  <c r="AB157" i="10" s="1"/>
  <c r="Z156" i="10"/>
  <c r="Z307" i="10"/>
  <c r="AA308" i="10"/>
  <c r="AB308" i="10" s="1"/>
  <c r="AA133" i="10"/>
  <c r="AB133" i="10" s="1"/>
  <c r="Z132" i="10"/>
  <c r="AA108" i="10"/>
  <c r="AB108" i="10" s="1"/>
  <c r="Z107" i="10"/>
  <c r="Z53" i="10"/>
  <c r="AA54" i="10"/>
  <c r="AB54" i="10" s="1"/>
  <c r="Z306" i="10" l="1"/>
  <c r="AA307" i="10"/>
  <c r="AB307" i="10" s="1"/>
  <c r="AA53" i="10"/>
  <c r="AB53" i="10" s="1"/>
  <c r="Z52" i="10"/>
  <c r="AA177" i="10"/>
  <c r="AB177" i="10" s="1"/>
  <c r="Z176" i="10"/>
  <c r="Z155" i="10"/>
  <c r="AA155" i="10" s="1"/>
  <c r="AB155" i="10" s="1"/>
  <c r="AA156" i="10"/>
  <c r="AB156" i="10" s="1"/>
  <c r="AA107" i="10"/>
  <c r="AB107" i="10" s="1"/>
  <c r="Z106" i="10"/>
  <c r="AA132" i="10"/>
  <c r="AB132" i="10" s="1"/>
  <c r="Z131" i="10"/>
  <c r="Z81" i="10"/>
  <c r="AA81" i="10" s="1"/>
  <c r="AB81" i="10" s="1"/>
  <c r="AA82" i="10"/>
  <c r="AB82" i="10" s="1"/>
  <c r="Z175" i="10" l="1"/>
  <c r="AA176" i="10"/>
  <c r="AB176" i="10" s="1"/>
  <c r="Z51" i="10"/>
  <c r="AA52" i="10"/>
  <c r="AB52" i="10" s="1"/>
  <c r="Z105" i="10"/>
  <c r="AA106" i="10"/>
  <c r="AB106" i="10" s="1"/>
  <c r="Z130" i="10"/>
  <c r="AA131" i="10"/>
  <c r="AB131" i="10" s="1"/>
  <c r="Z305" i="10"/>
  <c r="AA306" i="10"/>
  <c r="AB306" i="10" s="1"/>
  <c r="Z129" i="10" l="1"/>
  <c r="AA130" i="10"/>
  <c r="AB130" i="10" s="1"/>
  <c r="AA51" i="10"/>
  <c r="AB51" i="10" s="1"/>
  <c r="Z50" i="10"/>
  <c r="Z104" i="10"/>
  <c r="AA105" i="10"/>
  <c r="AB105" i="10" s="1"/>
  <c r="Z304" i="10"/>
  <c r="AA305" i="10"/>
  <c r="AB305" i="10" s="1"/>
  <c r="Z174" i="10"/>
  <c r="AA175" i="10"/>
  <c r="AB175" i="10" s="1"/>
  <c r="Z173" i="10" l="1"/>
  <c r="AA174" i="10"/>
  <c r="AB174" i="10" s="1"/>
  <c r="AA129" i="10"/>
  <c r="AB129" i="10" s="1"/>
  <c r="Z128" i="10"/>
  <c r="Z303" i="10"/>
  <c r="AA304" i="10"/>
  <c r="AB304" i="10" s="1"/>
  <c r="AA104" i="10"/>
  <c r="AB104" i="10" s="1"/>
  <c r="Z103" i="10"/>
  <c r="Z49" i="10"/>
  <c r="AA49" i="10" s="1"/>
  <c r="AB49" i="10" s="1"/>
  <c r="AA50" i="10"/>
  <c r="AB50" i="10" s="1"/>
  <c r="Z102" i="10" l="1"/>
  <c r="AA103" i="10"/>
  <c r="AB103" i="10" s="1"/>
  <c r="AA303" i="10"/>
  <c r="AB303" i="10" s="1"/>
  <c r="Z302" i="10"/>
  <c r="Z127" i="10"/>
  <c r="AA128" i="10"/>
  <c r="AB128" i="10" s="1"/>
  <c r="AA173" i="10"/>
  <c r="AB173" i="10" s="1"/>
  <c r="Z172" i="10"/>
  <c r="AA172" i="10" s="1"/>
  <c r="AB172" i="10" s="1"/>
  <c r="Z126" i="10" l="1"/>
  <c r="AA127" i="10"/>
  <c r="AB127" i="10" s="1"/>
  <c r="AA302" i="10"/>
  <c r="AB302" i="10" s="1"/>
  <c r="Z301" i="10"/>
  <c r="Z101" i="10"/>
  <c r="AA102" i="10"/>
  <c r="AB102" i="10" s="1"/>
  <c r="AA301" i="10" l="1"/>
  <c r="AB301" i="10" s="1"/>
  <c r="Z300" i="10"/>
  <c r="AA101" i="10"/>
  <c r="AB101" i="10" s="1"/>
  <c r="Z100" i="10"/>
  <c r="AA126" i="10"/>
  <c r="AB126" i="10" s="1"/>
  <c r="Z125" i="10"/>
  <c r="Z124" i="10" l="1"/>
  <c r="AA125" i="10"/>
  <c r="AB125" i="10" s="1"/>
  <c r="Z99" i="10"/>
  <c r="AA100" i="10"/>
  <c r="AB100" i="10" s="1"/>
  <c r="Z299" i="10"/>
  <c r="AA300" i="10"/>
  <c r="AB300" i="10" s="1"/>
  <c r="Z298" i="10" l="1"/>
  <c r="AA299" i="10"/>
  <c r="AB299" i="10" s="1"/>
  <c r="AA99" i="10"/>
  <c r="AB99" i="10" s="1"/>
  <c r="Z98" i="10"/>
  <c r="AA98" i="10" s="1"/>
  <c r="AB98" i="10" s="1"/>
  <c r="AA124" i="10"/>
  <c r="AB124" i="10" s="1"/>
  <c r="Z123" i="10"/>
  <c r="AA123" i="10" s="1"/>
  <c r="AB123" i="10" s="1"/>
  <c r="Z297" i="10" l="1"/>
  <c r="AA298" i="10"/>
  <c r="AB298" i="10" s="1"/>
  <c r="Z296" i="10" l="1"/>
  <c r="AA297" i="10"/>
  <c r="AB297" i="10" s="1"/>
  <c r="Z295" i="10" l="1"/>
  <c r="AA296" i="10"/>
  <c r="AB296" i="10" s="1"/>
  <c r="AA295" i="10" l="1"/>
  <c r="AB295" i="10" s="1"/>
  <c r="Z294" i="10"/>
  <c r="AA294" i="10" l="1"/>
  <c r="AB294" i="10" s="1"/>
  <c r="Z293" i="10"/>
  <c r="AA293" i="10" l="1"/>
  <c r="AB293" i="10" s="1"/>
  <c r="Z292" i="10"/>
  <c r="Z291" i="10" l="1"/>
  <c r="AA292" i="10"/>
  <c r="AB292" i="10" s="1"/>
  <c r="Z290" i="10" l="1"/>
  <c r="AA291" i="10"/>
  <c r="AB291" i="10" s="1"/>
  <c r="AA290" i="10" l="1"/>
  <c r="AB290" i="10" s="1"/>
  <c r="Z289" i="10"/>
  <c r="Z288" i="10" l="1"/>
  <c r="AA289" i="10"/>
  <c r="AB289" i="10" s="1"/>
  <c r="Z287" i="10" l="1"/>
  <c r="AA288" i="10"/>
  <c r="AB288" i="10" s="1"/>
  <c r="Z286" i="10" l="1"/>
  <c r="AA287" i="10"/>
  <c r="AB287" i="10" s="1"/>
  <c r="Z285" i="10" l="1"/>
  <c r="AA286" i="10"/>
  <c r="AB286" i="10" s="1"/>
  <c r="AA285" i="10" l="1"/>
  <c r="AB285" i="10" s="1"/>
  <c r="Z284" i="10"/>
  <c r="Z283" i="10" l="1"/>
  <c r="AA284" i="10"/>
  <c r="AB284" i="10" s="1"/>
  <c r="Z282" i="10" l="1"/>
  <c r="AA283" i="10"/>
  <c r="AB283" i="10" s="1"/>
  <c r="Z281" i="10" l="1"/>
  <c r="AA282" i="10"/>
  <c r="AB282" i="10" s="1"/>
  <c r="AA281" i="10" l="1"/>
  <c r="AB281" i="10" s="1"/>
  <c r="Z280" i="10"/>
  <c r="Z279" i="10" l="1"/>
  <c r="AA280" i="10"/>
  <c r="AB280" i="10" s="1"/>
  <c r="Z278" i="10" l="1"/>
  <c r="AA279" i="10"/>
  <c r="AB279" i="10" s="1"/>
  <c r="Z277" i="10" l="1"/>
  <c r="AA278" i="10"/>
  <c r="AB278" i="10" s="1"/>
  <c r="Z276" i="10" l="1"/>
  <c r="AA277" i="10"/>
  <c r="AB277" i="10" s="1"/>
  <c r="Z275" i="10" l="1"/>
  <c r="AA276" i="10"/>
  <c r="AB276" i="10" s="1"/>
  <c r="Z274" i="10" l="1"/>
  <c r="AA275" i="10"/>
  <c r="AB275" i="10" s="1"/>
  <c r="Z273" i="10" l="1"/>
  <c r="AA274" i="10"/>
  <c r="AB274" i="10" s="1"/>
  <c r="AA273" i="10" l="1"/>
  <c r="AB273" i="10" s="1"/>
  <c r="Z272" i="10"/>
  <c r="Z271" i="10" l="1"/>
  <c r="AA272" i="10"/>
  <c r="AB272" i="10" s="1"/>
  <c r="Z270" i="10" l="1"/>
  <c r="AA271" i="10"/>
  <c r="AB271" i="10" s="1"/>
  <c r="Z269" i="10" l="1"/>
  <c r="AA270" i="10"/>
  <c r="AB270" i="10" s="1"/>
  <c r="AA269" i="10" l="1"/>
  <c r="AB269" i="10" s="1"/>
  <c r="Z268" i="10"/>
  <c r="Z267" i="10" l="1"/>
  <c r="AA268" i="10"/>
  <c r="AB268" i="10" s="1"/>
  <c r="Z266" i="10" l="1"/>
  <c r="AA267" i="10"/>
  <c r="AB267" i="10" s="1"/>
  <c r="Z265" i="10" l="1"/>
  <c r="AA266" i="10"/>
  <c r="AB266" i="10" s="1"/>
  <c r="AA265" i="10" l="1"/>
  <c r="AB265" i="10" s="1"/>
  <c r="Z264" i="10"/>
  <c r="Z263" i="10" l="1"/>
  <c r="AA264" i="10"/>
  <c r="AB264" i="10" s="1"/>
  <c r="Z262" i="10" l="1"/>
  <c r="AA263" i="10"/>
  <c r="AB263" i="10" s="1"/>
  <c r="Z261" i="10" l="1"/>
  <c r="AA262" i="10"/>
  <c r="AB262" i="10" s="1"/>
  <c r="AA261" i="10" l="1"/>
  <c r="AB261" i="10" s="1"/>
  <c r="Z260" i="10"/>
  <c r="Z259" i="10" l="1"/>
  <c r="AA260" i="10"/>
  <c r="AB260" i="10" s="1"/>
  <c r="Z258" i="10" l="1"/>
  <c r="AA259" i="10"/>
  <c r="AB259" i="10" s="1"/>
  <c r="Z257" i="10" l="1"/>
  <c r="AA258" i="10"/>
  <c r="AB258" i="10" s="1"/>
  <c r="AA257" i="10" l="1"/>
  <c r="AB257" i="10" s="1"/>
  <c r="Z256" i="10"/>
  <c r="Z255" i="10" l="1"/>
  <c r="AA256" i="10"/>
  <c r="AB256" i="10" s="1"/>
  <c r="Z254" i="10" l="1"/>
  <c r="AA255" i="10"/>
  <c r="AB255" i="10" s="1"/>
  <c r="Z253" i="10" l="1"/>
  <c r="AA254" i="10"/>
  <c r="AB254" i="10" s="1"/>
  <c r="AA253" i="10" l="1"/>
  <c r="AB253" i="10" s="1"/>
  <c r="Z252" i="10"/>
  <c r="Z251" i="10" l="1"/>
  <c r="AA252" i="10"/>
  <c r="AB252" i="10" s="1"/>
  <c r="Z250" i="10" l="1"/>
  <c r="AA251" i="10"/>
  <c r="AB251" i="10" s="1"/>
  <c r="Z249" i="10" l="1"/>
  <c r="AA250" i="10"/>
  <c r="AB250" i="10" s="1"/>
  <c r="AA249" i="10" l="1"/>
  <c r="AB249" i="10" s="1"/>
  <c r="Z248" i="10"/>
  <c r="AA248" i="10" l="1"/>
  <c r="AB248" i="10" s="1"/>
  <c r="Z247" i="10"/>
  <c r="Z246" i="10" l="1"/>
  <c r="AA247" i="10"/>
  <c r="AB247" i="10" s="1"/>
  <c r="Z245" i="10" l="1"/>
  <c r="AA246" i="10"/>
  <c r="AB246" i="10" s="1"/>
  <c r="AA245" i="10" l="1"/>
  <c r="AB245" i="10" s="1"/>
  <c r="Z244" i="10"/>
  <c r="Z243" i="10" l="1"/>
  <c r="AA244" i="10"/>
  <c r="AB244" i="10" s="1"/>
  <c r="Z242" i="10" l="1"/>
  <c r="AA243" i="10"/>
  <c r="AB243" i="10" s="1"/>
  <c r="Z241" i="10" l="1"/>
  <c r="AA242" i="10"/>
  <c r="AB242" i="10" s="1"/>
  <c r="AA241" i="10" l="1"/>
  <c r="AB241" i="10" s="1"/>
  <c r="Z240" i="10"/>
  <c r="AA240" i="10" l="1"/>
  <c r="AB240" i="10" s="1"/>
  <c r="Z239" i="10"/>
  <c r="Z238" i="10" l="1"/>
  <c r="AA239" i="10"/>
  <c r="AB239" i="10" s="1"/>
  <c r="Z237" i="10" l="1"/>
  <c r="AA238" i="10"/>
  <c r="AB238" i="10" s="1"/>
  <c r="AA237" i="10" l="1"/>
  <c r="AB237" i="10" s="1"/>
  <c r="Z236" i="10"/>
  <c r="Z235" i="10" l="1"/>
  <c r="AA236" i="10"/>
  <c r="AB236" i="10" s="1"/>
  <c r="Z234" i="10" l="1"/>
  <c r="AA235" i="10"/>
  <c r="AB235" i="10" s="1"/>
  <c r="Z233" i="10" l="1"/>
  <c r="AA234" i="10"/>
  <c r="AB234" i="10" s="1"/>
  <c r="AA233" i="10" l="1"/>
  <c r="AB233" i="10" s="1"/>
  <c r="Z232" i="10"/>
  <c r="AA232" i="10" l="1"/>
  <c r="AB232" i="10" s="1"/>
  <c r="Z231" i="10"/>
  <c r="Z230" i="10" l="1"/>
  <c r="AA231" i="10"/>
  <c r="AB231" i="10" s="1"/>
  <c r="Z229" i="10" l="1"/>
  <c r="AA230" i="10"/>
  <c r="AB230" i="10" s="1"/>
  <c r="AA229" i="10" l="1"/>
  <c r="AB229" i="10" s="1"/>
  <c r="Z228" i="10"/>
  <c r="Z227" i="10" l="1"/>
  <c r="AA228" i="10"/>
  <c r="AB228" i="10" s="1"/>
  <c r="Z226" i="10" l="1"/>
  <c r="AA227" i="10"/>
  <c r="AB227" i="10" s="1"/>
  <c r="Z225" i="10" l="1"/>
  <c r="AA226" i="10"/>
  <c r="AB226" i="10" s="1"/>
  <c r="AA225" i="10" l="1"/>
  <c r="AB225" i="10" s="1"/>
  <c r="Z224" i="10"/>
  <c r="AA224" i="10" l="1"/>
  <c r="AB224" i="10" s="1"/>
  <c r="Z223" i="10"/>
  <c r="Z222" i="10" l="1"/>
  <c r="AA222" i="10" s="1"/>
  <c r="AB222" i="10" s="1"/>
  <c r="AA223" i="10"/>
  <c r="AB223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Liu, Jingqian</author>
  </authors>
  <commentList>
    <comment ref="AM7" authorId="0" shapeId="0" xr:uid="{A1CB9CCF-0533-462A-93C9-A71F771EA427}">
      <text>
        <r>
          <rPr>
            <sz val="9"/>
            <color indexed="81"/>
            <rFont val="宋体"/>
            <family val="3"/>
            <charset val="134"/>
          </rPr>
          <t>Detail row 248: !ERROR #N/A</t>
        </r>
      </text>
    </comment>
    <comment ref="AM8" authorId="0" shapeId="0" xr:uid="{EEC06101-8497-42DA-8A05-19FC00095269}">
      <text>
        <r>
          <rPr>
            <sz val="9"/>
            <color indexed="81"/>
            <rFont val="宋体"/>
            <family val="3"/>
            <charset val="134"/>
          </rPr>
          <t>Detail row 249: !ERROR #N/A</t>
        </r>
      </text>
    </comment>
    <comment ref="AM11" authorId="0" shapeId="0" xr:uid="{B5B9CC0C-9416-4E76-848A-52851292AB9E}">
      <text>
        <r>
          <rPr>
            <sz val="9"/>
            <color indexed="81"/>
            <rFont val="宋体"/>
            <family val="3"/>
            <charset val="134"/>
          </rPr>
          <t>Detail row 253: !ERROR #N/A</t>
        </r>
      </text>
    </comment>
    <comment ref="AM12" authorId="0" shapeId="0" xr:uid="{115D000E-FC5F-4531-96BA-FC74E32DCCD5}">
      <text>
        <r>
          <rPr>
            <sz val="9"/>
            <color indexed="81"/>
            <rFont val="宋体"/>
            <family val="3"/>
            <charset val="134"/>
          </rPr>
          <t>Detail row 250: !ERROR #N/A</t>
        </r>
      </text>
    </comment>
    <comment ref="AM13" authorId="0" shapeId="0" xr:uid="{FD985A26-5D9C-4DED-B457-16CEAAA3C1BE}">
      <text>
        <r>
          <rPr>
            <sz val="9"/>
            <color indexed="81"/>
            <rFont val="宋体"/>
            <family val="3"/>
            <charset val="134"/>
          </rPr>
          <t>Detail row 251: !ERROR #N/A</t>
        </r>
      </text>
    </comment>
    <comment ref="AM14" authorId="0" shapeId="0" xr:uid="{A4466BB7-4D62-4894-B81E-FA4E16348ED1}">
      <text>
        <r>
          <rPr>
            <sz val="9"/>
            <color indexed="81"/>
            <rFont val="宋体"/>
            <family val="3"/>
            <charset val="134"/>
          </rPr>
          <t>Detail row 252: !ERROR #N/A</t>
        </r>
      </text>
    </comment>
    <comment ref="AM18" authorId="0" shapeId="0" xr:uid="{4ED0A849-3AE0-499B-9585-F4A8D0B93C3C}">
      <text>
        <r>
          <rPr>
            <sz val="9"/>
            <color indexed="81"/>
            <rFont val="宋体"/>
            <family val="3"/>
            <charset val="134"/>
          </rPr>
          <t>Detail row 225: !INVALID/MISSING 0</t>
        </r>
      </text>
    </comment>
    <comment ref="AM19" authorId="0" shapeId="0" xr:uid="{9F94C206-4A15-419A-8E79-FD12F7E387A5}">
      <text>
        <r>
          <rPr>
            <sz val="9"/>
            <color indexed="81"/>
            <rFont val="宋体"/>
            <family val="3"/>
            <charset val="134"/>
          </rPr>
          <t>Detail row 227: !ERROR #N/A</t>
        </r>
      </text>
    </comment>
    <comment ref="AM20" authorId="0" shapeId="0" xr:uid="{DD98868F-BE92-4485-BAFA-6ACC8CB693FF}">
      <text>
        <r>
          <rPr>
            <sz val="9"/>
            <color indexed="81"/>
            <rFont val="宋体"/>
            <family val="3"/>
            <charset val="134"/>
          </rPr>
          <t>Detail row 231: !ERROR #N/A</t>
        </r>
      </text>
    </comment>
    <comment ref="AM21" authorId="0" shapeId="0" xr:uid="{0C1F7CB8-AF86-4481-81FF-9184BA36365A}">
      <text>
        <r>
          <rPr>
            <sz val="9"/>
            <color indexed="81"/>
            <rFont val="宋体"/>
            <family val="3"/>
            <charset val="134"/>
          </rPr>
          <t>Detail row 232: !ERROR #N/A</t>
        </r>
      </text>
    </comment>
    <comment ref="AM22" authorId="0" shapeId="0" xr:uid="{35EECBBC-800A-4D7E-89DF-9159A35B87DD}">
      <text>
        <r>
          <rPr>
            <sz val="9"/>
            <color indexed="81"/>
            <rFont val="宋体"/>
            <family val="3"/>
            <charset val="134"/>
          </rPr>
          <t>Detail row 233: !ERROR #N/A</t>
        </r>
      </text>
    </comment>
    <comment ref="AM23" authorId="0" shapeId="0" xr:uid="{FFE8841F-6652-4CCD-B789-910520BCE6EB}">
      <text>
        <r>
          <rPr>
            <sz val="9"/>
            <color indexed="81"/>
            <rFont val="宋体"/>
            <family val="3"/>
            <charset val="134"/>
          </rPr>
          <t>Detail row 234: !ERROR #N/A</t>
        </r>
      </text>
    </comment>
    <comment ref="AM24" authorId="0" shapeId="0" xr:uid="{9BB5DDAF-877B-4AFA-9BC4-7745B5762B28}">
      <text>
        <r>
          <rPr>
            <sz val="9"/>
            <color indexed="81"/>
            <rFont val="宋体"/>
            <family val="3"/>
            <charset val="134"/>
          </rPr>
          <t>Detail row 236: !ERROR #N/A</t>
        </r>
      </text>
    </comment>
    <comment ref="AM25" authorId="0" shapeId="0" xr:uid="{856F6613-1BA9-4E42-9CEF-BC1811EA41E5}">
      <text>
        <r>
          <rPr>
            <sz val="9"/>
            <color indexed="81"/>
            <rFont val="宋体"/>
            <family val="3"/>
            <charset val="134"/>
          </rPr>
          <t>Detail row 223: !INVALID/MISSING 0</t>
        </r>
      </text>
    </comment>
    <comment ref="AM26" authorId="0" shapeId="0" xr:uid="{B6FA927F-C95F-4960-82EA-DB5166AB04F8}">
      <text>
        <r>
          <rPr>
            <sz val="9"/>
            <color indexed="81"/>
            <rFont val="宋体"/>
            <family val="3"/>
            <charset val="134"/>
          </rPr>
          <t>Detail row 224: !INVALID/MISSING 0</t>
        </r>
      </text>
    </comment>
    <comment ref="AM27" authorId="0" shapeId="0" xr:uid="{A0ACF275-0077-46CA-A54D-832230492B35}">
      <text>
        <r>
          <rPr>
            <sz val="9"/>
            <color indexed="81"/>
            <rFont val="宋体"/>
            <family val="3"/>
            <charset val="134"/>
          </rPr>
          <t>Detail row 228: !ERROR #N/A</t>
        </r>
      </text>
    </comment>
    <comment ref="AM28" authorId="0" shapeId="0" xr:uid="{590FB34B-961F-4746-8AEC-083A9C82C23B}">
      <text>
        <r>
          <rPr>
            <sz val="9"/>
            <color indexed="81"/>
            <rFont val="宋体"/>
            <family val="3"/>
            <charset val="134"/>
          </rPr>
          <t>Detail row 229: !ERROR #N/A</t>
        </r>
      </text>
    </comment>
    <comment ref="AM29" authorId="0" shapeId="0" xr:uid="{6AD6D953-6EE6-4E30-A708-00C3E4C2C28B}">
      <text>
        <r>
          <rPr>
            <sz val="9"/>
            <color indexed="81"/>
            <rFont val="宋体"/>
            <family val="3"/>
            <charset val="134"/>
          </rPr>
          <t>Detail row 230: !ERROR #N/A</t>
        </r>
      </text>
    </comment>
    <comment ref="AM30" authorId="0" shapeId="0" xr:uid="{37029D48-E20E-4621-846E-A7945D48398B}">
      <text>
        <r>
          <rPr>
            <sz val="9"/>
            <color indexed="81"/>
            <rFont val="宋体"/>
            <family val="3"/>
            <charset val="134"/>
          </rPr>
          <t>Detail row 235: !ERROR #N/A</t>
        </r>
      </text>
    </comment>
    <comment ref="AM32" authorId="0" shapeId="0" xr:uid="{AAEE58A3-DBFB-4046-991E-F7B31D25EE9C}">
      <text>
        <r>
          <rPr>
            <sz val="9"/>
            <color indexed="81"/>
            <rFont val="宋体"/>
            <family val="3"/>
            <charset val="134"/>
          </rPr>
          <t>Detail row 268: !ERROR #N/A</t>
        </r>
      </text>
    </comment>
    <comment ref="AM34" authorId="0" shapeId="0" xr:uid="{2372878D-04D4-4367-A477-E58E048D061B}">
      <text>
        <r>
          <rPr>
            <sz val="9"/>
            <color indexed="81"/>
            <rFont val="宋体"/>
            <family val="3"/>
            <charset val="134"/>
          </rPr>
          <t>Detail row 238: !ERROR #N/A</t>
        </r>
      </text>
    </comment>
    <comment ref="AM35" authorId="0" shapeId="0" xr:uid="{1092A95B-FEB8-4096-A35C-516F48FCD95D}">
      <text>
        <r>
          <rPr>
            <sz val="9"/>
            <color indexed="81"/>
            <rFont val="宋体"/>
            <family val="3"/>
            <charset val="134"/>
          </rPr>
          <t>Detail row 239: !ERROR #N/A</t>
        </r>
      </text>
    </comment>
    <comment ref="AM37" authorId="0" shapeId="0" xr:uid="{691C13E3-1085-4CD8-84E2-96BB372FCE6C}">
      <text>
        <r>
          <rPr>
            <sz val="9"/>
            <color indexed="81"/>
            <rFont val="宋体"/>
            <family val="3"/>
            <charset val="134"/>
          </rPr>
          <t>Detail row 222: !ERROR #N/A</t>
        </r>
      </text>
    </comment>
    <comment ref="AM38" authorId="0" shapeId="0" xr:uid="{2C250955-3347-43C6-9443-F1C562A9D835}">
      <text>
        <r>
          <rPr>
            <sz val="9"/>
            <color indexed="81"/>
            <rFont val="宋体"/>
            <family val="3"/>
            <charset val="134"/>
          </rPr>
          <t>Detail row 240: !ERROR #N/A</t>
        </r>
      </text>
    </comment>
    <comment ref="AM40" authorId="0" shapeId="0" xr:uid="{5357FD95-AB1F-4C32-88F0-0A1145D54507}">
      <text>
        <r>
          <rPr>
            <sz val="9"/>
            <color indexed="81"/>
            <rFont val="宋体"/>
            <family val="3"/>
            <charset val="134"/>
          </rPr>
          <t>Detail row 242: !ERROR #N/A</t>
        </r>
      </text>
    </comment>
    <comment ref="AM41" authorId="0" shapeId="0" xr:uid="{FFD8BA5D-9956-46A6-BC46-24FB62BF081C}">
      <text>
        <r>
          <rPr>
            <sz val="9"/>
            <color indexed="81"/>
            <rFont val="宋体"/>
            <family val="3"/>
            <charset val="134"/>
          </rPr>
          <t>Detail row 243: !ERROR #N/A</t>
        </r>
      </text>
    </comment>
    <comment ref="AM42" authorId="0" shapeId="0" xr:uid="{937CD17B-4E5E-4F77-A696-DDAC4A5AEBCD}">
      <text>
        <r>
          <rPr>
            <sz val="9"/>
            <color indexed="81"/>
            <rFont val="宋体"/>
            <family val="3"/>
            <charset val="134"/>
          </rPr>
          <t>Detail row 244: !ERROR #N/A</t>
        </r>
      </text>
    </comment>
    <comment ref="AM43" authorId="0" shapeId="0" xr:uid="{C848A098-00FC-4867-AC9B-3B4219A899C8}">
      <text>
        <r>
          <rPr>
            <sz val="9"/>
            <color indexed="81"/>
            <rFont val="宋体"/>
            <family val="3"/>
            <charset val="134"/>
          </rPr>
          <t>Detail row 245: !ERROR #N/A</t>
        </r>
      </text>
    </comment>
    <comment ref="AM44" authorId="0" shapeId="0" xr:uid="{287C989D-5312-45DE-B9EC-C7F8C07F890C}">
      <text>
        <r>
          <rPr>
            <sz val="9"/>
            <color indexed="81"/>
            <rFont val="宋体"/>
            <family val="3"/>
            <charset val="134"/>
          </rPr>
          <t>Detail row 246: !ERROR #N/A</t>
        </r>
      </text>
    </comment>
    <comment ref="AM46" authorId="0" shapeId="0" xr:uid="{F703911E-EBC5-4D19-8B09-7761ABB9CDA0}">
      <text>
        <r>
          <rPr>
            <sz val="9"/>
            <color indexed="81"/>
            <rFont val="宋体"/>
            <family val="3"/>
            <charset val="134"/>
          </rPr>
          <t>Detail row 274: !ERROR #N/A</t>
        </r>
      </text>
    </comment>
    <comment ref="AM48" authorId="0" shapeId="0" xr:uid="{D1854B96-AD5A-4EC9-B065-F8D1FBA63429}">
      <text>
        <r>
          <rPr>
            <sz val="9"/>
            <color indexed="81"/>
            <rFont val="宋体"/>
            <family val="3"/>
            <charset val="134"/>
          </rPr>
          <t>Detail row 276: !ERROR #N/A</t>
        </r>
      </text>
    </comment>
    <comment ref="AM49" authorId="0" shapeId="0" xr:uid="{79F6B7D4-E255-4846-A1BA-4196DB79A50E}">
      <text>
        <r>
          <rPr>
            <sz val="9"/>
            <color indexed="81"/>
            <rFont val="宋体"/>
            <family val="3"/>
            <charset val="134"/>
          </rPr>
          <t>Detail row 277: !ERROR #N/A</t>
        </r>
      </text>
    </comment>
    <comment ref="AM50" authorId="0" shapeId="0" xr:uid="{6848AD65-6DC2-4AD1-A699-68080D2986D4}">
      <text>
        <r>
          <rPr>
            <sz val="9"/>
            <color indexed="81"/>
            <rFont val="宋体"/>
            <family val="3"/>
            <charset val="134"/>
          </rPr>
          <t>Detail row 279: !ERROR #N/A</t>
        </r>
      </text>
    </comment>
    <comment ref="AM52" authorId="0" shapeId="0" xr:uid="{EBDC35C7-DF79-4F9D-958C-6F950EC42948}">
      <text>
        <r>
          <rPr>
            <sz val="9"/>
            <color indexed="81"/>
            <rFont val="宋体"/>
            <family val="3"/>
            <charset val="134"/>
          </rPr>
          <t>Detail row 278: !ERROR #N/A</t>
        </r>
      </text>
    </comment>
    <comment ref="AM53" authorId="0" shapeId="0" xr:uid="{B776B8BA-6C51-4D8E-83D6-0A3929B738E6}">
      <text>
        <r>
          <rPr>
            <sz val="9"/>
            <color indexed="81"/>
            <rFont val="宋体"/>
            <family val="3"/>
            <charset val="134"/>
          </rPr>
          <t>Detail row 280: !ERROR #N/A</t>
        </r>
      </text>
    </comment>
    <comment ref="AM55" authorId="0" shapeId="0" xr:uid="{F718745A-A8A4-4AD8-B28E-B1FFECB529DA}">
      <text>
        <r>
          <rPr>
            <sz val="9"/>
            <color indexed="81"/>
            <rFont val="宋体"/>
            <family val="3"/>
            <charset val="134"/>
          </rPr>
          <t>Detail row 281: !ERROR #N/A</t>
        </r>
      </text>
    </comment>
    <comment ref="AM57" authorId="0" shapeId="0" xr:uid="{3999AE6E-209D-425F-81B0-4187B342B050}">
      <text>
        <r>
          <rPr>
            <sz val="9"/>
            <color indexed="81"/>
            <rFont val="宋体"/>
            <family val="3"/>
            <charset val="134"/>
          </rPr>
          <t>Detail row 275: !ERROR #N/A</t>
        </r>
      </text>
    </comment>
    <comment ref="AM59" authorId="0" shapeId="0" xr:uid="{52B96C2C-81CC-4C5F-BD04-DA0AFFDE098A}">
      <text>
        <r>
          <rPr>
            <sz val="9"/>
            <color indexed="81"/>
            <rFont val="宋体"/>
            <family val="3"/>
            <charset val="134"/>
          </rPr>
          <t>Detail row 283: !ERROR #N/A</t>
        </r>
      </text>
    </comment>
    <comment ref="AM61" authorId="0" shapeId="0" xr:uid="{3251BCD7-9793-484F-979C-F6E52A353ADF}">
      <text>
        <r>
          <rPr>
            <sz val="9"/>
            <color indexed="81"/>
            <rFont val="宋体"/>
            <family val="3"/>
            <charset val="134"/>
          </rPr>
          <t>Detail row 308: !ERROR #N/A</t>
        </r>
      </text>
    </comment>
    <comment ref="AM62" authorId="0" shapeId="0" xr:uid="{E5357795-73F6-4FE4-BFF3-F1ECDF05F13E}">
      <text>
        <r>
          <rPr>
            <sz val="9"/>
            <color indexed="81"/>
            <rFont val="宋体"/>
            <family val="3"/>
            <charset val="134"/>
          </rPr>
          <t>Detail row 309: !ERROR #N/A</t>
        </r>
      </text>
    </comment>
    <comment ref="AM64" authorId="0" shapeId="0" xr:uid="{ECBABAD1-D5EA-417B-899D-77031AFC1F9C}">
      <text>
        <r>
          <rPr>
            <sz val="9"/>
            <color indexed="81"/>
            <rFont val="宋体"/>
            <family val="3"/>
            <charset val="134"/>
          </rPr>
          <t>Detail row 226: !ERROR #N/A</t>
        </r>
      </text>
    </comment>
    <comment ref="AM65" authorId="0" shapeId="0" xr:uid="{25B30F0E-C87F-42EE-A6B4-A60154C0DC26}">
      <text>
        <r>
          <rPr>
            <sz val="9"/>
            <color indexed="81"/>
            <rFont val="宋体"/>
            <family val="3"/>
            <charset val="134"/>
          </rPr>
          <t>Detail row 237: !ERROR #N/A</t>
        </r>
      </text>
    </comment>
    <comment ref="AM66" authorId="0" shapeId="0" xr:uid="{29A0AD42-74BC-438B-9823-B636EED75AFC}">
      <text>
        <r>
          <rPr>
            <sz val="9"/>
            <color indexed="81"/>
            <rFont val="宋体"/>
            <family val="3"/>
            <charset val="134"/>
          </rPr>
          <t>Detail row 241: !ERROR #N/A</t>
        </r>
      </text>
    </comment>
    <comment ref="AM67" authorId="0" shapeId="0" xr:uid="{90EFD2A9-655D-4C65-BFDE-D7CAC451B47D}">
      <text>
        <r>
          <rPr>
            <sz val="9"/>
            <color indexed="81"/>
            <rFont val="宋体"/>
            <family val="3"/>
            <charset val="134"/>
          </rPr>
          <t>Detail row 247: !ERROR #N/A</t>
        </r>
      </text>
    </comment>
    <comment ref="AM68" authorId="0" shapeId="0" xr:uid="{3B6DFB6C-9A96-484F-A80C-65BAFD6D860B}">
      <text>
        <r>
          <rPr>
            <sz val="9"/>
            <color indexed="81"/>
            <rFont val="宋体"/>
            <family val="3"/>
            <charset val="134"/>
          </rPr>
          <t>Detail row 254: !ERROR #N/A</t>
        </r>
      </text>
    </comment>
    <comment ref="AM69" authorId="0" shapeId="0" xr:uid="{E7404E7C-9D84-4333-8811-BBE538FF60A7}">
      <text>
        <r>
          <rPr>
            <sz val="9"/>
            <color indexed="81"/>
            <rFont val="宋体"/>
            <family val="3"/>
            <charset val="134"/>
          </rPr>
          <t>Detail row 255: !ERROR #N/A</t>
        </r>
      </text>
    </comment>
    <comment ref="AM71" authorId="0" shapeId="0" xr:uid="{AE4ABA7F-75E9-4623-9271-2DCC4529DFDF}">
      <text>
        <r>
          <rPr>
            <sz val="9"/>
            <color indexed="81"/>
            <rFont val="宋体"/>
            <family val="3"/>
            <charset val="134"/>
          </rPr>
          <t>Detail row 285: !ERROR #N/A</t>
        </r>
      </text>
    </comment>
    <comment ref="AM72" authorId="0" shapeId="0" xr:uid="{C571A60A-1309-4B6E-909B-96F493BFE61A}">
      <text>
        <r>
          <rPr>
            <sz val="9"/>
            <color indexed="81"/>
            <rFont val="宋体"/>
            <family val="3"/>
            <charset val="134"/>
          </rPr>
          <t>Detail row 286: !ERROR #N/A</t>
        </r>
      </text>
    </comment>
    <comment ref="AM73" authorId="0" shapeId="0" xr:uid="{925B5A06-0DE1-402E-8553-5BBC91A91883}">
      <text>
        <r>
          <rPr>
            <sz val="9"/>
            <color indexed="81"/>
            <rFont val="宋体"/>
            <family val="3"/>
            <charset val="134"/>
          </rPr>
          <t>Detail row 287: !ERROR #N/A</t>
        </r>
      </text>
    </comment>
    <comment ref="AM74" authorId="0" shapeId="0" xr:uid="{7D33E3D2-F3FB-4CC4-B5ED-B8C6A10B2396}">
      <text>
        <r>
          <rPr>
            <sz val="9"/>
            <color indexed="81"/>
            <rFont val="宋体"/>
            <family val="3"/>
            <charset val="134"/>
          </rPr>
          <t>Detail row 288: !ERROR #N/A</t>
        </r>
      </text>
    </comment>
    <comment ref="AM75" authorId="0" shapeId="0" xr:uid="{EBCADBE0-81B8-4E81-B760-B054AF80F842}">
      <text>
        <r>
          <rPr>
            <sz val="9"/>
            <color indexed="81"/>
            <rFont val="宋体"/>
            <family val="3"/>
            <charset val="134"/>
          </rPr>
          <t>Detail row 289: !ERROR #N/A</t>
        </r>
      </text>
    </comment>
    <comment ref="AM76" authorId="0" shapeId="0" xr:uid="{345D9561-ED8F-48CF-81EE-372E31CEBE15}">
      <text>
        <r>
          <rPr>
            <sz val="9"/>
            <color indexed="81"/>
            <rFont val="宋体"/>
            <family val="3"/>
            <charset val="134"/>
          </rPr>
          <t>Detail row 290: !ERROR #N/A</t>
        </r>
      </text>
    </comment>
    <comment ref="AM106" authorId="0" shapeId="0" xr:uid="{213BA567-C5A9-44B1-871E-14DF49632DF4}">
      <text>
        <r>
          <rPr>
            <sz val="9"/>
            <color indexed="81"/>
            <rFont val="宋体"/>
            <family val="3"/>
            <charset val="134"/>
          </rPr>
          <t>Detail row 270: !ERROR #N/A</t>
        </r>
      </text>
    </comment>
    <comment ref="AM107" authorId="0" shapeId="0" xr:uid="{6524A1E9-75B6-4EF7-9085-27B7E6074D13}">
      <text>
        <r>
          <rPr>
            <sz val="9"/>
            <color indexed="81"/>
            <rFont val="宋体"/>
            <family val="3"/>
            <charset val="134"/>
          </rPr>
          <t>Detail row 272: !ERROR #N/A</t>
        </r>
      </text>
    </comment>
    <comment ref="AM108" authorId="0" shapeId="0" xr:uid="{C6ABDCF4-E1C8-4DA6-B698-8C2B8E20546D}">
      <text>
        <r>
          <rPr>
            <sz val="9"/>
            <color indexed="81"/>
            <rFont val="宋体"/>
            <family val="3"/>
            <charset val="134"/>
          </rPr>
          <t>Detail row 269: !ERROR #N/A</t>
        </r>
      </text>
    </comment>
    <comment ref="AM109" authorId="0" shapeId="0" xr:uid="{48E0DC6D-4721-4D05-80CB-FC92A1480E6E}">
      <text>
        <r>
          <rPr>
            <sz val="9"/>
            <color indexed="81"/>
            <rFont val="宋体"/>
            <family val="3"/>
            <charset val="134"/>
          </rPr>
          <t>Detail row 271: !ERROR #N/A</t>
        </r>
      </text>
    </comment>
    <comment ref="AM110" authorId="0" shapeId="0" xr:uid="{FB6D6B0D-50E4-4381-9112-894EC3C7B16D}">
      <text>
        <r>
          <rPr>
            <sz val="9"/>
            <color indexed="81"/>
            <rFont val="宋体"/>
            <family val="3"/>
            <charset val="134"/>
          </rPr>
          <t>Detail row 256: !ERROR #N/A</t>
        </r>
      </text>
    </comment>
    <comment ref="AM111" authorId="0" shapeId="0" xr:uid="{B6DDFC1D-2141-4518-8237-B30280A86CC8}">
      <text>
        <r>
          <rPr>
            <sz val="9"/>
            <color indexed="81"/>
            <rFont val="宋体"/>
            <family val="3"/>
            <charset val="134"/>
          </rPr>
          <t>Detail row 258: !ERROR #N/A</t>
        </r>
      </text>
    </comment>
    <comment ref="AM112" authorId="0" shapeId="0" xr:uid="{AB3C6E2D-5D9E-4AF8-A9F1-152F0F8C38EA}">
      <text>
        <r>
          <rPr>
            <sz val="9"/>
            <color indexed="81"/>
            <rFont val="宋体"/>
            <family val="3"/>
            <charset val="134"/>
          </rPr>
          <t>Detail row 259: !ERROR #N/A</t>
        </r>
      </text>
    </comment>
    <comment ref="AM113" authorId="0" shapeId="0" xr:uid="{5187B0A6-B75B-49DA-AD9C-5523E6B37BE1}">
      <text>
        <r>
          <rPr>
            <sz val="9"/>
            <color indexed="81"/>
            <rFont val="宋体"/>
            <family val="3"/>
            <charset val="134"/>
          </rPr>
          <t>Detail row 263: !ERROR #N/A</t>
        </r>
      </text>
    </comment>
    <comment ref="AM114" authorId="0" shapeId="0" xr:uid="{CFCDBB4A-42FA-4737-A7AB-B9C977076C74}">
      <text>
        <r>
          <rPr>
            <sz val="9"/>
            <color indexed="81"/>
            <rFont val="宋体"/>
            <family val="3"/>
            <charset val="134"/>
          </rPr>
          <t>Detail row 264: !ERROR #N/A</t>
        </r>
      </text>
    </comment>
    <comment ref="AM115" authorId="0" shapeId="0" xr:uid="{B31B0F5D-76B4-4F69-9203-3A46D987FDFA}">
      <text>
        <r>
          <rPr>
            <sz val="9"/>
            <color indexed="81"/>
            <rFont val="宋体"/>
            <family val="3"/>
            <charset val="134"/>
          </rPr>
          <t>Detail row 265: !ERROR #N/A</t>
        </r>
      </text>
    </comment>
    <comment ref="AM116" authorId="0" shapeId="0" xr:uid="{6D9951C4-D0A6-4D5D-8437-C9D1F17EF968}">
      <text>
        <r>
          <rPr>
            <sz val="9"/>
            <color indexed="81"/>
            <rFont val="宋体"/>
            <family val="3"/>
            <charset val="134"/>
          </rPr>
          <t>Detail row 266: !ERROR #N/A</t>
        </r>
      </text>
    </comment>
    <comment ref="AM117" authorId="0" shapeId="0" xr:uid="{1377A131-193F-4E62-9F3C-E124B9F7C41C}">
      <text>
        <r>
          <rPr>
            <sz val="9"/>
            <color indexed="81"/>
            <rFont val="宋体"/>
            <family val="3"/>
            <charset val="134"/>
          </rPr>
          <t>Detail row 267: !ERROR #N/A</t>
        </r>
      </text>
    </comment>
    <comment ref="AM118" authorId="0" shapeId="0" xr:uid="{0AC02B95-7F2C-4B83-A651-ED51035A9993}">
      <text>
        <r>
          <rPr>
            <sz val="9"/>
            <color indexed="81"/>
            <rFont val="宋体"/>
            <family val="3"/>
            <charset val="134"/>
          </rPr>
          <t>Detail row 273: !ERROR #N/A</t>
        </r>
      </text>
    </comment>
    <comment ref="AM120" authorId="0" shapeId="0" xr:uid="{E405392A-D353-4E64-868F-D72EC952B446}">
      <text>
        <r>
          <rPr>
            <sz val="9"/>
            <color indexed="81"/>
            <rFont val="宋体"/>
            <family val="3"/>
            <charset val="134"/>
          </rPr>
          <t>Detail row 260: !ERROR #N/A</t>
        </r>
      </text>
    </comment>
    <comment ref="AM122" authorId="0" shapeId="0" xr:uid="{86597628-9F1C-4561-A12B-843DF7EF457B}">
      <text>
        <r>
          <rPr>
            <sz val="9"/>
            <color indexed="81"/>
            <rFont val="宋体"/>
            <family val="3"/>
            <charset val="134"/>
          </rPr>
          <t>Detail row 262: !ERROR #N/A</t>
        </r>
      </text>
    </comment>
    <comment ref="AM124" authorId="0" shapeId="0" xr:uid="{81FD287C-813F-4499-8112-FFE023CA2CB7}">
      <text>
        <r>
          <rPr>
            <sz val="9"/>
            <color indexed="81"/>
            <rFont val="宋体"/>
            <family val="3"/>
            <charset val="134"/>
          </rPr>
          <t>Detail row 261: !ERROR #N/A</t>
        </r>
      </text>
    </comment>
    <comment ref="AM126" authorId="0" shapeId="0" xr:uid="{6888C989-2296-475B-BE96-4D69AB08792D}">
      <text>
        <r>
          <rPr>
            <sz val="9"/>
            <color indexed="81"/>
            <rFont val="宋体"/>
            <family val="3"/>
            <charset val="134"/>
          </rPr>
          <t>Detail row 257: !ERROR #N/A</t>
        </r>
      </text>
    </comment>
    <comment ref="AM128" authorId="0" shapeId="0" xr:uid="{972EAF25-FCF7-48EE-9C2F-67D7E227E608}">
      <text>
        <r>
          <rPr>
            <sz val="9"/>
            <color indexed="81"/>
            <rFont val="宋体"/>
            <family val="3"/>
            <charset val="134"/>
          </rPr>
          <t>Detail row 306: !ERROR #N/A</t>
        </r>
      </text>
    </comment>
    <comment ref="AM129" authorId="0" shapeId="0" xr:uid="{B9B6CF58-C83C-46D3-95B0-14E31AE3520F}">
      <text>
        <r>
          <rPr>
            <sz val="9"/>
            <color indexed="81"/>
            <rFont val="宋体"/>
            <family val="3"/>
            <charset val="134"/>
          </rPr>
          <t>Detail row 307: !ERROR #N/A</t>
        </r>
      </text>
    </comment>
    <comment ref="AM136" authorId="0" shapeId="0" xr:uid="{26E5F0BB-BD46-47CB-9556-FB49D48193F4}">
      <text>
        <r>
          <rPr>
            <sz val="9"/>
            <color indexed="81"/>
            <rFont val="宋体"/>
            <family val="3"/>
            <charset val="134"/>
          </rPr>
          <t>Detail row 291: !ERROR #N/A</t>
        </r>
      </text>
    </comment>
    <comment ref="AM137" authorId="0" shapeId="0" xr:uid="{31AA064B-3308-4F3B-86E1-60CAE54C5CC1}">
      <text>
        <r>
          <rPr>
            <sz val="9"/>
            <color indexed="81"/>
            <rFont val="宋体"/>
            <family val="3"/>
            <charset val="134"/>
          </rPr>
          <t>Detail row 293: !ERROR #N/A</t>
        </r>
      </text>
    </comment>
    <comment ref="AM138" authorId="0" shapeId="0" xr:uid="{811AEE36-7CD0-49AD-AD40-275C9C4315F9}">
      <text>
        <r>
          <rPr>
            <sz val="9"/>
            <color indexed="81"/>
            <rFont val="宋体"/>
            <family val="3"/>
            <charset val="134"/>
          </rPr>
          <t>Detail row 292: !ERROR #N/A</t>
        </r>
      </text>
    </comment>
    <comment ref="AM149" authorId="0" shapeId="0" xr:uid="{8AF76927-2D3D-4F86-A548-DA0F688CAA83}">
      <text>
        <r>
          <rPr>
            <sz val="9"/>
            <color indexed="81"/>
            <rFont val="宋体"/>
            <family val="3"/>
            <charset val="134"/>
          </rPr>
          <t>Detail row 284: !ERROR #N/A</t>
        </r>
      </text>
    </comment>
    <comment ref="AM150" authorId="0" shapeId="0" xr:uid="{E464626B-72B4-475B-AE05-1DB6CFB29FB2}">
      <text>
        <r>
          <rPr>
            <sz val="9"/>
            <color indexed="81"/>
            <rFont val="宋体"/>
            <family val="3"/>
            <charset val="134"/>
          </rPr>
          <t>Detail row 294: !ERROR #N/A</t>
        </r>
      </text>
    </comment>
    <comment ref="AM151" authorId="0" shapeId="0" xr:uid="{1CFEB47A-C96B-4FF7-8180-30FFF15383FF}">
      <text>
        <r>
          <rPr>
            <sz val="9"/>
            <color indexed="81"/>
            <rFont val="宋体"/>
            <family val="3"/>
            <charset val="134"/>
          </rPr>
          <t>Detail row 295: !ERROR #N/A</t>
        </r>
      </text>
    </comment>
    <comment ref="AM152" authorId="0" shapeId="0" xr:uid="{ECF20A55-0EE6-406C-A646-DC99B6E1C3BE}">
      <text>
        <r>
          <rPr>
            <sz val="9"/>
            <color indexed="81"/>
            <rFont val="宋体"/>
            <family val="3"/>
            <charset val="134"/>
          </rPr>
          <t>Detail row 296: !ERROR #N/A</t>
        </r>
      </text>
    </comment>
    <comment ref="AM153" authorId="0" shapeId="0" xr:uid="{DECD8D74-8F0F-4466-AD12-A99F049E73C4}">
      <text>
        <r>
          <rPr>
            <sz val="9"/>
            <color indexed="81"/>
            <rFont val="宋体"/>
            <family val="3"/>
            <charset val="134"/>
          </rPr>
          <t>Detail row 297: !ERROR #N/A</t>
        </r>
      </text>
    </comment>
    <comment ref="AM154" authorId="0" shapeId="0" xr:uid="{9DC4C705-A2A8-4D4D-8211-446762EC69A1}">
      <text>
        <r>
          <rPr>
            <sz val="9"/>
            <color indexed="81"/>
            <rFont val="宋体"/>
            <family val="3"/>
            <charset val="134"/>
          </rPr>
          <t>Detail row 298: !ERROR #N/A</t>
        </r>
      </text>
    </comment>
    <comment ref="AM155" authorId="0" shapeId="0" xr:uid="{1F252F27-E322-4086-94EF-FA3CE3A016E1}">
      <text>
        <r>
          <rPr>
            <sz val="9"/>
            <color indexed="81"/>
            <rFont val="宋体"/>
            <family val="3"/>
            <charset val="134"/>
          </rPr>
          <t>Detail row 299: !ERROR #N/A</t>
        </r>
      </text>
    </comment>
    <comment ref="AM156" authorId="0" shapeId="0" xr:uid="{8BF7D798-BFEB-4F74-9257-309C5EA0AA34}">
      <text>
        <r>
          <rPr>
            <sz val="9"/>
            <color indexed="81"/>
            <rFont val="宋体"/>
            <family val="3"/>
            <charset val="134"/>
          </rPr>
          <t>Detail row 300: !ERROR #N/A</t>
        </r>
      </text>
    </comment>
    <comment ref="AM157" authorId="0" shapeId="0" xr:uid="{A708E881-4662-4BAD-8AA0-2F1EE4040728}">
      <text>
        <r>
          <rPr>
            <sz val="9"/>
            <color indexed="81"/>
            <rFont val="宋体"/>
            <family val="3"/>
            <charset val="134"/>
          </rPr>
          <t>Detail row 301: !ERROR #N/A</t>
        </r>
      </text>
    </comment>
    <comment ref="AM158" authorId="0" shapeId="0" xr:uid="{ED140484-B638-4DD5-8E06-2DBD3405EAC1}">
      <text>
        <r>
          <rPr>
            <sz val="9"/>
            <color indexed="81"/>
            <rFont val="宋体"/>
            <family val="3"/>
            <charset val="134"/>
          </rPr>
          <t>Detail row 302: !ERROR #N/A</t>
        </r>
      </text>
    </comment>
    <comment ref="AM159" authorId="0" shapeId="0" xr:uid="{A030BE46-8F07-4951-B57F-1C2E63C00463}">
      <text>
        <r>
          <rPr>
            <sz val="9"/>
            <color indexed="81"/>
            <rFont val="宋体"/>
            <family val="3"/>
            <charset val="134"/>
          </rPr>
          <t>Detail row 303: !ERROR #N/A</t>
        </r>
      </text>
    </comment>
    <comment ref="AM160" authorId="0" shapeId="0" xr:uid="{38E825EA-9EE1-44A5-A0E9-05455EE92C82}">
      <text>
        <r>
          <rPr>
            <sz val="9"/>
            <color indexed="81"/>
            <rFont val="宋体"/>
            <family val="3"/>
            <charset val="134"/>
          </rPr>
          <t>Detail row 304: !ERROR #N/A</t>
        </r>
      </text>
    </comment>
    <comment ref="AM161" authorId="0" shapeId="0" xr:uid="{E1DB909C-FBFB-4801-94F5-BE8A24B6AAF3}">
      <text>
        <r>
          <rPr>
            <sz val="9"/>
            <color indexed="81"/>
            <rFont val="宋体"/>
            <family val="3"/>
            <charset val="134"/>
          </rPr>
          <t>Detail row 305: !ERROR #N/A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Zhu, Jun</author>
    <author>Liu, Jingqian</author>
  </authors>
  <commentList>
    <comment ref="F2" authorId="0" shapeId="0" xr:uid="{68D99312-A0F1-400B-A8DA-410EEA55E211}">
      <text>
        <r>
          <rPr>
            <b/>
            <sz val="9"/>
            <color indexed="81"/>
            <rFont val="宋体"/>
            <family val="3"/>
            <charset val="134"/>
          </rPr>
          <t>Zhu, Jun:</t>
        </r>
        <r>
          <rPr>
            <sz val="9"/>
            <color indexed="81"/>
            <rFont val="宋体"/>
            <family val="3"/>
            <charset val="134"/>
          </rPr>
          <t xml:space="preserve">
Area 需要修改成PLant</t>
        </r>
      </text>
    </comment>
    <comment ref="G2" authorId="0" shapeId="0" xr:uid="{7F620E91-CCA5-4B2C-9CFF-E66D5F04F519}">
      <text>
        <r>
          <rPr>
            <b/>
            <sz val="9"/>
            <color indexed="81"/>
            <rFont val="宋体"/>
            <family val="3"/>
            <charset val="134"/>
          </rPr>
          <t>Zhu, Jun:</t>
        </r>
        <r>
          <rPr>
            <sz val="9"/>
            <color indexed="81"/>
            <rFont val="宋体"/>
            <family val="3"/>
            <charset val="134"/>
          </rPr>
          <t xml:space="preserve">
Main Components 需要修改成Task Name</t>
        </r>
      </text>
    </comment>
    <comment ref="J222" authorId="1" shapeId="0" xr:uid="{CC322E5F-583B-4464-9688-79C5F5A5C04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22" authorId="1" shapeId="0" xr:uid="{C370517F-4567-43AA-A74E-02F770D4A6C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23" authorId="1" shapeId="0" xr:uid="{6E2F9848-9C06-46AC-AF44-583C814534A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24" authorId="1" shapeId="0" xr:uid="{BE0E9D5E-EEC4-4CC9-8CB1-800C51936013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25" authorId="1" shapeId="0" xr:uid="{F027DB98-9FF2-4AEA-B75B-37FCC5AA552B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26" authorId="1" shapeId="0" xr:uid="{CE638625-0FE6-408C-85D1-B122438ADACF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27" authorId="1" shapeId="0" xr:uid="{5064AF45-9285-4FA8-A11D-148E59540E48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28" authorId="1" shapeId="0" xr:uid="{514E1BA7-4EA1-4859-8893-B19FE00EB788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28" authorId="1" shapeId="0" xr:uid="{EA9A3B52-3A3A-422E-9802-4BA6BEC9C6A6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29" authorId="1" shapeId="0" xr:uid="{4D3ED0B0-45E0-4CF2-A6B1-22F9362C4163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29" authorId="1" shapeId="0" xr:uid="{98819D4C-81F8-446E-9F74-1E09780454EE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0" authorId="1" shapeId="0" xr:uid="{0570C382-CB5E-470A-B52E-FB0B10121BD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0" authorId="1" shapeId="0" xr:uid="{E4D54E25-2B4D-40C5-99E8-F9E1057D90F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1" authorId="1" shapeId="0" xr:uid="{F78B7932-37E0-434D-92B3-FE232947AB86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1" authorId="1" shapeId="0" xr:uid="{BB4097D4-1D41-488B-8BA8-D1134559DC8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2" authorId="1" shapeId="0" xr:uid="{F78DCC60-9BD7-47A7-AC5A-785CDC4CFE14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2" authorId="1" shapeId="0" xr:uid="{5B9D2B0D-4AE6-4946-9919-3AE7CBA971D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3" authorId="1" shapeId="0" xr:uid="{5CC0EEEB-6E46-4F5B-BFC9-E0D06A57223F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3" authorId="1" shapeId="0" xr:uid="{C8265119-148A-4E92-A540-E0A5B4134967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4" authorId="1" shapeId="0" xr:uid="{208B403F-B5E7-4E90-808D-F28E4336701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4" authorId="1" shapeId="0" xr:uid="{59FB09BE-A1C5-4AFB-B0E4-96322BB56B5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5" authorId="1" shapeId="0" xr:uid="{5F07F931-B555-4D2E-9381-FC45CEE3DE84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5" authorId="1" shapeId="0" xr:uid="{CC0F2AB4-6FF3-4E24-B4E6-804063F0B24D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6" authorId="1" shapeId="0" xr:uid="{371AF532-8ADD-4807-B44B-A3DD0BEE146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6" authorId="1" shapeId="0" xr:uid="{57B5C6EA-E882-4D6B-ACDC-9A3EBEE9C2C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7" authorId="1" shapeId="0" xr:uid="{9C01606D-5630-40BE-A69B-41A82DB0EBB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7" authorId="1" shapeId="0" xr:uid="{C4B855CF-AC90-490F-83D0-287806A3D42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8" authorId="1" shapeId="0" xr:uid="{8A837649-3146-49D7-A284-E701DF8C034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8" authorId="1" shapeId="0" xr:uid="{5DDC6C2A-7A13-48EF-84A8-E35A74AA8BD1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39" authorId="1" shapeId="0" xr:uid="{D67E6DEA-4383-4F18-B897-744F8BB9FB18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39" authorId="1" shapeId="0" xr:uid="{F8DCE1C0-F925-4068-BD5C-8D435D904A54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0" authorId="1" shapeId="0" xr:uid="{7FEA2691-C66C-4E53-98EF-584C53E39CB7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0" authorId="1" shapeId="0" xr:uid="{3B70189F-BFFC-4698-B3CA-398E198DEFE1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1" authorId="1" shapeId="0" xr:uid="{FD580842-B746-4D98-B4F2-BB494EF8BA8D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1" authorId="1" shapeId="0" xr:uid="{C2FCB3BA-DF8C-40DE-85BD-35316439171B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2" authorId="1" shapeId="0" xr:uid="{C9C4305C-5BCB-4030-A5A1-33BD6E72165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2" authorId="1" shapeId="0" xr:uid="{A7699608-2997-449F-89D6-88A0B12AE8ED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3" authorId="1" shapeId="0" xr:uid="{529BF3DC-E77D-4EA8-B32A-2A5540DD3AF2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3" authorId="1" shapeId="0" xr:uid="{CD28FDAC-C878-495C-A175-32054C06296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4" authorId="1" shapeId="0" xr:uid="{55606906-A9CB-49D7-81F4-8A907CFF638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4" authorId="1" shapeId="0" xr:uid="{28C9A62F-05A8-4BAE-9D31-C1BEFD06036F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5" authorId="1" shapeId="0" xr:uid="{BFA200C4-BAD6-498A-A935-5019891BDFEB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5" authorId="1" shapeId="0" xr:uid="{ED2D076D-77B8-4205-AC8B-CE5224D77C37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6" authorId="1" shapeId="0" xr:uid="{A5044B81-4799-4E37-B3BC-E34727C74703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6" authorId="1" shapeId="0" xr:uid="{62F92797-7F67-4382-A8EB-4B245434F03E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47" authorId="1" shapeId="0" xr:uid="{3F1265FE-ADC3-4500-A834-278D2B1D385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8" authorId="1" shapeId="0" xr:uid="{76BDD42B-1F5E-40BC-AC8C-EEBBE3503E82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8" authorId="1" shapeId="0" xr:uid="{24D0CD26-AF47-46EF-A9A9-F0C4FDB3D267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49" authorId="1" shapeId="0" xr:uid="{6D4A1694-465B-4EA5-85A4-D8B7C748FD7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49" authorId="1" shapeId="0" xr:uid="{9F30665C-2B42-42EF-AD69-15D687A916EE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0" authorId="1" shapeId="0" xr:uid="{18B240A9-A424-44F1-95F7-1332820DECF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0" authorId="1" shapeId="0" xr:uid="{D39EC88A-8D67-445A-9693-B7F92D7C85E1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1" authorId="1" shapeId="0" xr:uid="{A13CCCD6-80DC-47BC-8B04-8EE3583BEA33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1" authorId="1" shapeId="0" xr:uid="{5044489F-E437-4B62-846A-4BB25A66FA09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2" authorId="1" shapeId="0" xr:uid="{63986B72-7F7A-4C13-8D5E-BC86655543A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2" authorId="1" shapeId="0" xr:uid="{F8F76622-3CA3-45D8-8E78-EDB6D9C6CE74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3" authorId="1" shapeId="0" xr:uid="{FC8B5766-9CA1-4D1E-980F-9AD56228461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3" authorId="1" shapeId="0" xr:uid="{C6957AF3-F656-435D-912D-AAEB1280A2F1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54" authorId="1" shapeId="0" xr:uid="{F1D4883B-A494-43F9-8594-9CF74AAADE6B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5" authorId="1" shapeId="0" xr:uid="{B39B9424-A7DE-4923-9F8E-EA89C6DC39B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5" authorId="1" shapeId="0" xr:uid="{F798DED1-F78D-43C0-9417-F9E0B728F4E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6" authorId="1" shapeId="0" xr:uid="{E8CA8418-F0B7-435B-9BFC-5A72B8D4A15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6" authorId="1" shapeId="0" xr:uid="{382ECA15-68C7-4EFA-AD10-62FC3E08F47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7" authorId="1" shapeId="0" xr:uid="{D131BBBE-EE72-4AF6-ADA0-6A17E3D405E6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7" authorId="1" shapeId="0" xr:uid="{8DCE4624-AE47-4942-ADE8-55564AE12724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8" authorId="1" shapeId="0" xr:uid="{C6053DBE-FAC0-4C85-9EC8-273A8DD078AA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8" authorId="1" shapeId="0" xr:uid="{D7DBD71E-E2A8-4888-AD71-A003E56B9DFA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59" authorId="1" shapeId="0" xr:uid="{FC8FA68D-C090-4232-83F1-45998131058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59" authorId="1" shapeId="0" xr:uid="{660CDCAE-F8F8-4E50-A620-E4EAE15E397A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0" authorId="1" shapeId="0" xr:uid="{BA93D066-1C02-4159-B756-63532F93A289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0" authorId="1" shapeId="0" xr:uid="{42E37C50-EDD1-43FB-8A38-CED48347A1E9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1" authorId="1" shapeId="0" xr:uid="{9EBCD104-4089-4CED-99DF-7259509D1FA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1" authorId="1" shapeId="0" xr:uid="{C186AE11-97B3-4690-8550-3BECC6279309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2" authorId="1" shapeId="0" xr:uid="{42FF8FAE-F981-42F0-8470-8F4E1EECB199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2" authorId="1" shapeId="0" xr:uid="{163DD635-3206-4563-A685-00C1F295FD1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3" authorId="1" shapeId="0" xr:uid="{532CFB32-2B0C-4246-8B08-AA84997E6A0F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3" authorId="1" shapeId="0" xr:uid="{E9E4AA6E-8ED9-40CC-A127-9C7B154F2253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4" authorId="1" shapeId="0" xr:uid="{5E550F81-665C-43AD-9399-AF86A4CDF8E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4" authorId="1" shapeId="0" xr:uid="{4084C62E-408B-4EDB-B3CB-EA33E4C9AFE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5" authorId="1" shapeId="0" xr:uid="{31F69B2D-A54C-43B9-96D7-77627D580B13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5" authorId="1" shapeId="0" xr:uid="{B5955C15-7EDB-46F0-B683-70C0FEB59757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6" authorId="1" shapeId="0" xr:uid="{3FDE401E-2242-4F8F-8441-CADBACD94986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6" authorId="1" shapeId="0" xr:uid="{652975C2-DBB7-4342-85C4-D5FA14CABC6B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7" authorId="1" shapeId="0" xr:uid="{7A10B4E8-36D9-496D-A070-D23D6BF875C9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7" authorId="1" shapeId="0" xr:uid="{F9338D75-37FE-4F78-9792-9413D327A0E8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8" authorId="1" shapeId="0" xr:uid="{73C96830-88AA-4155-A716-307C74ACDA5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8" authorId="1" shapeId="0" xr:uid="{2585DD49-C5A8-45BD-87C1-BC2096829763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69" authorId="1" shapeId="0" xr:uid="{E4532A49-559F-4B5B-B768-70C27054551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69" authorId="1" shapeId="0" xr:uid="{3A584395-0E9C-4D53-9995-0523A766AD8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0" authorId="1" shapeId="0" xr:uid="{624F00A8-3D85-4E3D-9B24-5251BD0D1179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0" authorId="1" shapeId="0" xr:uid="{B4731BFE-B124-4247-91F5-F9D85447F28D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1" authorId="1" shapeId="0" xr:uid="{4798DB66-2408-4F58-B3FC-840E87D81C4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1" authorId="1" shapeId="0" xr:uid="{2AC16742-5FE5-4754-A5CD-6EFF48FA7D57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2" authorId="1" shapeId="0" xr:uid="{F628FF5E-9EE0-47A9-A25B-4D468392DBEF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2" authorId="1" shapeId="0" xr:uid="{22480F75-9AA2-4CD1-8D65-96D97CB9611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3" authorId="1" shapeId="0" xr:uid="{42A0F4A6-B1F4-4936-81C8-7974468F03D4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3" authorId="1" shapeId="0" xr:uid="{B9B039F5-F2FD-4BB9-A0D2-9FF9AACB96C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4" authorId="1" shapeId="0" xr:uid="{56C7126A-B47F-49FD-9CD6-686786FA3037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4" authorId="1" shapeId="0" xr:uid="{4BC5EDF7-546B-4A6B-AA92-178E7E2CFA9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5" authorId="1" shapeId="0" xr:uid="{46CDA4E6-B3F6-4D91-8630-A0800301265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5" authorId="1" shapeId="0" xr:uid="{00C0D146-9A47-4AF2-A94D-5CD62F1FE2BE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6" authorId="1" shapeId="0" xr:uid="{A7D4F40F-6D81-4DD4-94CE-FAABECE5969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6" authorId="1" shapeId="0" xr:uid="{07D08FD4-45E7-48C9-BA64-0A658821FE2A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7" authorId="1" shapeId="0" xr:uid="{C4F30F72-B50E-49CA-995F-A246DE45841F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7" authorId="1" shapeId="0" xr:uid="{02FA18C3-892E-4D8F-97DA-290819792A18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8" authorId="1" shapeId="0" xr:uid="{91FEE288-3EA6-461E-98CD-110AD1129919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8" authorId="1" shapeId="0" xr:uid="{69410586-FBED-4390-BC38-8E2498B7816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79" authorId="1" shapeId="0" xr:uid="{8FAF2445-18AB-407E-AB96-580AD13B266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79" authorId="1" shapeId="0" xr:uid="{DB44B4FE-9C92-498A-89DD-9A027011123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0" authorId="1" shapeId="0" xr:uid="{6C9203AF-49E7-4A14-A772-9AB15BB4209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0" authorId="1" shapeId="0" xr:uid="{EAC96244-BBD9-4685-874F-1789512E2229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1" authorId="1" shapeId="0" xr:uid="{D3B91879-8966-4B64-97C6-DE76E18B485F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1" authorId="1" shapeId="0" xr:uid="{2B2BA4C6-8516-427C-8D66-A5AD1B77EE16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P282" authorId="1" shapeId="0" xr:uid="{FE45D46F-E0DC-44A9-8084-27D6F2C26F45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3" authorId="1" shapeId="0" xr:uid="{F2607B15-AFB3-4D34-97EB-7ECC2F2AFB01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3" authorId="1" shapeId="0" xr:uid="{C953DC38-9EC2-40EA-A528-5363C39FDFAF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4" authorId="1" shapeId="0" xr:uid="{161D0519-1949-4527-A7A0-303D39E82A77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4" authorId="1" shapeId="0" xr:uid="{B5D35BD6-F0ED-4475-93D0-A327A211E74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5" authorId="1" shapeId="0" xr:uid="{7CB702F1-36AC-4094-9AB7-F240AB90F672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5" authorId="1" shapeId="0" xr:uid="{3F51A7A3-3352-469D-AC48-F1623B226459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6" authorId="1" shapeId="0" xr:uid="{1BEC61B9-5F92-4A6A-80D4-0C54AF4A2E74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6" authorId="1" shapeId="0" xr:uid="{BADFB7B7-EF7A-4585-BBB2-5332BA6484FB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7" authorId="1" shapeId="0" xr:uid="{526AFE73-0850-4069-8A6E-10C95322E6A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7" authorId="1" shapeId="0" xr:uid="{D15553D8-DACA-4C74-942B-2090EC0A740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8" authorId="1" shapeId="0" xr:uid="{7D9563CF-EF0F-4888-BFD7-0578B8C104C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8" authorId="1" shapeId="0" xr:uid="{1F7422B5-C0EF-4799-B57B-87DC729B945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89" authorId="1" shapeId="0" xr:uid="{B340DE9E-C04C-479C-A9F9-F0DC74D7989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89" authorId="1" shapeId="0" xr:uid="{64A0E91E-21C1-4775-A929-05E1C42245D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0" authorId="1" shapeId="0" xr:uid="{621726B0-9AF3-412D-940A-8C00BFC17506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0" authorId="1" shapeId="0" xr:uid="{C9248C33-F967-46F7-BABC-A3C337E113F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1" authorId="1" shapeId="0" xr:uid="{8D54E0FC-CF83-4A58-BE05-78ED765BD2C5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1" authorId="1" shapeId="0" xr:uid="{3846F878-B0C5-4B4D-997B-E55E76B55371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2" authorId="1" shapeId="0" xr:uid="{D6592CE5-266E-444E-AF9F-F78015597F0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2" authorId="1" shapeId="0" xr:uid="{2996E80B-DCD6-4FD0-A960-759E93BEC5AF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3" authorId="1" shapeId="0" xr:uid="{41A21970-666F-4651-A904-090EAFB4D336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3" authorId="1" shapeId="0" xr:uid="{96C3CFD8-055E-4B49-AD9A-E0735EEB067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4" authorId="1" shapeId="0" xr:uid="{3B47AF81-F381-40D6-AAE6-2DEBD464A5C5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4" authorId="1" shapeId="0" xr:uid="{E0E0AC12-9708-41CB-8E02-FCEB374101C8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5" authorId="1" shapeId="0" xr:uid="{720DE5AB-C4F3-419D-9A15-D53CA87DF5C6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5" authorId="1" shapeId="0" xr:uid="{B7BE8D7A-AD45-4566-8225-FE5ECF8E0578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6" authorId="1" shapeId="0" xr:uid="{BE0C407F-A635-495A-98F9-987B0926F56D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6" authorId="1" shapeId="0" xr:uid="{4C918FCA-0B18-475B-BB91-F60F91EFBA38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7" authorId="1" shapeId="0" xr:uid="{60733FD2-3239-4FA2-B44F-23F5EFA3251E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7" authorId="1" shapeId="0" xr:uid="{6BD48850-923C-4BD2-9D77-DFA98F8D845A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8" authorId="1" shapeId="0" xr:uid="{386B6A0F-BA5A-4922-B581-54F402EEF344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8" authorId="1" shapeId="0" xr:uid="{DDEB9E29-1369-4000-951A-223F4D59085A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299" authorId="1" shapeId="0" xr:uid="{9CE60641-77D0-4408-9C3A-B3962B712F2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299" authorId="1" shapeId="0" xr:uid="{BFA93465-3719-4F94-ADEA-1D5CF2F77E96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0" authorId="1" shapeId="0" xr:uid="{ACC1FB28-6D73-4137-8FA4-310E8E540B03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0" authorId="1" shapeId="0" xr:uid="{0CDBCF54-77AC-45EF-BE5F-DBC1EEFD3FC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1" authorId="1" shapeId="0" xr:uid="{95C13EAA-9BF0-47AA-95F0-D826E6BEF407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1" authorId="1" shapeId="0" xr:uid="{B1A5FE54-2174-4FE4-AD79-FFB34494BF57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2" authorId="1" shapeId="0" xr:uid="{F535C338-7F74-440C-A3EA-83ED6DAE1C35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2" authorId="1" shapeId="0" xr:uid="{5BC9FD19-7A57-430D-B245-4CF4A74EE189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3" authorId="1" shapeId="0" xr:uid="{26F0DA78-68D9-4C6B-B9BD-F01E0BACB0FA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3" authorId="1" shapeId="0" xr:uid="{9E45FBAB-4CEF-4A82-8E63-362A8E6ADAD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4" authorId="1" shapeId="0" xr:uid="{6D5319BC-7760-42A6-A07F-021655FFC0E0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4" authorId="1" shapeId="0" xr:uid="{2395E3C4-F523-4940-928C-BD87A6BC26B0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5" authorId="1" shapeId="0" xr:uid="{F760680F-62BF-4EA2-9AB9-B6D6AEDB7A82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5" authorId="1" shapeId="0" xr:uid="{5CF0B6F4-A143-4DE8-B1B6-B6265C63BDD4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6" authorId="1" shapeId="0" xr:uid="{9D40B8A4-3AF5-4EA0-8F71-DA4A5D9CAF5F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6" authorId="1" shapeId="0" xr:uid="{A761C018-5B8A-415A-AE36-1E3D0E00435D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7" authorId="1" shapeId="0" xr:uid="{2DAA9181-B9F4-4E0C-9631-50E320E45B0D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7" authorId="1" shapeId="0" xr:uid="{E756CFED-8901-4318-9ABD-01A3424E5DA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8" authorId="1" shapeId="0" xr:uid="{B7DA1F8C-B1E6-4714-B013-E39AA54D78AC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8" authorId="1" shapeId="0" xr:uid="{7EAF0119-082C-48BC-9865-D3BA483793E2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  <comment ref="J309" authorId="1" shapeId="0" xr:uid="{37601F5C-A5C9-4F00-8EBE-8D0AC04D66B8}">
      <text>
        <r>
          <rPr>
            <sz val="9"/>
            <color indexed="81"/>
            <rFont val="宋体"/>
            <family val="3"/>
            <charset val="134"/>
          </rPr>
          <t>[V10-INSTALL]源快照中不存在对应的 Plant + Task Name，已保留原安装日期。
注意：红色标记单元格保留的原安装日期仍参与后续计算，请核实后更新；标记不代表已排除计算。[/V10-INSTALL]</t>
        </r>
      </text>
    </comment>
    <comment ref="P309" authorId="1" shapeId="0" xr:uid="{E268FD1E-FE6D-48D9-86B0-BBCD82847F8C}">
      <text>
        <r>
          <rPr>
            <sz val="9"/>
            <color indexed="81"/>
            <rFont val="宋体"/>
            <family val="3"/>
            <charset val="134"/>
          </rPr>
          <t>[V21-BATCH]批次待核实：Planned 为空、错误或不是已配置的批次。本行保留在末尾，不计入正常批次小计；修改后请重新排序。[/V21-BATCH]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<sst xmlns="http://schemas.openxmlformats.org/spreadsheetml/2006/main" count="26181" uniqueCount="9363">
  <si>
    <t>Planning</t>
  </si>
  <si>
    <t>ASU</t>
    <phoneticPr fontId="1" type="noConversion"/>
  </si>
  <si>
    <t>RAU</t>
    <phoneticPr fontId="1" type="noConversion"/>
  </si>
  <si>
    <t>Purchasing parts</t>
    <phoneticPr fontId="1" type="noConversion"/>
  </si>
  <si>
    <t>CN01-2305033_Sazgar Project_Shipping plan</t>
    <phoneticPr fontId="1" type="noConversion"/>
  </si>
  <si>
    <t>SOI</t>
    <phoneticPr fontId="1" type="noConversion"/>
  </si>
  <si>
    <t>SOC</t>
    <phoneticPr fontId="1" type="noConversion"/>
  </si>
  <si>
    <t>Shipment batch</t>
    <phoneticPr fontId="1" type="noConversion"/>
  </si>
  <si>
    <t>Shipment No. of Logistics</t>
    <phoneticPr fontId="1" type="noConversion"/>
  </si>
  <si>
    <t>Supplier</t>
    <phoneticPr fontId="1" type="noConversion"/>
  </si>
  <si>
    <t>BP. No</t>
    <phoneticPr fontId="2" type="noConversion"/>
  </si>
  <si>
    <t>Add. Information</t>
    <phoneticPr fontId="1" type="noConversion"/>
  </si>
  <si>
    <t>Ready for Shipping</t>
    <phoneticPr fontId="1" type="noConversion"/>
  </si>
  <si>
    <t>Installation Start Date</t>
    <phoneticPr fontId="2" type="noConversion"/>
  </si>
  <si>
    <t>Container Quantity</t>
    <phoneticPr fontId="1" type="noConversion"/>
  </si>
  <si>
    <t>BB(bulk cargo)M3</t>
    <phoneticPr fontId="1" type="noConversion"/>
  </si>
  <si>
    <t>Frame Container QTY (40')</t>
    <phoneticPr fontId="1" type="noConversion"/>
  </si>
  <si>
    <t>Normal Container Qty (40')</t>
    <phoneticPr fontId="1" type="noConversion"/>
  </si>
  <si>
    <t>Automatic Shipping order</t>
    <phoneticPr fontId="1" type="noConversion"/>
  </si>
  <si>
    <t>Planned Shipping order</t>
    <phoneticPr fontId="1" type="noConversion"/>
  </si>
  <si>
    <t>Planned Pick up date</t>
    <phoneticPr fontId="1" type="noConversion"/>
  </si>
  <si>
    <t>Planned ETD</t>
    <phoneticPr fontId="1" type="noConversion"/>
  </si>
  <si>
    <t>Planned ETA</t>
    <phoneticPr fontId="1" type="noConversion"/>
  </si>
  <si>
    <t>Planned ETS</t>
    <phoneticPr fontId="1" type="noConversion"/>
  </si>
  <si>
    <r>
      <t>ΔSOI</t>
    </r>
    <r>
      <rPr>
        <b/>
        <sz val="10"/>
        <rFont val="宋体"/>
        <family val="2"/>
        <charset val="134"/>
      </rPr>
      <t>-Planned ETS</t>
    </r>
    <phoneticPr fontId="1" type="noConversion"/>
  </si>
  <si>
    <t>Notes</t>
  </si>
  <si>
    <t>Strorage area on site (m2)</t>
    <phoneticPr fontId="1" type="noConversion"/>
  </si>
  <si>
    <t>Actual ETD</t>
    <phoneticPr fontId="1" type="noConversion"/>
  </si>
  <si>
    <t>Actual ETA</t>
    <phoneticPr fontId="1" type="noConversion"/>
  </si>
  <si>
    <t>Actual ETS</t>
    <phoneticPr fontId="1" type="noConversion"/>
  </si>
  <si>
    <r>
      <t>ΔSOI</t>
    </r>
    <r>
      <rPr>
        <b/>
        <sz val="10"/>
        <rFont val="宋体"/>
        <family val="2"/>
        <charset val="134"/>
      </rPr>
      <t>-Actual ETS</t>
    </r>
    <phoneticPr fontId="1" type="noConversion"/>
  </si>
  <si>
    <t>Purchase Responsibility</t>
    <phoneticPr fontId="1" type="noConversion"/>
  </si>
  <si>
    <t>Trade terms</t>
    <phoneticPr fontId="1" type="noConversion"/>
  </si>
  <si>
    <t>Oversize/ Normal</t>
    <phoneticPr fontId="1" type="noConversion"/>
  </si>
  <si>
    <t>Area 
M3</t>
    <phoneticPr fontId="1" type="noConversion"/>
  </si>
  <si>
    <t>Length 
(mm)</t>
    <phoneticPr fontId="1" type="noConversion"/>
  </si>
  <si>
    <t>Width
(mm)</t>
    <phoneticPr fontId="1" type="noConversion"/>
  </si>
  <si>
    <t>High
(mm)</t>
    <phoneticPr fontId="1" type="noConversion"/>
  </si>
  <si>
    <t>BP1950</t>
  </si>
  <si>
    <t>CP6</t>
    <phoneticPr fontId="1" type="noConversion"/>
  </si>
  <si>
    <t>Durr</t>
    <phoneticPr fontId="1" type="noConversion"/>
  </si>
  <si>
    <t>FOB</t>
  </si>
  <si>
    <t>NR</t>
  </si>
  <si>
    <t>Durr</t>
  </si>
  <si>
    <t>BP1930</t>
    <phoneticPr fontId="1" type="noConversion"/>
  </si>
  <si>
    <t>F</t>
  </si>
  <si>
    <t>CNF</t>
  </si>
  <si>
    <t>BP1975</t>
  </si>
  <si>
    <t>BP2010</t>
  </si>
  <si>
    <t>BP2040</t>
    <phoneticPr fontId="1" type="noConversion"/>
  </si>
  <si>
    <t>BP1920</t>
    <phoneticPr fontId="1" type="noConversion"/>
  </si>
  <si>
    <t>Auxilary Tanks</t>
  </si>
  <si>
    <t>BP1710</t>
  </si>
  <si>
    <t>BP1610</t>
  </si>
  <si>
    <t>AES</t>
  </si>
  <si>
    <t>BP1210</t>
  </si>
  <si>
    <t>Ductwork</t>
    <phoneticPr fontId="1" type="noConversion"/>
  </si>
  <si>
    <t>BP1510</t>
  </si>
  <si>
    <t>Insulation</t>
    <phoneticPr fontId="1" type="noConversion"/>
  </si>
  <si>
    <t>BP1140</t>
  </si>
  <si>
    <t>Coating</t>
    <phoneticPr fontId="1" type="noConversion"/>
  </si>
  <si>
    <t>CP2</t>
    <phoneticPr fontId="1" type="noConversion"/>
  </si>
  <si>
    <t>BP1830</t>
    <phoneticPr fontId="1" type="noConversion"/>
  </si>
  <si>
    <t>F+N</t>
  </si>
  <si>
    <t>BP1220</t>
  </si>
  <si>
    <t>BP1520</t>
  </si>
  <si>
    <t>BP1620</t>
  </si>
  <si>
    <t>CP3</t>
    <phoneticPr fontId="1" type="noConversion"/>
  </si>
  <si>
    <t>BP1910</t>
    <phoneticPr fontId="1" type="noConversion"/>
  </si>
  <si>
    <t>BP2020</t>
    <phoneticPr fontId="1" type="noConversion"/>
  </si>
  <si>
    <t>BP1960</t>
  </si>
  <si>
    <t>BP1230</t>
  </si>
  <si>
    <t>BP2050</t>
    <phoneticPr fontId="1" type="noConversion"/>
  </si>
  <si>
    <t>Cleanroom</t>
  </si>
  <si>
    <t>TC_Ductwork</t>
    <phoneticPr fontId="1" type="noConversion"/>
  </si>
  <si>
    <t>BP1530</t>
  </si>
  <si>
    <t>BP1630</t>
  </si>
  <si>
    <t>BP1000</t>
  </si>
  <si>
    <t>BP1700</t>
  </si>
  <si>
    <t>BP1250</t>
  </si>
  <si>
    <t>Ductwork_PMR supply &amp; exhaust</t>
    <phoneticPr fontId="1" type="noConversion"/>
  </si>
  <si>
    <t>Ductwork_shop</t>
    <phoneticPr fontId="1" type="noConversion"/>
  </si>
  <si>
    <t>Ductwork Workdeck supply</t>
  </si>
  <si>
    <t>BP1650</t>
  </si>
  <si>
    <t>Piping Utilities</t>
  </si>
  <si>
    <t>BP1550</t>
  </si>
  <si>
    <t>Insulation utility, Shop Ventilation</t>
  </si>
  <si>
    <t>BP2330</t>
    <phoneticPr fontId="1" type="noConversion"/>
  </si>
  <si>
    <t>RO water Unit</t>
    <phoneticPr fontId="1" type="noConversion"/>
  </si>
  <si>
    <t>BP2310</t>
  </si>
  <si>
    <t>Chiller Unit</t>
    <phoneticPr fontId="1" type="noConversion"/>
  </si>
  <si>
    <t>Boiler Unit</t>
  </si>
  <si>
    <t>BP2320</t>
  </si>
  <si>
    <t xml:space="preserve">Fire protection </t>
    <phoneticPr fontId="1" type="noConversion"/>
  </si>
  <si>
    <t>Compressor Unit</t>
    <phoneticPr fontId="1" type="noConversion"/>
  </si>
  <si>
    <t>BP2110&amp;2120</t>
    <phoneticPr fontId="1" type="noConversion"/>
  </si>
  <si>
    <t>Work deck move plateform</t>
    <phoneticPr fontId="1" type="noConversion"/>
  </si>
  <si>
    <t>BP7930</t>
  </si>
  <si>
    <t>Cross transfer car</t>
  </si>
  <si>
    <t>BP7650</t>
  </si>
  <si>
    <t>CV_765_Protective Fences</t>
  </si>
  <si>
    <t>BP7850</t>
    <phoneticPr fontId="1" type="noConversion"/>
  </si>
  <si>
    <t>BP7820</t>
    <phoneticPr fontId="1" type="noConversion"/>
  </si>
  <si>
    <t>BP7810</t>
  </si>
  <si>
    <t>BP7840</t>
  </si>
  <si>
    <t>BP1331</t>
  </si>
  <si>
    <t>BP1332</t>
  </si>
  <si>
    <t>BP</t>
    <phoneticPr fontId="1" type="noConversion"/>
  </si>
  <si>
    <t>Sealing</t>
    <phoneticPr fontId="1" type="noConversion"/>
  </si>
  <si>
    <t>BP2603</t>
  </si>
  <si>
    <t>Grating</t>
    <phoneticPr fontId="1" type="noConversion"/>
  </si>
  <si>
    <t>BP2370</t>
  </si>
  <si>
    <t>Burner_ASU&amp;Oven</t>
    <phoneticPr fontId="1" type="noConversion"/>
  </si>
  <si>
    <t>BP1430</t>
  </si>
  <si>
    <t>Fan complete</t>
  </si>
  <si>
    <t>Roof Fan</t>
    <phoneticPr fontId="1" type="noConversion"/>
  </si>
  <si>
    <t>BP2604</t>
  </si>
  <si>
    <t>Damper, fire damper</t>
    <phoneticPr fontId="1" type="noConversion"/>
  </si>
  <si>
    <t>BP2391</t>
  </si>
  <si>
    <t>Lighting</t>
  </si>
  <si>
    <t>BP2394</t>
  </si>
  <si>
    <t>Rolling Shutter Doors</t>
    <phoneticPr fontId="1" type="noConversion"/>
  </si>
  <si>
    <t>BP2397</t>
  </si>
  <si>
    <t>Dialysis Cells</t>
    <phoneticPr fontId="1" type="noConversion"/>
  </si>
  <si>
    <t>Filter</t>
    <phoneticPr fontId="1" type="noConversion"/>
  </si>
  <si>
    <t>BP2400</t>
  </si>
  <si>
    <t>Topcoat_Robot_material</t>
    <phoneticPr fontId="1" type="noConversion"/>
  </si>
  <si>
    <t>Primer_Robot_material</t>
    <phoneticPr fontId="1" type="noConversion"/>
  </si>
  <si>
    <t>Paint-mix equipment</t>
  </si>
  <si>
    <t>BP2500</t>
  </si>
  <si>
    <t>Sealer Supply</t>
  </si>
  <si>
    <t>ETD</t>
    <phoneticPr fontId="1" type="noConversion"/>
  </si>
  <si>
    <t>ETA</t>
    <phoneticPr fontId="1" type="noConversion"/>
  </si>
  <si>
    <t>ETS</t>
    <phoneticPr fontId="1" type="noConversion"/>
  </si>
  <si>
    <t>40'GP/HC</t>
  </si>
  <si>
    <t>Shanghai</t>
  </si>
  <si>
    <t>40'GP/HC/FR</t>
  </si>
  <si>
    <t>Product</t>
  </si>
  <si>
    <t>#01</t>
  </si>
  <si>
    <t>#02</t>
  </si>
  <si>
    <t>#03</t>
  </si>
  <si>
    <t>#04</t>
  </si>
  <si>
    <t>#06</t>
  </si>
  <si>
    <t>#07</t>
  </si>
  <si>
    <t>#09</t>
  </si>
  <si>
    <t>#10</t>
  </si>
  <si>
    <t>#11</t>
  </si>
  <si>
    <t>#13</t>
  </si>
  <si>
    <t>#15</t>
  </si>
  <si>
    <t>#19</t>
  </si>
  <si>
    <t>#20</t>
  </si>
  <si>
    <t>#01 Spraybooth</t>
  </si>
  <si>
    <t>#06 Work Zone</t>
  </si>
  <si>
    <t>#07 Material Supply</t>
  </si>
  <si>
    <t>#09 Steelwork</t>
  </si>
  <si>
    <t>#10 Conveyor</t>
  </si>
  <si>
    <t>#11 Utilities</t>
  </si>
  <si>
    <t>#15 Painting Technology</t>
  </si>
  <si>
    <t>Dismantling  tools like Oven fans trolley</t>
    <phoneticPr fontId="1" type="noConversion"/>
  </si>
  <si>
    <t>PTEC CP6.10</t>
    <phoneticPr fontId="1" type="noConversion"/>
  </si>
  <si>
    <t>PTEC CP6.11</t>
    <phoneticPr fontId="1" type="noConversion"/>
  </si>
  <si>
    <t>EC oven CP2.10</t>
    <phoneticPr fontId="1" type="noConversion"/>
  </si>
  <si>
    <t>Primer oven CP2.11</t>
    <phoneticPr fontId="1" type="noConversion"/>
  </si>
  <si>
    <t>TC oven CP2.12</t>
    <phoneticPr fontId="1" type="noConversion"/>
  </si>
  <si>
    <t>CV UBS CP5.12</t>
    <phoneticPr fontId="1" type="noConversion"/>
  </si>
  <si>
    <t>Spray booth line CP3.10</t>
    <phoneticPr fontId="1" type="noConversion"/>
  </si>
  <si>
    <t>Plenum line CP3.20</t>
    <phoneticPr fontId="1" type="noConversion"/>
  </si>
  <si>
    <t>CV  CP5.20</t>
    <phoneticPr fontId="1" type="noConversion"/>
  </si>
  <si>
    <t>CV  CP5.21</t>
    <phoneticPr fontId="1" type="noConversion"/>
  </si>
  <si>
    <t>CV  CP5.10</t>
    <phoneticPr fontId="1" type="noConversion"/>
  </si>
  <si>
    <t>CV  CP5.11</t>
    <phoneticPr fontId="1" type="noConversion"/>
  </si>
  <si>
    <t>ASU TC CP4.31</t>
    <phoneticPr fontId="1" type="noConversion"/>
  </si>
  <si>
    <t>ASU Primer CP4.30</t>
    <phoneticPr fontId="1" type="noConversion"/>
  </si>
  <si>
    <t>Product</t>
    <phoneticPr fontId="1" type="noConversion"/>
  </si>
  <si>
    <t>#01 TC Booth</t>
  </si>
  <si>
    <t>#01 Primer Booth</t>
  </si>
  <si>
    <t>#01 TC Dry-X</t>
  </si>
  <si>
    <t>#01 Primer Dry-X</t>
  </si>
  <si>
    <t>#02 EC Plant</t>
  </si>
  <si>
    <t>#02 PT Plant</t>
  </si>
  <si>
    <t>ITM</t>
    <phoneticPr fontId="1" type="noConversion"/>
  </si>
  <si>
    <t>Floor pans</t>
    <phoneticPr fontId="1" type="noConversion"/>
  </si>
  <si>
    <t>Dust protection</t>
    <phoneticPr fontId="1" type="noConversion"/>
  </si>
  <si>
    <t>Piping package</t>
    <phoneticPr fontId="1" type="noConversion"/>
  </si>
  <si>
    <t>Insulation package</t>
  </si>
  <si>
    <t>Insulation package</t>
    <phoneticPr fontId="1" type="noConversion"/>
  </si>
  <si>
    <t>Ducting package supply air ASU-Plenum</t>
    <phoneticPr fontId="1" type="noConversion"/>
  </si>
  <si>
    <t>#01 Primer Booth</t>
    <phoneticPr fontId="1" type="noConversion"/>
  </si>
  <si>
    <t>Ducting package exhaust air</t>
    <phoneticPr fontId="1" type="noConversion"/>
  </si>
  <si>
    <t>Ducting package recirculation air</t>
    <phoneticPr fontId="1" type="noConversion"/>
  </si>
  <si>
    <t>Dry X System</t>
    <phoneticPr fontId="1" type="noConversion"/>
  </si>
  <si>
    <t>Dry X Trolleys</t>
    <phoneticPr fontId="1" type="noConversion"/>
  </si>
  <si>
    <t xml:space="preserve">Booth walls </t>
    <phoneticPr fontId="1" type="noConversion"/>
  </si>
  <si>
    <t>Filter ceiling</t>
    <phoneticPr fontId="1" type="noConversion"/>
  </si>
  <si>
    <t>Plenum</t>
    <phoneticPr fontId="1" type="noConversion"/>
  </si>
  <si>
    <t>Walls+Filter ceiling+Plenum</t>
    <phoneticPr fontId="1" type="noConversion"/>
  </si>
  <si>
    <t>C-profile and grating support</t>
    <phoneticPr fontId="1" type="noConversion"/>
  </si>
  <si>
    <t>Tunnel</t>
    <phoneticPr fontId="1" type="noConversion"/>
  </si>
  <si>
    <t>Dust protection tunnel</t>
    <phoneticPr fontId="1" type="noConversion"/>
  </si>
  <si>
    <t>Air seal entry</t>
    <phoneticPr fontId="1" type="noConversion"/>
  </si>
  <si>
    <t>Piping</t>
  </si>
  <si>
    <t>Pre-assembly group</t>
    <phoneticPr fontId="1" type="noConversion"/>
  </si>
  <si>
    <t>Filter press with dump chute FP041</t>
    <phoneticPr fontId="1" type="noConversion"/>
  </si>
  <si>
    <t>Ductwork package</t>
    <phoneticPr fontId="1" type="noConversion"/>
  </si>
  <si>
    <t>Dump tank BA311</t>
    <phoneticPr fontId="1" type="noConversion"/>
  </si>
  <si>
    <t>EC tank coating</t>
    <phoneticPr fontId="1" type="noConversion"/>
  </si>
  <si>
    <t>EC dip tank tunnel</t>
    <phoneticPr fontId="1" type="noConversion"/>
  </si>
  <si>
    <t>Dust protection floor pans</t>
    <phoneticPr fontId="1" type="noConversion"/>
  </si>
  <si>
    <t>#03 RO Water Plant</t>
  </si>
  <si>
    <t>#04 EC Oven</t>
  </si>
  <si>
    <t>Coolbox</t>
    <phoneticPr fontId="1" type="noConversion"/>
  </si>
  <si>
    <t>Ducting package</t>
    <phoneticPr fontId="1" type="noConversion"/>
  </si>
  <si>
    <t>Heater Box hold zone</t>
    <phoneticPr fontId="1" type="noConversion"/>
  </si>
  <si>
    <t>Oven module air seal entry</t>
    <phoneticPr fontId="1" type="noConversion"/>
  </si>
  <si>
    <t>Oven modules heat-up zone *6modules</t>
    <phoneticPr fontId="1" type="noConversion"/>
  </si>
  <si>
    <t>Oven modules hold zone *7modules</t>
    <phoneticPr fontId="1" type="noConversion"/>
  </si>
  <si>
    <t>Oven module air seal exit</t>
  </si>
  <si>
    <t>Connecting compensators_Oven</t>
    <phoneticPr fontId="1" type="noConversion"/>
  </si>
  <si>
    <t>Cooling modules *2modules</t>
    <phoneticPr fontId="1" type="noConversion"/>
  </si>
  <si>
    <t>Heater Box heat-up zone *2</t>
    <phoneticPr fontId="1" type="noConversion"/>
  </si>
  <si>
    <t>Oven modules hold zone *6modules</t>
    <phoneticPr fontId="1" type="noConversion"/>
  </si>
  <si>
    <t>#04 Primer Oven</t>
  </si>
  <si>
    <t>#04 TC Oven</t>
  </si>
  <si>
    <t>#06 AP001,004 PreClean,ECSandOff</t>
  </si>
  <si>
    <t>#06 AP2,3,5 MatelRepair,ECSand,Seal</t>
  </si>
  <si>
    <t>#06 AP006-009 UBS line+Transfer</t>
  </si>
  <si>
    <t>#06 AP10,16 PrimerSand,RepairSand</t>
  </si>
  <si>
    <t>#06 AP12 Dust Protection</t>
  </si>
  <si>
    <t>#06 AP17-19,21-23 SprDryPol,InsWaxBlack</t>
  </si>
  <si>
    <t>#06 RB Wax room</t>
  </si>
  <si>
    <t>#06 RB050 SkidCheck&amp;Clean&amp;Pump room</t>
  </si>
  <si>
    <t>#06 AP13-15,20 TCInsp&amp;Audit,SpotRepair+PartChange</t>
  </si>
  <si>
    <t>#13 Primer Booth ASU</t>
  </si>
  <si>
    <t>#11 PMR ASU</t>
  </si>
  <si>
    <t>#11 Shop ASU</t>
  </si>
  <si>
    <t>#11 Shop Ventilation distribution</t>
  </si>
  <si>
    <t>#13 WD ASU+2 Filter Boxes</t>
  </si>
  <si>
    <t>#13 TC Booth RAU</t>
  </si>
  <si>
    <t>#13 Primer Booth RAU</t>
  </si>
  <si>
    <t>Air supply unit</t>
    <phoneticPr fontId="1" type="noConversion"/>
  </si>
  <si>
    <t>Regulation train</t>
    <phoneticPr fontId="1" type="noConversion"/>
  </si>
  <si>
    <t>Humidifier unit</t>
    <phoneticPr fontId="1" type="noConversion"/>
  </si>
  <si>
    <t>ASU+WD_filter box</t>
    <phoneticPr fontId="1" type="noConversion"/>
  </si>
  <si>
    <t>Floor module</t>
    <phoneticPr fontId="1" type="noConversion"/>
  </si>
  <si>
    <t>Booth housing</t>
    <phoneticPr fontId="1" type="noConversion"/>
  </si>
  <si>
    <t>Internal ducting incl. Equipment</t>
    <phoneticPr fontId="1" type="noConversion"/>
  </si>
  <si>
    <t>Equipment workdeck</t>
    <phoneticPr fontId="1" type="noConversion"/>
  </si>
  <si>
    <t>#10 CV01 DipSkid,Lock,Preclean,ECSand,UBS</t>
  </si>
  <si>
    <t>#10 CV02 PTEC Rodip-E</t>
  </si>
  <si>
    <t>#10 CV03 EDStrip,TCSkid,Unlock,Transfer</t>
  </si>
  <si>
    <t>#10 CV04 ECOven</t>
  </si>
  <si>
    <t>#10 CV05 PrimerBooth&amp;Oven</t>
  </si>
  <si>
    <t>#10 CV06 PrimerStrip,Sand,TCIns,Buff,Wax,Spot</t>
  </si>
  <si>
    <t>#10 CV07 TCBooth&amp;Oven</t>
  </si>
  <si>
    <t>#10 RoDip E</t>
  </si>
  <si>
    <t>CV_782_checking station</t>
    <phoneticPr fontId="1" type="noConversion"/>
  </si>
  <si>
    <t>CV_785_Trolley</t>
    <phoneticPr fontId="1" type="noConversion"/>
  </si>
  <si>
    <t>CV_784_Hanger</t>
    <phoneticPr fontId="1" type="noConversion"/>
  </si>
  <si>
    <t>CV_781_SKID_1st</t>
    <phoneticPr fontId="1" type="noConversion"/>
  </si>
  <si>
    <t>Rollerbed *56</t>
  </si>
  <si>
    <t>Turn and swivel table *2</t>
  </si>
  <si>
    <t>Cross transfer car *6</t>
  </si>
  <si>
    <t>Elevator *1+2</t>
  </si>
  <si>
    <t>Scissor lift table *2</t>
  </si>
  <si>
    <t>Body transfer station *1</t>
  </si>
  <si>
    <t>Body locking device *2</t>
  </si>
  <si>
    <t>Skid fixing *6</t>
  </si>
  <si>
    <t>Skid stacker *1</t>
  </si>
  <si>
    <t>EcoFriction roller track *9</t>
    <phoneticPr fontId="1" type="noConversion"/>
  </si>
  <si>
    <t>Rollerbed</t>
  </si>
  <si>
    <t>RoDip carrier</t>
  </si>
  <si>
    <t>RoDip trolley</t>
  </si>
  <si>
    <t>RoDip transfer station entry</t>
  </si>
  <si>
    <t>RoDip transfer station exit</t>
  </si>
  <si>
    <t>RoDip locking with control</t>
  </si>
  <si>
    <t>RoDip tracks process</t>
  </si>
  <si>
    <t>Rollerbed *80</t>
  </si>
  <si>
    <t>Elevator *1</t>
  </si>
  <si>
    <t>Scissor lift table</t>
  </si>
  <si>
    <t>Body locking device *1</t>
  </si>
  <si>
    <t>Skid fixing *2</t>
  </si>
  <si>
    <t>Lubrication</t>
  </si>
  <si>
    <t>Rollerbed *5</t>
  </si>
  <si>
    <t>Turn and swivel table</t>
  </si>
  <si>
    <t>Suspension chain CV oven *1</t>
  </si>
  <si>
    <t>Rollerbed *7</t>
  </si>
  <si>
    <t>Suspension chain CV booth *1</t>
  </si>
  <si>
    <t>Rollerbed *114</t>
  </si>
  <si>
    <t>Turn and swivel table *3</t>
  </si>
  <si>
    <t>Cross transfer car *11</t>
  </si>
  <si>
    <t>Body locking device</t>
  </si>
  <si>
    <t>Skid fixing *1</t>
  </si>
  <si>
    <t>Rollerbed *10</t>
  </si>
  <si>
    <t>Excentric lifting table *3</t>
  </si>
  <si>
    <t>Cross chain conveyor *1</t>
  </si>
  <si>
    <t>CV_781_SKID_2st</t>
    <phoneticPr fontId="1" type="noConversion"/>
  </si>
  <si>
    <t>#11 Fire Protection</t>
  </si>
  <si>
    <t>#11 Cold water generation</t>
  </si>
  <si>
    <t>#11 Utility distribution</t>
  </si>
  <si>
    <t>#11 Compressed air generation</t>
  </si>
  <si>
    <t>#11 Hot water generation</t>
  </si>
  <si>
    <t>Chiller machine</t>
    <phoneticPr fontId="1" type="noConversion"/>
  </si>
  <si>
    <t>Cooling tower</t>
    <phoneticPr fontId="1" type="noConversion"/>
  </si>
  <si>
    <t>Compressor</t>
    <phoneticPr fontId="1" type="noConversion"/>
  </si>
  <si>
    <t>Boiler</t>
  </si>
  <si>
    <t>#20 CS Shop Ventilation+ASU</t>
  </si>
  <si>
    <t>#20 CS Water Plants</t>
  </si>
  <si>
    <t>#20 CS PT Plant</t>
  </si>
  <si>
    <t>#20 CS EC Plant</t>
  </si>
  <si>
    <t>#20 CS Rectifier</t>
  </si>
  <si>
    <t>#20 CS Conveyor</t>
  </si>
  <si>
    <t>#20 CS Work Zone + ASU</t>
  </si>
  <si>
    <t>#20 CS TC Oven</t>
  </si>
  <si>
    <t>#20 CS Primer Oven</t>
  </si>
  <si>
    <t>#20 CS EC Oven</t>
  </si>
  <si>
    <t>#20 CS TC Booth+ASU</t>
  </si>
  <si>
    <t>#20 CS Primer Booth+ASU</t>
  </si>
  <si>
    <t>#20 CS Inst. material CV</t>
  </si>
  <si>
    <t>#20 CS Inst. material Process</t>
  </si>
  <si>
    <t>#20 CS Inst. Material Feedin</t>
  </si>
  <si>
    <t>Control cabinets set up</t>
  </si>
  <si>
    <t>Electrical installation</t>
    <phoneticPr fontId="1" type="noConversion"/>
  </si>
  <si>
    <t>#19 Supervisory Control System</t>
  </si>
  <si>
    <t>Installation Server- Hardware</t>
    <phoneticPr fontId="1" type="noConversion"/>
  </si>
  <si>
    <t>Plant</t>
  </si>
  <si>
    <t>Task Name</t>
  </si>
  <si>
    <t>#13 TC Booth ASU</t>
  </si>
  <si>
    <t>#15 Application</t>
  </si>
  <si>
    <t>#15 MSS</t>
  </si>
  <si>
    <t>#12 Light under steel platforms</t>
  </si>
  <si>
    <t>选择 Paintshop 文件</t>
  </si>
  <si>
    <t>导入 Plant</t>
  </si>
  <si>
    <t>导入未完成。请检查所选文件；如果错误发生在写入期间，请勿覆盖原始备份。</t>
  </si>
  <si>
    <t>更新安装日期</t>
  </si>
  <si>
    <t>更新未完成：</t>
  </si>
  <si>
    <t>尚未导入快照。请先到 Sheet1 点击“导入 Plant”。</t>
  </si>
  <si>
    <t>最近导入时间：</t>
  </si>
  <si>
    <t>来源文件：</t>
  </si>
  <si>
    <t>导入成功。Plant 数量：</t>
  </si>
  <si>
    <t>安装任务快照记录数：</t>
  </si>
  <si>
    <t>异常来源记录数：</t>
  </si>
  <si>
    <t>本次没有更新 planning 日期。请到 planning 点击“更新安装日期”。完成后请保存文件。</t>
  </si>
  <si>
    <t>日期更新完成。实际变更：</t>
  </si>
  <si>
    <t>日期未变：</t>
  </si>
  <si>
    <t>未匹配（保留原值）：</t>
  </si>
  <si>
    <t>多个候选（保留原值）：</t>
  </si>
  <si>
    <t>匹配日期无效（保留原值）：</t>
  </si>
  <si>
    <t>未新增明细，未覆盖人工批次，未执行总表刷新。请保存工作簿。</t>
  </si>
  <si>
    <t>第二步：到 planning 点击“更新安装日期”。</t>
  </si>
  <si>
    <t>Task_Name</t>
  </si>
  <si>
    <t>Start_Date</t>
  </si>
  <si>
    <t>Project_Step_Phase</t>
  </si>
  <si>
    <t>5 - Installation</t>
  </si>
  <si>
    <t>Installation of Panel</t>
  </si>
  <si>
    <t>Cable Trays</t>
  </si>
  <si>
    <t>Cable Pulling</t>
  </si>
  <si>
    <t>Cable Connections</t>
  </si>
  <si>
    <t>Profinet measurement</t>
  </si>
  <si>
    <t>Potential equalization</t>
  </si>
  <si>
    <t>Cable labeling+Tray cover</t>
  </si>
  <si>
    <t>Power supply for control cabinets</t>
  </si>
  <si>
    <t>Feed in control panels</t>
  </si>
  <si>
    <t>Axis line</t>
  </si>
  <si>
    <t>Floor module</t>
  </si>
  <si>
    <t>Fans</t>
  </si>
  <si>
    <t>Portal system</t>
  </si>
  <si>
    <t>Floor cover</t>
  </si>
  <si>
    <t>Floor pans</t>
  </si>
  <si>
    <t>Booth housing</t>
  </si>
  <si>
    <t>Equipment workdeck</t>
  </si>
  <si>
    <t>Internal conveyor</t>
  </si>
  <si>
    <t>I&amp;C equipment</t>
  </si>
  <si>
    <t>Piping package waste water disposal</t>
  </si>
  <si>
    <t>Piping package utilities supply/disposal</t>
  </si>
  <si>
    <t>Piping package compressed air</t>
  </si>
  <si>
    <t>Filter</t>
  </si>
  <si>
    <t>Internal ducting incl. Equipment</t>
  </si>
  <si>
    <t>Air outlets</t>
  </si>
  <si>
    <t>Labeling</t>
  </si>
  <si>
    <t>Ready for Control cabinets set up</t>
  </si>
  <si>
    <t>Brush clean</t>
  </si>
  <si>
    <t>Deep cleaning</t>
  </si>
  <si>
    <t>Utilities supply</t>
  </si>
  <si>
    <t>Risk assessment&amp; checklist reviewed</t>
  </si>
  <si>
    <t>Ready for commissioning</t>
  </si>
  <si>
    <t>Application equipment</t>
  </si>
  <si>
    <t>Paint supply piping</t>
  </si>
  <si>
    <t>Platform and pedestals CP5.12</t>
  </si>
  <si>
    <t>Filter ceiling</t>
  </si>
  <si>
    <t>Plenum</t>
  </si>
  <si>
    <t>Fire protection</t>
  </si>
  <si>
    <t>Roller shutter door</t>
  </si>
  <si>
    <t>Heater Box heat-up zone</t>
  </si>
  <si>
    <t>Heater Box hold zone</t>
  </si>
  <si>
    <t>Maintenance equipment</t>
  </si>
  <si>
    <t>Loose, fixed connection</t>
  </si>
  <si>
    <t>Floor rails installation</t>
  </si>
  <si>
    <t>Cooling modules *2modules</t>
  </si>
  <si>
    <t>CoolBox</t>
  </si>
  <si>
    <t>Piping package utilities</t>
  </si>
  <si>
    <t>Regulation train HW/CW</t>
  </si>
  <si>
    <t>Steelwork CP2.12 (Expect Axis10-12)</t>
  </si>
  <si>
    <t>Combustion chamber incl. Burner</t>
  </si>
  <si>
    <t>Oven module air seal entry</t>
  </si>
  <si>
    <t>Oven modules heat-up zone *4modules</t>
  </si>
  <si>
    <t>Oven modules hold zone *7modules</t>
  </si>
  <si>
    <t>Connecting compensators</t>
  </si>
  <si>
    <t>Ducting package recirculation cooling zone</t>
  </si>
  <si>
    <t>Ducting package supply/exhaust coolbox</t>
  </si>
  <si>
    <t>Ducting package recirculation heater boxes</t>
  </si>
  <si>
    <t>Ducting package exhaust flue gas Heater Box</t>
  </si>
  <si>
    <t>Ducting package exhaust clean gas above roof</t>
  </si>
  <si>
    <t>Ducting package exhaust air oven</t>
  </si>
  <si>
    <t>Safety devices</t>
  </si>
  <si>
    <t>Heater Box heat-up zone *2</t>
  </si>
  <si>
    <t>Steelwork oven CP2.11</t>
  </si>
  <si>
    <t>Oven modules heat-up zone *6modules</t>
  </si>
  <si>
    <t>Oven modules hold zone *6modules</t>
  </si>
  <si>
    <t>Steelwork CP2.10 (Expect Axis14-16)</t>
  </si>
  <si>
    <t>ITM</t>
  </si>
  <si>
    <t>External cover plates ITM / Walkway</t>
  </si>
  <si>
    <t>Gratings</t>
  </si>
  <si>
    <t>Booth walls</t>
  </si>
  <si>
    <t>Tower for robots</t>
  </si>
  <si>
    <t>Rail house frame</t>
  </si>
  <si>
    <t>Rail house ventilation</t>
  </si>
  <si>
    <t>Equipment booth</t>
  </si>
  <si>
    <t>Conveyor flash off</t>
  </si>
  <si>
    <t>Steelwork Scrubber walkway CP3.10</t>
  </si>
  <si>
    <t>Steelwork Scrubber CP3.10</t>
  </si>
  <si>
    <t>Platform plenum CP3.20</t>
  </si>
  <si>
    <t>Dust protection</t>
  </si>
  <si>
    <t>Personnel airlock</t>
  </si>
  <si>
    <t>Piping package DI water</t>
  </si>
  <si>
    <t>Ducting package supply air ASU-Plenum</t>
  </si>
  <si>
    <t>Ducting package exhaust air</t>
  </si>
  <si>
    <t>Ducting package recirculation air</t>
  </si>
  <si>
    <t>Air supply unit</t>
  </si>
  <si>
    <t>Air supply unit inside finish work</t>
  </si>
  <si>
    <t>Regulation train</t>
  </si>
  <si>
    <t>Piping package</t>
  </si>
  <si>
    <t>Ducting package supply external air</t>
  </si>
  <si>
    <t>Ducting package to plenum vertical</t>
  </si>
  <si>
    <t>Ducting package to plenum horizontal</t>
  </si>
  <si>
    <t>Ducting package recirculation Preparation-ASU</t>
  </si>
  <si>
    <t>Humidifier unit</t>
  </si>
  <si>
    <t>Deep Cleaning</t>
  </si>
  <si>
    <t>Ducting package recirculation ASU-Plenum</t>
  </si>
  <si>
    <t>Dry X System</t>
  </si>
  <si>
    <t>Dry X Trolleys</t>
  </si>
  <si>
    <t>Spray booth line CP3.10</t>
  </si>
  <si>
    <t>CV  CP5.11</t>
  </si>
  <si>
    <t>CV UBS CP5.12</t>
  </si>
  <si>
    <t>PTEC CP6.11 dust protection</t>
  </si>
  <si>
    <t>PTEC CP6.11</t>
  </si>
  <si>
    <t>PTEC CP6.10 dust protection</t>
  </si>
  <si>
    <t>PTEC CP6.10</t>
  </si>
  <si>
    <t>CV  CP5.21</t>
  </si>
  <si>
    <t>CV  CP5.20</t>
  </si>
  <si>
    <t>CV  CP5.10</t>
  </si>
  <si>
    <t>ASU Primer CP4.30 (Axis 16-22)</t>
  </si>
  <si>
    <t>ASU Primer CP4.30 (Booth right)</t>
  </si>
  <si>
    <t>ASU TC CP4.31</t>
  </si>
  <si>
    <t>Plenum line CP3.20</t>
  </si>
  <si>
    <t>TC oven CP2.12 (Axis10-12)</t>
  </si>
  <si>
    <t>EC oven CP2.10 (Expect Axis14-16)</t>
  </si>
  <si>
    <t>EC oven CP2.10 (Axis14-16)</t>
  </si>
  <si>
    <t>Primer oven CP2.11</t>
  </si>
  <si>
    <t>TC oven CP2.12 (Expect Axis10-12)</t>
  </si>
  <si>
    <t>PMR 3 rooms, 0,0m</t>
  </si>
  <si>
    <t>Main pipe routing, 0,0m</t>
  </si>
  <si>
    <t>Header/Foam admixing system, overall</t>
  </si>
  <si>
    <t>Foam tank / CO2 tank</t>
  </si>
  <si>
    <t>Booth line -5m,0m,4.73m,5.5m</t>
  </si>
  <si>
    <t>Workdecks AP17-20 0,0m</t>
  </si>
  <si>
    <t>Above gas train of burner Boiler/ASU/Oven 0m&amp;6m</t>
  </si>
  <si>
    <t>Control cabinet / Fire detection system</t>
  </si>
  <si>
    <t>Fire protection ready for operation (manual)</t>
  </si>
  <si>
    <t>Fire protection ready for operation (automatic)</t>
  </si>
  <si>
    <t>Electrical installation conveyor</t>
  </si>
  <si>
    <t>Power supply earlyStart</t>
  </si>
  <si>
    <t>Electrical installation plant</t>
  </si>
  <si>
    <t>Electrical installation booth</t>
  </si>
  <si>
    <t>Electrical installation workdecks</t>
  </si>
  <si>
    <t>Electrical installation oven</t>
  </si>
  <si>
    <t>Control cabinet installation</t>
  </si>
  <si>
    <t>Installation Network</t>
  </si>
  <si>
    <t>Measurement Network</t>
  </si>
  <si>
    <t>Installation Server- Hardware</t>
  </si>
  <si>
    <t>Installation additional Equipment (PC, big Monitors, WebCams etc)</t>
  </si>
  <si>
    <t>Chiller machine</t>
  </si>
  <si>
    <t>Cooling tower</t>
  </si>
  <si>
    <t>Preassembly groups</t>
  </si>
  <si>
    <t>Piping outside building</t>
  </si>
  <si>
    <t>Internal Piping inside building</t>
  </si>
  <si>
    <t>Process electrical installation</t>
  </si>
  <si>
    <t>Insulation</t>
  </si>
  <si>
    <t>Insulation after pressure test</t>
  </si>
  <si>
    <t>Piping Level 0,0m</t>
  </si>
  <si>
    <t>Ducting package to PMR vertical</t>
  </si>
  <si>
    <t>Ducting package to PMR horizontal</t>
  </si>
  <si>
    <t>Ducting incl. insulation</t>
  </si>
  <si>
    <t>Roof Fans</t>
  </si>
  <si>
    <t>Fire protection dampers</t>
  </si>
  <si>
    <t>Damper and air outlets</t>
  </si>
  <si>
    <t>Shop V. electrical installation</t>
  </si>
  <si>
    <t>Ducting package to WD vertical</t>
  </si>
  <si>
    <t>Ducting package to WD horizontal</t>
  </si>
  <si>
    <t>Compressor</t>
  </si>
  <si>
    <t>Application</t>
  </si>
  <si>
    <t>Cabinet and electrical for Application</t>
  </si>
  <si>
    <t>Material supply system</t>
  </si>
  <si>
    <t>Cabinet and electricalfor MSS</t>
  </si>
  <si>
    <t>Close assembly openings</t>
  </si>
  <si>
    <t>Exhaust air washer</t>
  </si>
  <si>
    <t>Front piping</t>
  </si>
  <si>
    <t>Tanks</t>
  </si>
  <si>
    <t>Pump groups</t>
  </si>
  <si>
    <t>Filling station</t>
  </si>
  <si>
    <t>Reaction tank</t>
  </si>
  <si>
    <t>Filter press</t>
  </si>
  <si>
    <t>Connecting pipe</t>
  </si>
  <si>
    <t>Filling material</t>
  </si>
  <si>
    <t>Control groups hot water</t>
  </si>
  <si>
    <t>Control groups cold water</t>
  </si>
  <si>
    <t>Oil-UF</t>
  </si>
  <si>
    <t>Release foundation, grid, level marking</t>
  </si>
  <si>
    <t>Tunnel</t>
  </si>
  <si>
    <t>Drain pans on position</t>
  </si>
  <si>
    <t>Drain pans welding</t>
  </si>
  <si>
    <t>Air seal entry</t>
  </si>
  <si>
    <t>Tunnel equipment</t>
  </si>
  <si>
    <t>Start of Conveyor installation ( detailschedule)</t>
  </si>
  <si>
    <t>Maintenance trolley</t>
  </si>
  <si>
    <t>Process tanks alignment</t>
  </si>
  <si>
    <t>Process tank PE011</t>
  </si>
  <si>
    <t>Process tank PE012</t>
  </si>
  <si>
    <t>Process tank PS021</t>
  </si>
  <si>
    <t>Process tank PA031</t>
  </si>
  <si>
    <t>Process tank PP041</t>
  </si>
  <si>
    <t>Process tank PS051</t>
  </si>
  <si>
    <t>Process tank PS071</t>
  </si>
  <si>
    <t>Auxiliary tanks</t>
  </si>
  <si>
    <t>Pump sumps</t>
  </si>
  <si>
    <t>Frame for containers</t>
  </si>
  <si>
    <t>Dust protection tunnel</t>
  </si>
  <si>
    <t>Dust protection floor pans</t>
  </si>
  <si>
    <t>Steelwork CP6.10 for dust protection</t>
  </si>
  <si>
    <t>Maintenance equipments</t>
  </si>
  <si>
    <t>Steelwork CP6.10+6.11</t>
  </si>
  <si>
    <t>Steelwork CP6 alignment</t>
  </si>
  <si>
    <t>Piping package preassembly groups</t>
  </si>
  <si>
    <t>Piping package dosing</t>
  </si>
  <si>
    <t>Ducting package</t>
  </si>
  <si>
    <t>Filter press with dump chute FP041</t>
  </si>
  <si>
    <t>EC dip tank PK011</t>
  </si>
  <si>
    <t>Process tank PS022</t>
  </si>
  <si>
    <t>EC tank coating</t>
  </si>
  <si>
    <t>Dump tank BA311</t>
  </si>
  <si>
    <t>Built in components tanks</t>
  </si>
  <si>
    <t>EC dip tank tunnel</t>
  </si>
  <si>
    <t>Steelwork CP6.11+5.10 for dust protection</t>
  </si>
  <si>
    <t>UF membranes</t>
  </si>
  <si>
    <t>Piping package anolyte circuit</t>
  </si>
  <si>
    <t>Dialysis cells</t>
  </si>
  <si>
    <t>EcoFriction roller track *9</t>
  </si>
  <si>
    <t>CV platform CP5.10+5.12</t>
  </si>
  <si>
    <t>Steelwork CV profiles CP5.10+5.12</t>
  </si>
  <si>
    <t>Structural steel</t>
  </si>
  <si>
    <t>Paint Skid</t>
  </si>
  <si>
    <t>Hanger</t>
  </si>
  <si>
    <t>Dip Skid</t>
  </si>
  <si>
    <t>Safety fence</t>
  </si>
  <si>
    <t>Transport trolly skid/hanger</t>
  </si>
  <si>
    <t>Skid checking station</t>
  </si>
  <si>
    <t>Ready for commissioning CG01</t>
  </si>
  <si>
    <t>Ready for commissioning CG02</t>
  </si>
  <si>
    <t>CV platform CP5.11</t>
  </si>
  <si>
    <t>Steelwork CV profiles CP5.11</t>
  </si>
  <si>
    <t>Ready for commissioning CG03</t>
  </si>
  <si>
    <t>Ready for commissioning CG04</t>
  </si>
  <si>
    <t>Ready for commissioning CG05</t>
  </si>
  <si>
    <t>Ready for commissioning CG06</t>
  </si>
  <si>
    <t>Ready for commissioning CG07</t>
  </si>
  <si>
    <t>RoDip shaft lifter entry</t>
  </si>
  <si>
    <t>Alignment with filled tanks</t>
  </si>
  <si>
    <t>RoDip shaft lifter exit</t>
  </si>
  <si>
    <t>RoDip busbar process</t>
  </si>
  <si>
    <t>RoDip Expansion/-fall protection units</t>
  </si>
  <si>
    <t>RoDip switch</t>
  </si>
  <si>
    <t>RoDip body rescue</t>
  </si>
  <si>
    <t>RoDip Transfer car</t>
  </si>
  <si>
    <t>RoDip tracks return</t>
  </si>
  <si>
    <t>RoDip busbar return</t>
  </si>
  <si>
    <t>Ready for Control cabinets set up CG02</t>
  </si>
  <si>
    <t>Chimney</t>
  </si>
  <si>
    <t>Internal Piping</t>
  </si>
  <si>
    <t>READY</t>
  </si>
  <si>
    <t>Batch ID</t>
  </si>
  <si>
    <t>ETD</t>
  </si>
  <si>
    <t>Pickup</t>
  </si>
  <si>
    <t>ETA</t>
  </si>
  <si>
    <t>ETS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</si>
  <si>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</si>
  <si>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</si>
  <si>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</si>
  <si>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</si>
  <si>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</si>
  <si>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</si>
  <si>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</si>
  <si>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</si>
  <si>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</si>
  <si>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</si>
  <si>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</si>
  <si>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</si>
  <si>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</si>
  <si>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</si>
  <si>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</si>
  <si>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</si>
  <si>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</si>
  <si>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</si>
  <si>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</si>
  <si>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</si>
  <si>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</si>
  <si>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</si>
  <si>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</si>
  <si>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</si>
  <si>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</si>
  <si>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</si>
  <si>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</si>
  <si>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</si>
  <si>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</si>
  <si>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</si>
  <si>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</si>
  <si>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</si>
  <si>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</si>
  <si>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</si>
  <si>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</si>
  <si>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</si>
  <si>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ETD Date</t>
  </si>
  <si>
    <t>ETS Date</t>
  </si>
  <si>
    <t>Status</t>
  </si>
  <si>
    <t>CN</t>
  </si>
  <si>
    <t>DATA ERRORS</t>
  </si>
  <si>
    <t>Invalid/missing Planned batch</t>
  </si>
  <si>
    <t>See task comments / detail rows</t>
  </si>
  <si>
    <t>[MISSING Product]</t>
  </si>
  <si>
    <t>Purchasing parts</t>
  </si>
  <si>
    <t>Pre-assembly group</t>
  </si>
  <si>
    <t>Ductwork package</t>
  </si>
  <si>
    <t>EC oven CP2.10</t>
  </si>
  <si>
    <t>Coolbox</t>
  </si>
  <si>
    <t>TC oven CP2.12</t>
  </si>
  <si>
    <t>C-profile and grating support</t>
  </si>
  <si>
    <t xml:space="preserve">Booth walls </t>
  </si>
  <si>
    <t>TC_Ductwork</t>
  </si>
  <si>
    <t>ASU Primer CP4.30</t>
  </si>
  <si>
    <t>Ductwork_PMR supply &amp; exhaust</t>
  </si>
  <si>
    <t>Ductwork_shop</t>
  </si>
  <si>
    <t>RO water Unit</t>
  </si>
  <si>
    <t xml:space="preserve">Fire protection </t>
  </si>
  <si>
    <t>Chiller Unit</t>
  </si>
  <si>
    <t>Compressor Unit</t>
  </si>
  <si>
    <t>Work deck move plateform</t>
  </si>
  <si>
    <t>CV_785_Trolley</t>
  </si>
  <si>
    <t>CV_782_checking station</t>
  </si>
  <si>
    <t>CV_781_SKID_1st</t>
  </si>
  <si>
    <t>CV_784_Hanger</t>
  </si>
  <si>
    <t>CV_781_SKID_2st</t>
  </si>
  <si>
    <t>Electrical installation</t>
  </si>
  <si>
    <t>Sealing</t>
  </si>
  <si>
    <t>Connecting compensators_Oven</t>
  </si>
  <si>
    <t>Grating</t>
  </si>
  <si>
    <t>Burner_ASU&amp;Oven</t>
  </si>
  <si>
    <t>Roof Fan</t>
  </si>
  <si>
    <t>Damper, fire damper</t>
  </si>
  <si>
    <t>Rolling Shutter Doors</t>
  </si>
  <si>
    <t>Dialysis Cells</t>
  </si>
  <si>
    <t>Dismantling  tools like Oven fans trolley</t>
  </si>
  <si>
    <t>Topcoat_Robot_material</t>
  </si>
  <si>
    <t>Primer_Robot_material</t>
  </si>
  <si>
    <t>CN01-2305033_Sazgar Project_Shipping plan</t>
  </si>
  <si>
    <t/>
  </si>
  <si>
    <t>SOI</t>
  </si>
  <si>
    <t>46433</t>
  </si>
  <si>
    <t>SOC</t>
  </si>
  <si>
    <t>46583</t>
  </si>
  <si>
    <t>Shipment batch</t>
  </si>
  <si>
    <t>Shipment No. of Logistics</t>
  </si>
  <si>
    <t>Supplier</t>
  </si>
  <si>
    <t>BP. No</t>
  </si>
  <si>
    <t>Add. Information</t>
  </si>
  <si>
    <t>Ready for Shipping</t>
  </si>
  <si>
    <t>Installation Start Date</t>
  </si>
  <si>
    <t>Container Quantity</t>
  </si>
  <si>
    <t>BB(bulk cargo)M3</t>
  </si>
  <si>
    <t>Frame Container QTY (40')</t>
  </si>
  <si>
    <t>Normal Container Qty (40')</t>
  </si>
  <si>
    <t>Automatic Shipping order</t>
  </si>
  <si>
    <t>Planned Shipping order</t>
  </si>
  <si>
    <t>Planned Pick up date</t>
  </si>
  <si>
    <t>Planned ETD</t>
  </si>
  <si>
    <t>Planned ETA</t>
  </si>
  <si>
    <t>Planned ETS</t>
  </si>
  <si>
    <t>ΔSOI-Planned ETS</t>
  </si>
  <si>
    <t>Strorage area on site (m2)</t>
  </si>
  <si>
    <t>Actual ETD</t>
  </si>
  <si>
    <t>Actual ETA</t>
  </si>
  <si>
    <t>Actual ETS</t>
  </si>
  <si>
    <t>ΔSOI-Actual ETS</t>
  </si>
  <si>
    <t>Purchase Responsibility</t>
  </si>
  <si>
    <t>Trade terms</t>
  </si>
  <si>
    <t>Oversize/ Normal</t>
  </si>
  <si>
    <t>Area 
M3</t>
  </si>
  <si>
    <t>Length 
(mm)</t>
  </si>
  <si>
    <t>Width
(mm)</t>
  </si>
  <si>
    <t>High
(mm)</t>
  </si>
  <si>
    <t>=COUNTIF(J$3:OFFSET(J4,-1,0),"Subtotal:")+1</t>
  </si>
  <si>
    <t>=IF(OFFSET(B4,1,0)&lt;&gt;"",OFFSET(B4,1,0),"")</t>
  </si>
  <si>
    <t>=LEFT(F4,3)</t>
  </si>
  <si>
    <t>CP6</t>
  </si>
  <si>
    <t>46493</t>
  </si>
  <si>
    <t>=O4</t>
  </si>
  <si>
    <t>=R4-7</t>
  </si>
  <si>
    <t>=IFERROR(IF(J4*T4&lt;&gt;0,J4-T4,""),"")</t>
  </si>
  <si>
    <t>=IF(U4&lt;&gt;"",IF(U4&gt;28,"Too early",IF(U4&lt;14,"Too late","")),"")</t>
  </si>
  <si>
    <t>=IF(OFFSET(X4,1,0)="",R4,OFFSET(X4,1,0))</t>
  </si>
  <si>
    <t>=IFERROR(IF(J4*Z4&lt;&gt;0,J4-Z4,""),"")</t>
  </si>
  <si>
    <t>=IF(AA4&lt;&gt;"",IF(AA4&gt;28,"Too early",IF(AA4&lt;14,"Too late","")),"")</t>
  </si>
  <si>
    <t>=IF(AI4="","",AI4*AJ4*AK4/1000/1000/1000)</t>
  </si>
  <si>
    <t>=COUNTIF(J$3:OFFSET(J5,-1,0),"Subtotal:")+1</t>
  </si>
  <si>
    <t>=IF(OFFSET(B5,1,0)&lt;&gt;"",OFFSET(B5,1,0),"")</t>
  </si>
  <si>
    <t>=LEFT(F5,3)</t>
  </si>
  <si>
    <t>46508</t>
  </si>
  <si>
    <t>=IF(SUM(M5:N5)=0,"",SUM(M5:N5))</t>
  </si>
  <si>
    <t>=O5</t>
  </si>
  <si>
    <t>=R5-7</t>
  </si>
  <si>
    <t>=IFERROR(IF(J5*T5&lt;&gt;0,J5-T5,""),"")</t>
  </si>
  <si>
    <t>=IF(U5&lt;&gt;"",IF(U5&gt;28,"Too early",IF(U5&lt;14,"Too late","")),"")</t>
  </si>
  <si>
    <t>=IF(OFFSET(X5,1,0)="",R5,OFFSET(X5,1,0))</t>
  </si>
  <si>
    <t>=IFERROR(IF(J5*Z5&lt;&gt;0,J5-Z5,""),"")</t>
  </si>
  <si>
    <t>=IF(AA5&lt;&gt;"",IF(AA5&gt;28,"Too early",IF(AA5&lt;14,"Too late","")),"")</t>
  </si>
  <si>
    <t>=IF(AI5="","",AI5*AJ5*AK5/1000/1000/1000)</t>
  </si>
  <si>
    <t>=COUNTIF(J$3:OFFSET(J6,-1,0),"Subtotal:")+1</t>
  </si>
  <si>
    <t>=IF(OFFSET(B6,1,0)&lt;&gt;"",OFFSET(B6,1,0),"")</t>
  </si>
  <si>
    <t>BP1930</t>
  </si>
  <si>
    <t>=LEFT(F6,3)</t>
  </si>
  <si>
    <t>=IF(SUM(M6:N6)=0,"",SUM(M6:N6))</t>
  </si>
  <si>
    <t>=R6-7</t>
  </si>
  <si>
    <t>=IFERROR(IF(J6*T6&lt;&gt;0,J6-T6,""),"")</t>
  </si>
  <si>
    <t>=IF(U6&lt;&gt;"",IF(U6&gt;28,"Too early",IF(U6&lt;14,"Too late","")),"")</t>
  </si>
  <si>
    <t>=IF(OFFSET(X6,1,0)="",R6,OFFSET(X6,1,0))</t>
  </si>
  <si>
    <t>=IFERROR(IF(J6*Z6&lt;&gt;0,J6-Z6,""),"")</t>
  </si>
  <si>
    <t>=IF(AA6&lt;&gt;"",IF(AA6&gt;28,"Too early",IF(AA6&lt;14,"Too late","")),"")</t>
  </si>
  <si>
    <t>=IF(AI6="","",AI6*AJ6*AK6/1000/1000/1000)</t>
  </si>
  <si>
    <t>=COUNTIF(J$3:OFFSET(J7,-1,0),"Subtotal:")+1</t>
  </si>
  <si>
    <t>=IF(OFFSET(B7,1,0)&lt;&gt;"",OFFSET(B7,1,0),"")</t>
  </si>
  <si>
    <t>=LEFT(F7,3)</t>
  </si>
  <si>
    <t>=IF(SUM(M7:N7)=0,"",SUM(M7:N7))</t>
  </si>
  <si>
    <t>=R7-7</t>
  </si>
  <si>
    <t>=IFERROR(IF(J7*T7&lt;&gt;0,J7-T7,""),"")</t>
  </si>
  <si>
    <t>=IF(U7&lt;&gt;"",IF(U7&gt;28,"Too early",IF(U7&lt;14,"Too late","")),"")</t>
  </si>
  <si>
    <t>=IF(OFFSET(X7,1,0)="",R7,OFFSET(X7,1,0))</t>
  </si>
  <si>
    <t>=IFERROR(IF(J7*Z7&lt;&gt;0,J7-Z7,""),"")</t>
  </si>
  <si>
    <t>=IF(AA7&lt;&gt;"",IF(AA7&gt;28,"Too early",IF(AA7&lt;14,"Too late","")),"")</t>
  </si>
  <si>
    <t>=IF(AI7="","",AI7*AJ7*AK7/1000/1000/1000)</t>
  </si>
  <si>
    <t>=COUNTIF(J$3:OFFSET(J8,-1,0),"Subtotal:")+1</t>
  </si>
  <si>
    <t>=IF(OFFSET(B8,1,0)&lt;&gt;"",OFFSET(B8,1,0),"")</t>
  </si>
  <si>
    <t>=LEFT(F8,3)</t>
  </si>
  <si>
    <t>=IF(SUM(M8:N8)=0,"",SUM(M8:N8))</t>
  </si>
  <si>
    <t>=R8-7</t>
  </si>
  <si>
    <t>=IFERROR(IF(J8*T8&lt;&gt;0,J8-T8,""),"")</t>
  </si>
  <si>
    <t>=IF(U8&lt;&gt;"",IF(U8&gt;28,"Too early",IF(U8&lt;14,"Too late","")),"")</t>
  </si>
  <si>
    <t>=IF(OFFSET(X8,1,0)="",R8,OFFSET(X8,1,0))</t>
  </si>
  <si>
    <t>=IFERROR(IF(J8*Z8&lt;&gt;0,J8-Z8,""),"")</t>
  </si>
  <si>
    <t>=IF(AA8&lt;&gt;"",IF(AA8&gt;28,"Too early",IF(AA8&lt;14,"Too late","")),"")</t>
  </si>
  <si>
    <t>=IF(AI8="","",AI8*AJ8*AK8/1000/1000/1000)</t>
  </si>
  <si>
    <t>=COUNTIF(J$3:OFFSET(J9,-1,0),"Subtotal:")+1</t>
  </si>
  <si>
    <t>=IF(OFFSET(B9,1,0)&lt;&gt;"",OFFSET(B9,1,0),"")</t>
  </si>
  <si>
    <t>=LEFT(F9,3)</t>
  </si>
  <si>
    <t>=IF(SUM(M9:N9)=0,"",SUM(M9:N9))</t>
  </si>
  <si>
    <t>=R9-7</t>
  </si>
  <si>
    <t>=IFERROR(IF(J9*T9&lt;&gt;0,J9-T9,""),"")</t>
  </si>
  <si>
    <t>=IF(U9&lt;&gt;"",IF(U9&gt;28,"Too early",IF(U9&lt;14,"Too late","")),"")</t>
  </si>
  <si>
    <t>=IF(OFFSET(X9,1,0)="",R9,OFFSET(X9,1,0))</t>
  </si>
  <si>
    <t>=IFERROR(IF(J9*Z9&lt;&gt;0,J9-Z9,""),"")</t>
  </si>
  <si>
    <t>=IF(AA9&lt;&gt;"",IF(AA9&gt;28,"Too early",IF(AA9&lt;14,"Too late","")),"")</t>
  </si>
  <si>
    <t>=IF(AI9="","",AI9*AJ9*AK9/1000/1000/1000)</t>
  </si>
  <si>
    <t>=COUNTIF(J$3:OFFSET(J10,-1,0),"Subtotal:")+1</t>
  </si>
  <si>
    <t>=R10-7</t>
  </si>
  <si>
    <t>=IFERROR(IF(J10*T10&lt;&gt;0,J10-T10,""),"")</t>
  </si>
  <si>
    <t>=IF(U10&lt;&gt;"",IF(U10&gt;28,"Too early",IF(U10&lt;14,"Too late","")),"")</t>
  </si>
  <si>
    <t>=IFERROR(IF(J10*Z10&lt;&gt;0,J10-Z10,""),"")</t>
  </si>
  <si>
    <t>=IF(AA10&lt;&gt;"",IF(AA10&gt;28,"Too early",IF(AA10&lt;14,"Too late","")),"")</t>
  </si>
  <si>
    <t>=COUNTIF(J$3:OFFSET(J11,-1,0),"Subtotal:")+1</t>
  </si>
  <si>
    <t>=IF(OFFSET(B11,1,0)&lt;&gt;"",OFFSET(B11,1,0),"")</t>
  </si>
  <si>
    <t>=LEFT(F11,3)</t>
  </si>
  <si>
    <t>=IF(SUM(M11:N11)=0,"",SUM(M11:N11))</t>
  </si>
  <si>
    <t>=R11-7</t>
  </si>
  <si>
    <t>=IFERROR(IF(J11*T11&lt;&gt;0,J11-T11,""),"")</t>
  </si>
  <si>
    <t>=IF(U11&lt;&gt;"",IF(U11&gt;28,"Too early",IF(U11&lt;14,"Too late","")),"")</t>
  </si>
  <si>
    <t>=IF(OFFSET(X11,1,0)="",R11,OFFSET(X11,1,0))</t>
  </si>
  <si>
    <t>=IFERROR(IF(J11*Z11&lt;&gt;0,J11-Z11,""),"")</t>
  </si>
  <si>
    <t>=IF(AA11&lt;&gt;"",IF(AA11&gt;28,"Too early",IF(AA11&lt;14,"Too late","")),"")</t>
  </si>
  <si>
    <t>=IF(AI11="","",AI11*AJ11*AK11/1000/1000/1000)</t>
  </si>
  <si>
    <t>=COUNTIF(J$3:OFFSET(J12,-1,0),"Subtotal:")+1</t>
  </si>
  <si>
    <t>=IF(OFFSET(B12,1,0)&lt;&gt;"",OFFSET(B12,1,0),"")</t>
  </si>
  <si>
    <t>=LEFT(F12,3)</t>
  </si>
  <si>
    <t>=IF(SUM(M12:N12)=0,"",SUM(M12:N12))</t>
  </si>
  <si>
    <t>=R12-7</t>
  </si>
  <si>
    <t>=IFERROR(IF(J12*T12&lt;&gt;0,J12-T12,""),"")</t>
  </si>
  <si>
    <t>=IF(U12&lt;&gt;"",IF(U12&gt;28,"Too early",IF(U12&lt;14,"Too late","")),"")</t>
  </si>
  <si>
    <t>=IF(OFFSET(X12,1,0)="",R12,OFFSET(X12,1,0))</t>
  </si>
  <si>
    <t>=IFERROR(IF(J12*Z12&lt;&gt;0,J12-Z12,""),"")</t>
  </si>
  <si>
    <t>=IF(AA12&lt;&gt;"",IF(AA12&gt;28,"Too early",IF(AA12&lt;14,"Too late","")),"")</t>
  </si>
  <si>
    <t>=IF(AI12="","",AI12*AJ12*AK12/1000/1000/1000)</t>
  </si>
  <si>
    <t>=COUNTIF(J$3:OFFSET(J13,-1,0),"Subtotal:")+1</t>
  </si>
  <si>
    <t>=IF(OFFSET(B13,1,0)&lt;&gt;"",OFFSET(B13,1,0),"")</t>
  </si>
  <si>
    <t>=LEFT(F13,3)</t>
  </si>
  <si>
    <t>=IF(SUM(M13:N13)=0,"",SUM(M13:N13))</t>
  </si>
  <si>
    <t>=O13</t>
  </si>
  <si>
    <t>=R13-7</t>
  </si>
  <si>
    <t>=IFERROR(IF(J13*T13&lt;&gt;0,J13-T13,""),"")</t>
  </si>
  <si>
    <t>=IF(U13&lt;&gt;"",IF(U13&gt;28,"Too early",IF(U13&lt;14,"Too late","")),"")</t>
  </si>
  <si>
    <t>=IF(OFFSET(X13,1,0)="",R13,OFFSET(X13,1,0))</t>
  </si>
  <si>
    <t>=IFERROR(IF(J13*Z13&lt;&gt;0,J13-Z13,""),"")</t>
  </si>
  <si>
    <t>=IF(AA13&lt;&gt;"",IF(AA13&gt;28,"Too early",IF(AA13&lt;14,"Too late","")),"")</t>
  </si>
  <si>
    <t>=IF(AI13="","",AI13*AJ13*AK13/1000/1000/1000)</t>
  </si>
  <si>
    <t>=COUNTIF(J$3:OFFSET(J14,-1,0),"Subtotal:")+1</t>
  </si>
  <si>
    <t>=IF(OFFSET(B14,1,0)&lt;&gt;"",OFFSET(B14,1,0),"")</t>
  </si>
  <si>
    <t>=LEFT(F14,3)</t>
  </si>
  <si>
    <t>=IF(SUM(M14:N14)=0,"",SUM(M14:N14))</t>
  </si>
  <si>
    <t>=R14-7</t>
  </si>
  <si>
    <t>=IFERROR(IF(J14*T14&lt;&gt;0,J14-T14,""),"")</t>
  </si>
  <si>
    <t>=IF(U14&lt;&gt;"",IF(U14&gt;28,"Too early",IF(U14&lt;14,"Too late","")),"")</t>
  </si>
  <si>
    <t>=IF(OFFSET(X14,1,0)="",R14,OFFSET(X14,1,0))</t>
  </si>
  <si>
    <t>=IFERROR(IF(J14*Z14&lt;&gt;0,J14-Z14,""),"")</t>
  </si>
  <si>
    <t>=IF(AA14&lt;&gt;"",IF(AA14&gt;28,"Too early",IF(AA14&lt;14,"Too late","")),"")</t>
  </si>
  <si>
    <t>=IF(AI14="","",AI14*AJ14*AK14/1000/1000/1000)</t>
  </si>
  <si>
    <t>=COUNTIF(J$3:OFFSET(J15,-1,0),"Subtotal:")+1</t>
  </si>
  <si>
    <t>=IF(OFFSET(B15,1,0)&lt;&gt;"",OFFSET(B15,1,0),"")</t>
  </si>
  <si>
    <t>=LEFT(F15,3)</t>
  </si>
  <si>
    <t>=R15-7</t>
  </si>
  <si>
    <t>=IFERROR(IF(J15*T15&lt;&gt;0,J15-T15,""),"")</t>
  </si>
  <si>
    <t>=IF(U15&lt;&gt;"",IF(U15&gt;28,"Too early",IF(U15&lt;14,"Too late","")),"")</t>
  </si>
  <si>
    <t>=IF(OFFSET(X15,1,0)="",R15,OFFSET(X15,1,0))</t>
  </si>
  <si>
    <t>=IFERROR(IF(J15*Z15&lt;&gt;0,J15-Z15,""),"")</t>
  </si>
  <si>
    <t>=IF(AA15&lt;&gt;"",IF(AA15&gt;28,"Too early",IF(AA15&lt;14,"Too late","")),"")</t>
  </si>
  <si>
    <t>=IF(AI15="","",AI15*AJ15*AK15/1000/1000/1000)</t>
  </si>
  <si>
    <t>=COUNTIF(J$3:OFFSET(J16,-1,0),"Subtotal:")+1</t>
  </si>
  <si>
    <t>=IF(OFFSET(B16,1,0)&lt;&gt;"",OFFSET(B16,1,0),"")</t>
  </si>
  <si>
    <t>=LEFT(F16,3)</t>
  </si>
  <si>
    <t>=IF(SUM(M16:N16)=0,"",SUM(M16:N16))</t>
  </si>
  <si>
    <t>=R16-7</t>
  </si>
  <si>
    <t>=IFERROR(IF(J16*T16&lt;&gt;0,J16-T16,""),"")</t>
  </si>
  <si>
    <t>=IF(U16&lt;&gt;"",IF(U16&gt;28,"Too early",IF(U16&lt;14,"Too late","")),"")</t>
  </si>
  <si>
    <t>=IF(OFFSET(X16,1,0)="",R16,OFFSET(X16,1,0))</t>
  </si>
  <si>
    <t>=IFERROR(IF(J16*Z16&lt;&gt;0,J16-Z16,""),"")</t>
  </si>
  <si>
    <t>=IF(AA16&lt;&gt;"",IF(AA16&gt;28,"Too early",IF(AA16&lt;14,"Too late","")),"")</t>
  </si>
  <si>
    <t>=IF(AI16="","",AI16*AJ16*AK16/1000/1000/1000)</t>
  </si>
  <si>
    <t>=COUNTIF(J$3:OFFSET(J17,-1,0),"Subtotal:")+1</t>
  </si>
  <si>
    <t>=IF(OFFSET(B17,1,0)&lt;&gt;"",OFFSET(B17,1,0),"")</t>
  </si>
  <si>
    <t>BP1920</t>
  </si>
  <si>
    <t>=LEFT(F17,3)</t>
  </si>
  <si>
    <t>=IF(SUM(M17:N17)=0,"",SUM(M17:N17))</t>
  </si>
  <si>
    <t>=R17-7</t>
  </si>
  <si>
    <t>=IFERROR(IF(J17*T17&lt;&gt;0,J17-T17,""),"")</t>
  </si>
  <si>
    <t>=IF(U17&lt;&gt;"",IF(U17&gt;28,"Too early",IF(U17&lt;14,"Too late","")),"")</t>
  </si>
  <si>
    <t>=IF(OFFSET(X17,1,0)="",R17,OFFSET(X17,1,0))</t>
  </si>
  <si>
    <t>=IFERROR(IF(J17*Z17&lt;&gt;0,J17-Z17,""),"")</t>
  </si>
  <si>
    <t>=IF(AA17&lt;&gt;"",IF(AA17&gt;28,"Too early",IF(AA17&lt;14,"Too late","")),"")</t>
  </si>
  <si>
    <t>=IF(AI17="","",AI17*AJ17*AK17/1000/1000/1000)</t>
  </si>
  <si>
    <t>=COUNTIF(J$3:OFFSET(J18,-1,0),"Subtotal:")+1</t>
  </si>
  <si>
    <t>=IF(OFFSET(B18,1,0)&lt;&gt;"",OFFSET(B18,1,0),"")</t>
  </si>
  <si>
    <t>=LEFT(F18,3)</t>
  </si>
  <si>
    <t>46492</t>
  </si>
  <si>
    <t>=IF(SUM(M18:N18)=0,"",SUM(M18:N18))</t>
  </si>
  <si>
    <t>=O18</t>
  </si>
  <si>
    <t>=R18-7</t>
  </si>
  <si>
    <t>=IFERROR(IF(J18*T18&lt;&gt;0,J18-T18,""),"")</t>
  </si>
  <si>
    <t>=IF(U18&lt;&gt;"",IF(U18&gt;28,"Too early",IF(U18&lt;14,"Too late","")),"")</t>
  </si>
  <si>
    <t>=IF(OFFSET(X18,1,0)="",R18,OFFSET(X18,1,0))</t>
  </si>
  <si>
    <t>=IFERROR(IF(J18*Z18&lt;&gt;0,J18-Z18,""),"")</t>
  </si>
  <si>
    <t>=IF(AA18&lt;&gt;"",IF(AA18&gt;28,"Too early",IF(AA18&lt;14,"Too late","")),"")</t>
  </si>
  <si>
    <t>=IF(AI18="","",AI18*AJ18*AK18/1000/1000/1000)</t>
  </si>
  <si>
    <t>=COUNTIF(J$3:OFFSET(J19,-1,0),"Subtotal:")+1</t>
  </si>
  <si>
    <t>=R19-7</t>
  </si>
  <si>
    <t>=IFERROR(IF(J19*T19&lt;&gt;0,J19-T19,""),"")</t>
  </si>
  <si>
    <t>=IF(U19&lt;&gt;"",IF(U19&gt;28,"Too early",IF(U19&lt;14,"Too late","")),"")</t>
  </si>
  <si>
    <t>=IFERROR(IF(J19*Z19&lt;&gt;0,J19-Z19,""),"")</t>
  </si>
  <si>
    <t>=IF(AA19&lt;&gt;"",IF(AA19&gt;28,"Too early",IF(AA19&lt;14,"Too late","")),"")</t>
  </si>
  <si>
    <t>=COUNTIF(J$3:OFFSET(J20,-1,0),"Subtotal:")+1</t>
  </si>
  <si>
    <t>=IF(OFFSET(B20,1,0)&lt;&gt;"",OFFSET(B20,1,0),"")</t>
  </si>
  <si>
    <t>=LEFT(F20,3)</t>
  </si>
  <si>
    <t>=IF(SUM(M20:N20)=0,"",SUM(M20:N20))</t>
  </si>
  <si>
    <t>=R20-7</t>
  </si>
  <si>
    <t>=IFERROR(IF(J20*T20&lt;&gt;0,J20-T20,""),"")</t>
  </si>
  <si>
    <t>=IF(U20&lt;&gt;"",IF(U20&gt;28,"Too early",IF(U20&lt;14,"Too late","")),"")</t>
  </si>
  <si>
    <t>=IF(OFFSET(X20,1,0)="",R20,OFFSET(X20,1,0))</t>
  </si>
  <si>
    <t>=IFERROR(IF(J20*Z20&lt;&gt;0,J20-Z20,""),"")</t>
  </si>
  <si>
    <t>=IF(AA20&lt;&gt;"",IF(AA20&gt;28,"Too early",IF(AA20&lt;14,"Too late","")),"")</t>
  </si>
  <si>
    <t>=IF(AI20="","",AI20*AJ20*AK20/1000/1000/1000)</t>
  </si>
  <si>
    <t>=COUNTIF(J$3:OFFSET(J21,-1,0),"Subtotal:")+1</t>
  </si>
  <si>
    <t>=IF(OFFSET(B21,1,0)&lt;&gt;"",OFFSET(B21,1,0),"")</t>
  </si>
  <si>
    <t>=LEFT(F21,3)</t>
  </si>
  <si>
    <t>46535</t>
  </si>
  <si>
    <t>=IF(SUM(M21:N21)=0,"",SUM(M21:N21))</t>
  </si>
  <si>
    <t>=R21-7</t>
  </si>
  <si>
    <t>=IFERROR(IF(J21*T21&lt;&gt;0,J21-T21,""),"")</t>
  </si>
  <si>
    <t>=IF(U21&lt;&gt;"",IF(U21&gt;28,"Too early",IF(U21&lt;14,"Too late","")),"")</t>
  </si>
  <si>
    <t>=IF(OFFSET(X21,1,0)="",R21,OFFSET(X21,1,0))</t>
  </si>
  <si>
    <t>=IFERROR(IF(J21*Z21&lt;&gt;0,J21-Z21,""),"")</t>
  </si>
  <si>
    <t>=IF(AA21&lt;&gt;"",IF(AA21&gt;28,"Too early",IF(AA21&lt;14,"Too late","")),"")</t>
  </si>
  <si>
    <t>=IF(AI21="","",AI21*AJ21*AK21/1000/1000/1000)</t>
  </si>
  <si>
    <t>=COUNTIF(J$3:OFFSET(J22,-1,0),"Subtotal:")+1</t>
  </si>
  <si>
    <t>=IF(OFFSET(B22,1,0)&lt;&gt;"",OFFSET(B22,1,0),"")</t>
  </si>
  <si>
    <t>=LEFT(F22,3)</t>
  </si>
  <si>
    <t>46546</t>
  </si>
  <si>
    <t>=IF(SUM(M22:N22)=0,"",SUM(M22:N22))</t>
  </si>
  <si>
    <t>=R22-7</t>
  </si>
  <si>
    <t>=IFERROR(IF(J22*T22&lt;&gt;0,J22-T22,""),"")</t>
  </si>
  <si>
    <t>=IF(U22&lt;&gt;"",IF(U22&gt;28,"Too early",IF(U22&lt;14,"Too late","")),"")</t>
  </si>
  <si>
    <t>=IF(OFFSET(X22,1,0)="",R22,OFFSET(X22,1,0))</t>
  </si>
  <si>
    <t>=IFERROR(IF(J22*Z22&lt;&gt;0,J22-Z22,""),"")</t>
  </si>
  <si>
    <t>=IF(AA22&lt;&gt;"",IF(AA22&gt;28,"Too early",IF(AA22&lt;14,"Too late","")),"")</t>
  </si>
  <si>
    <t>=IF(AI22="","",AI22*AJ22*AK22/1000/1000/1000)</t>
  </si>
  <si>
    <t>=COUNTIF(J$3:OFFSET(J23,-1,0),"Subtotal:")+1</t>
  </si>
  <si>
    <t>=IF(OFFSET(B23,1,0)&lt;&gt;"",OFFSET(B23,1,0),"")</t>
  </si>
  <si>
    <t>=LEFT(F23,3)</t>
  </si>
  <si>
    <t>=IF(SUM(M23:N23)=0,"",SUM(M23:N23))</t>
  </si>
  <si>
    <t>=R23-7</t>
  </si>
  <si>
    <t>=IFERROR(IF(J23*T23&lt;&gt;0,J23-T23,""),"")</t>
  </si>
  <si>
    <t>=IF(U23&lt;&gt;"",IF(U23&gt;28,"Too early",IF(U23&lt;14,"Too late","")),"")</t>
  </si>
  <si>
    <t>=IF(OFFSET(X23,1,0)="",R23,OFFSET(X23,1,0))</t>
  </si>
  <si>
    <t>=IFERROR(IF(J23*Z23&lt;&gt;0,J23-Z23,""),"")</t>
  </si>
  <si>
    <t>=IF(AA23&lt;&gt;"",IF(AA23&gt;28,"Too early",IF(AA23&lt;14,"Too late","")),"")</t>
  </si>
  <si>
    <t>=IF(AI23="","",AI23*AJ23*AK23/1000/1000/1000)</t>
  </si>
  <si>
    <t>=COUNTIF(J$3:OFFSET(J24,-1,0),"Subtotal:")+1</t>
  </si>
  <si>
    <t>=IF(OFFSET(B24,1,0)&lt;&gt;"",OFFSET(B24,1,0),"")</t>
  </si>
  <si>
    <t>=LEFT(F24,3)</t>
  </si>
  <si>
    <t>46531</t>
  </si>
  <si>
    <t>=IF(SUM(M24:N24)=0,"",SUM(M24:N24))</t>
  </si>
  <si>
    <t>=R24-7</t>
  </si>
  <si>
    <t>=IFERROR(IF(J24*T24&lt;&gt;0,J24-T24,""),"")</t>
  </si>
  <si>
    <t>=IF(U24&lt;&gt;"",IF(U24&gt;28,"Too early",IF(U24&lt;14,"Too late","")),"")</t>
  </si>
  <si>
    <t>=IF(OFFSET(X24,1,0)="",R24,OFFSET(X24,1,0))</t>
  </si>
  <si>
    <t>=IFERROR(IF(J24*Z24&lt;&gt;0,J24-Z24,""),"")</t>
  </si>
  <si>
    <t>=IF(AA24&lt;&gt;"",IF(AA24&gt;28,"Too early",IF(AA24&lt;14,"Too late","")),"")</t>
  </si>
  <si>
    <t>=IF(AI24="","",AI24*AJ24*AK24/1000/1000/1000)</t>
  </si>
  <si>
    <t>=COUNTIF(J$3:OFFSET(J25,-1,0),"Subtotal:")+1</t>
  </si>
  <si>
    <t>=IF(OFFSET(B25,1,0)&lt;&gt;"",OFFSET(B25,1,0),"")</t>
  </si>
  <si>
    <t>BP2040</t>
  </si>
  <si>
    <t>=LEFT(F25,3)</t>
  </si>
  <si>
    <t>46562</t>
  </si>
  <si>
    <t>=IF(SUM(M25:N25)=0,"",SUM(M25:N25))</t>
  </si>
  <si>
    <t>=R25-7</t>
  </si>
  <si>
    <t>=IFERROR(IF(J25*T25&lt;&gt;0,J25-T25,""),"")</t>
  </si>
  <si>
    <t>=IF(U25&lt;&gt;"",IF(U25&gt;28,"Too early",IF(U25&lt;14,"Too late","")),"")</t>
  </si>
  <si>
    <t>=IF(OFFSET(X25,1,0)="",R25,OFFSET(X25,1,0))</t>
  </si>
  <si>
    <t>=IFERROR(IF(J25*Z25&lt;&gt;0,J25-Z25,""),"")</t>
  </si>
  <si>
    <t>=IF(AA25&lt;&gt;"",IF(AA25&gt;28,"Too early",IF(AA25&lt;14,"Too late","")),"")</t>
  </si>
  <si>
    <t>=IF(AI25="","",AI25*AJ25*AK25/1000/1000/1000)</t>
  </si>
  <si>
    <t>=COUNTIF(J$3:OFFSET(J26,-1,0),"Subtotal:")+1</t>
  </si>
  <si>
    <t>=IF(OFFSET(B26,1,0)&lt;&gt;"",OFFSET(B26,1,0),"")</t>
  </si>
  <si>
    <t>=LEFT(F26,3)</t>
  </si>
  <si>
    <t>46554</t>
  </si>
  <si>
    <t>=IF(SUM(M26:N26)=0,"",SUM(M26:N26))</t>
  </si>
  <si>
    <t>=R26-7</t>
  </si>
  <si>
    <t>=IFERROR(IF(J26*T26&lt;&gt;0,J26-T26,""),"")</t>
  </si>
  <si>
    <t>=IF(U26&lt;&gt;"",IF(U26&gt;28,"Too early",IF(U26&lt;14,"Too late","")),"")</t>
  </si>
  <si>
    <t>=IF(OFFSET(X26,1,0)="",R26,OFFSET(X26,1,0))</t>
  </si>
  <si>
    <t>=IFERROR(IF(J26*Z26&lt;&gt;0,J26-Z26,""),"")</t>
  </si>
  <si>
    <t>=IF(AA26&lt;&gt;"",IF(AA26&gt;28,"Too early",IF(AA26&lt;14,"Too late","")),"")</t>
  </si>
  <si>
    <t>=IF(AI26="","",AI26*AJ26*AK26/1000/1000/1000)</t>
  </si>
  <si>
    <t>=COUNTIF(J$3:OFFSET(J27,-1,0),"Subtotal:")+1</t>
  </si>
  <si>
    <t>=IF(OFFSET(B27,1,0)&lt;&gt;"",OFFSET(B27,1,0),"")</t>
  </si>
  <si>
    <t>=LEFT(F27,3)</t>
  </si>
  <si>
    <t>=IF(SUM(M27:N27)=0,"",SUM(M27:N27))</t>
  </si>
  <si>
    <t>=R27-7</t>
  </si>
  <si>
    <t>=IFERROR(IF(J27*T27&lt;&gt;0,J27-T27,""),"")</t>
  </si>
  <si>
    <t>=IF(U27&lt;&gt;"",IF(U27&gt;28,"Too early",IF(U27&lt;14,"Too late","")),"")</t>
  </si>
  <si>
    <t>=IF(OFFSET(X27,1,0)="",R27,OFFSET(X27,1,0))</t>
  </si>
  <si>
    <t>=IFERROR(IF(J27*Z27&lt;&gt;0,J27-Z27,""),"")</t>
  </si>
  <si>
    <t>=IF(AA27&lt;&gt;"",IF(AA27&gt;28,"Too early",IF(AA27&lt;14,"Too late","")),"")</t>
  </si>
  <si>
    <t>=IF(AI27="","",AI27*AJ27*AK27/1000/1000/1000)</t>
  </si>
  <si>
    <t>=COUNTIF(J$3:OFFSET(J28,-1,0),"Subtotal:")+1</t>
  </si>
  <si>
    <t>=IF(OFFSET(B28,1,0)&lt;&gt;"",OFFSET(B28,1,0),"")</t>
  </si>
  <si>
    <t>=LEFT(F28,3)</t>
  </si>
  <si>
    <t>=IF(SUM(M28:N28)=0,"",SUM(M28:N28))</t>
  </si>
  <si>
    <t>=R28-7</t>
  </si>
  <si>
    <t>=IFERROR(IF(J28*T28&lt;&gt;0,J28-T28,""),"")</t>
  </si>
  <si>
    <t>=IF(U28&lt;&gt;"",IF(U28&gt;28,"Too early",IF(U28&lt;14,"Too late","")),"")</t>
  </si>
  <si>
    <t>=IF(OFFSET(X28,1,0)="",R28,OFFSET(X28,1,0))</t>
  </si>
  <si>
    <t>=IFERROR(IF(J28*Z28&lt;&gt;0,J28-Z28,""),"")</t>
  </si>
  <si>
    <t>=IF(AA28&lt;&gt;"",IF(AA28&gt;28,"Too early",IF(AA28&lt;14,"Too late","")),"")</t>
  </si>
  <si>
    <t>=IF(AI28="","",AI28*AJ28*AK28/1000/1000/1000)</t>
  </si>
  <si>
    <t>=COUNTIF(J$3:OFFSET(J29,-1,0),"Subtotal:")+1</t>
  </si>
  <si>
    <t>=IF(OFFSET(B29,1,0)&lt;&gt;"",OFFSET(B29,1,0),"")</t>
  </si>
  <si>
    <t>=LEFT(F29,3)</t>
  </si>
  <si>
    <t>Ductwork</t>
  </si>
  <si>
    <t>=IF(SUM(M29:N29)=0,"",SUM(M29:N29))</t>
  </si>
  <si>
    <t>=O29</t>
  </si>
  <si>
    <t>=R29-7</t>
  </si>
  <si>
    <t>=IFERROR(IF(J29*T29&lt;&gt;0,J29-T29,""),"")</t>
  </si>
  <si>
    <t>=IF(U29&lt;&gt;"",IF(U29&gt;28,"Too early",IF(U29&lt;14,"Too late","")),"")</t>
  </si>
  <si>
    <t>=IF(OFFSET(X29,1,0)="",R29,OFFSET(X29,1,0))</t>
  </si>
  <si>
    <t>=IFERROR(IF(J29*Z29&lt;&gt;0,J29-Z29,""),"")</t>
  </si>
  <si>
    <t>=IF(AA29&lt;&gt;"",IF(AA29&gt;28,"Too early",IF(AA29&lt;14,"Too late","")),"")</t>
  </si>
  <si>
    <t>=IF(AI29="","",AI29*AJ29*AK29/1000/1000/1000)</t>
  </si>
  <si>
    <t>=COUNTIF(J$3:OFFSET(J30,-1,0),"Subtotal:")+1</t>
  </si>
  <si>
    <t>=IF(OFFSET(B30,1,0)&lt;&gt;"",OFFSET(B30,1,0),"")</t>
  </si>
  <si>
    <t>=LEFT(F30,3)</t>
  </si>
  <si>
    <t>46528</t>
  </si>
  <si>
    <t>=IF(SUM(M30:N30)=0,"",SUM(M30:N30))</t>
  </si>
  <si>
    <t>=R30-7</t>
  </si>
  <si>
    <t>=IFERROR(IF(J30*T30&lt;&gt;0,J30-T30,""),"")</t>
  </si>
  <si>
    <t>=IF(U30&lt;&gt;"",IF(U30&gt;28,"Too early",IF(U30&lt;14,"Too late","")),"")</t>
  </si>
  <si>
    <t>=IF(OFFSET(X30,1,0)="",R30,OFFSET(X30,1,0))</t>
  </si>
  <si>
    <t>=IFERROR(IF(J30*Z30&lt;&gt;0,J30-Z30,""),"")</t>
  </si>
  <si>
    <t>=IF(AA30&lt;&gt;"",IF(AA30&gt;28,"Too early",IF(AA30&lt;14,"Too late","")),"")</t>
  </si>
  <si>
    <t>=IF(AI30="","",AI30*AJ30*AK30/1000/1000/1000)</t>
  </si>
  <si>
    <t>=COUNTIF(J$3:OFFSET(J31,-1,0),"Subtotal:")+1</t>
  </si>
  <si>
    <t>=IF(OFFSET(B31,1,0)&lt;&gt;"",OFFSET(B31,1,0),"")</t>
  </si>
  <si>
    <t>=LEFT(F31,3)</t>
  </si>
  <si>
    <t>46563</t>
  </si>
  <si>
    <t>=IF(SUM(M31:N31)=0,"",SUM(M31:N31))</t>
  </si>
  <si>
    <t>=R31-7</t>
  </si>
  <si>
    <t>=IFERROR(IF(J31*T31&lt;&gt;0,J31-T31,""),"")</t>
  </si>
  <si>
    <t>=IF(U31&lt;&gt;"",IF(U31&gt;28,"Too early",IF(U31&lt;14,"Too late","")),"")</t>
  </si>
  <si>
    <t>=IF(OFFSET(X31,1,0)="",R31,OFFSET(X31,1,0))</t>
  </si>
  <si>
    <t>=IFERROR(IF(J31*Z31&lt;&gt;0,J31-Z31,""),"")</t>
  </si>
  <si>
    <t>=IF(AA31&lt;&gt;"",IF(AA31&gt;28,"Too early",IF(AA31&lt;14,"Too late","")),"")</t>
  </si>
  <si>
    <t>=IF(AI31="","",AI31*AJ31*AK31/1000/1000/1000)</t>
  </si>
  <si>
    <t>=COUNTIF(J$3:OFFSET(J32,-1,0),"Subtotal:")+1</t>
  </si>
  <si>
    <t>=IF(OFFSET(B32,1,0)&lt;&gt;"",OFFSET(B32,1,0),"")</t>
  </si>
  <si>
    <t>=LEFT(F32,3)</t>
  </si>
  <si>
    <t>46556</t>
  </si>
  <si>
    <t>=IF(SUM(M32:N32)=0,"",SUM(M32:N32))</t>
  </si>
  <si>
    <t>=R32-7</t>
  </si>
  <si>
    <t>=IFERROR(IF(J32*T32&lt;&gt;0,J32-T32,""),"")</t>
  </si>
  <si>
    <t>=IF(U32&lt;&gt;"",IF(U32&gt;28,"Too early",IF(U32&lt;14,"Too late","")),"")</t>
  </si>
  <si>
    <t>=IF(OFFSET(X32,1,0)="",R32,OFFSET(X32,1,0))</t>
  </si>
  <si>
    <t>=IFERROR(IF(J32*Z32&lt;&gt;0,J32-Z32,""),"")</t>
  </si>
  <si>
    <t>=IF(AA32&lt;&gt;"",IF(AA32&gt;28,"Too early",IF(AA32&lt;14,"Too late","")),"")</t>
  </si>
  <si>
    <t>=IF(AI32="","",AI32*AJ32*AK32/1000/1000/1000)</t>
  </si>
  <si>
    <t>=COUNTIF(J$3:OFFSET(J33,-1,0),"Subtotal:")+1</t>
  </si>
  <si>
    <t>=R33-7</t>
  </si>
  <si>
    <t>=IFERROR(IF(J33*T33&lt;&gt;0,J33-T33,""),"")</t>
  </si>
  <si>
    <t>=IF(U33&lt;&gt;"",IF(U33&gt;28,"Too early",IF(U33&lt;14,"Too late","")),"")</t>
  </si>
  <si>
    <t>=IFERROR(IF(J33*Z33&lt;&gt;0,J33-Z33,""),"")</t>
  </si>
  <si>
    <t>=IF(AA33&lt;&gt;"",IF(AA33&gt;28,"Too early",IF(AA33&lt;14,"Too late","")),"")</t>
  </si>
  <si>
    <t>=COUNTIF(J$3:OFFSET(J34,-1,0),"Subtotal:")+1</t>
  </si>
  <si>
    <t>=IF(OFFSET(B34,1,0)&lt;&gt;"",OFFSET(B34,1,0),"")</t>
  </si>
  <si>
    <t>=LEFT(F34,3)</t>
  </si>
  <si>
    <t>=IF(SUM(M34:N34)=0,"",SUM(M34:N34))</t>
  </si>
  <si>
    <t>=R34-7</t>
  </si>
  <si>
    <t>=IFERROR(IF(J34*T34&lt;&gt;0,J34-T34,""),"")</t>
  </si>
  <si>
    <t>=IF(U34&lt;&gt;"",IF(U34&gt;28,"Too early",IF(U34&lt;14,"Too late","")),"")</t>
  </si>
  <si>
    <t>=IF(OFFSET(X34,1,0)="",R34,OFFSET(X34,1,0))</t>
  </si>
  <si>
    <t>=IFERROR(IF(J34*Z34&lt;&gt;0,J34-Z34,""),"")</t>
  </si>
  <si>
    <t>=IF(AA34&lt;&gt;"",IF(AA34&gt;28,"Too early",IF(AA34&lt;14,"Too late","")),"")</t>
  </si>
  <si>
    <t>=IF(AI34="","",AI34*AJ34*AK34/1000/1000/1000)</t>
  </si>
  <si>
    <t>=COUNTIF(J$3:OFFSET(J35,-1,0),"Subtotal:")+1</t>
  </si>
  <si>
    <t>=IF(OFFSET(B35,1,0)&lt;&gt;"",OFFSET(B35,1,0),"")</t>
  </si>
  <si>
    <t>=LEFT(F35,3)</t>
  </si>
  <si>
    <t>=IF(SUM(M35:N35)=0,"",SUM(M35:N35))</t>
  </si>
  <si>
    <t>=R35-7</t>
  </si>
  <si>
    <t>=IFERROR(IF(J35*T35&lt;&gt;0,J35-T35,""),"")</t>
  </si>
  <si>
    <t>=IF(U35&lt;&gt;"",IF(U35&gt;28,"Too early",IF(U35&lt;14,"Too late","")),"")</t>
  </si>
  <si>
    <t>=IF(OFFSET(X35,1,0)="",R35,OFFSET(X35,1,0))</t>
  </si>
  <si>
    <t>=IFERROR(IF(J35*Z35&lt;&gt;0,J35-Z35,""),"")</t>
  </si>
  <si>
    <t>=IF(AA35&lt;&gt;"",IF(AA35&gt;28,"Too early",IF(AA35&lt;14,"Too late","")),"")</t>
  </si>
  <si>
    <t>=IF(AI35="","",AI35*AJ35*AK35/1000/1000/1000)</t>
  </si>
  <si>
    <t>=COUNTIF(J$3:OFFSET(J36,-1,0),"Subtotal:")+1</t>
  </si>
  <si>
    <t>=IF(OFFSET(B36,1,0)&lt;&gt;"",OFFSET(B36,1,0),"")</t>
  </si>
  <si>
    <t>=LEFT(F36,3)</t>
  </si>
  <si>
    <t>=IF(SUM(M36:N36)=0,"",SUM(M36:N36))</t>
  </si>
  <si>
    <t>=O36</t>
  </si>
  <si>
    <t>=R36-7</t>
  </si>
  <si>
    <t>=IFERROR(IF(J36*T36&lt;&gt;0,J36-T36,""),"")</t>
  </si>
  <si>
    <t>=IF(U36&lt;&gt;"",IF(U36&gt;28,"Too early",IF(U36&lt;14,"Too late","")),"")</t>
  </si>
  <si>
    <t>=IF(OFFSET(X36,1,0)="",R36,OFFSET(X36,1,0))</t>
  </si>
  <si>
    <t>=IFERROR(IF(J36*Z36&lt;&gt;0,J36-Z36,""),"")</t>
  </si>
  <si>
    <t>=IF(AA36&lt;&gt;"",IF(AA36&gt;28,"Too early",IF(AA36&lt;14,"Too late","")),"")</t>
  </si>
  <si>
    <t>=IF(AI36="","",AI36*AJ36*AK36/1000/1000/1000)</t>
  </si>
  <si>
    <t>=COUNTIF(J$3:OFFSET(J37,-1,0),"Subtotal:")+1</t>
  </si>
  <si>
    <t>=IF(OFFSET(B37,1,0)&lt;&gt;"",OFFSET(B37,1,0),"")</t>
  </si>
  <si>
    <t>=LEFT(F37,3)</t>
  </si>
  <si>
    <t>=IF(SUM(M37:N37)=0,"",SUM(M37:N37))</t>
  </si>
  <si>
    <t>=R37-7</t>
  </si>
  <si>
    <t>=IFERROR(IF(J37*T37&lt;&gt;0,J37-T37,""),"")</t>
  </si>
  <si>
    <t>=IF(U37&lt;&gt;"",IF(U37&gt;28,"Too early",IF(U37&lt;14,"Too late","")),"")</t>
  </si>
  <si>
    <t>=IF(OFFSET(X37,1,0)="",R37,OFFSET(X37,1,0))</t>
  </si>
  <si>
    <t>=IFERROR(IF(J37*Z37&lt;&gt;0,J37-Z37,""),"")</t>
  </si>
  <si>
    <t>=IF(AA37&lt;&gt;"",IF(AA37&gt;28,"Too early",IF(AA37&lt;14,"Too late","")),"")</t>
  </si>
  <si>
    <t>=IF(AI37="","",AI37*AJ37*AK37/1000/1000/1000)</t>
  </si>
  <si>
    <t>=COUNTIF(J$3:OFFSET(J38,-1,0),"Subtotal:")+1</t>
  </si>
  <si>
    <t>=IF(OFFSET(B38,1,0)&lt;&gt;"",OFFSET(B38,1,0),"")</t>
  </si>
  <si>
    <t>=LEFT(F38,3)</t>
  </si>
  <si>
    <t>=IF(SUM(M38:N38)=0,"",SUM(M38:N38))</t>
  </si>
  <si>
    <t>=R38-7</t>
  </si>
  <si>
    <t>=IFERROR(IF(J38*T38&lt;&gt;0,J38-T38,""),"")</t>
  </si>
  <si>
    <t>=IF(U38&lt;&gt;"",IF(U38&gt;28,"Too early",IF(U38&lt;14,"Too late","")),"")</t>
  </si>
  <si>
    <t>=IF(OFFSET(X38,1,0)="",R38,OFFSET(X38,1,0))</t>
  </si>
  <si>
    <t>=IFERROR(IF(J38*Z38&lt;&gt;0,J38-Z38,""),"")</t>
  </si>
  <si>
    <t>=IF(AA38&lt;&gt;"",IF(AA38&gt;28,"Too early",IF(AA38&lt;14,"Too late","")),"")</t>
  </si>
  <si>
    <t>=IF(AI38="","",AI38*AJ38*AK38/1000/1000/1000)</t>
  </si>
  <si>
    <t>=COUNTIF(J$3:OFFSET(J39,-1,0),"Subtotal:")+1</t>
  </si>
  <si>
    <t>=IF(OFFSET(B39,1,0)&lt;&gt;"",OFFSET(B39,1,0),"")</t>
  </si>
  <si>
    <t>=LEFT(F39,3)</t>
  </si>
  <si>
    <t>Coating</t>
  </si>
  <si>
    <t>46580</t>
  </si>
  <si>
    <t>=IF(SUM(M39:N39)=0,"",SUM(M39:N39))</t>
  </si>
  <si>
    <t>=O39</t>
  </si>
  <si>
    <t>=R39-7</t>
  </si>
  <si>
    <t>=IFERROR(IF(J39*T39&lt;&gt;0,J39-T39,""),"")</t>
  </si>
  <si>
    <t>=IF(U39&lt;&gt;"",IF(U39&gt;28,"Too early",IF(U39&lt;14,"Too late","")),"")</t>
  </si>
  <si>
    <t>=IF(OFFSET(X39,1,0)="",R39,OFFSET(X39,1,0))</t>
  </si>
  <si>
    <t>=IFERROR(IF(J39*Z39&lt;&gt;0,J39-Z39,""),"")</t>
  </si>
  <si>
    <t>=IF(AA39&lt;&gt;"",IF(AA39&gt;28,"Too early",IF(AA39&lt;14,"Too late","")),"")</t>
  </si>
  <si>
    <t>=IF(AI39="","",AI39*AJ39*AK39/1000/1000/1000)</t>
  </si>
  <si>
    <t>=IF(SUM(M40:N40)=0,"",SUM(M40:N40))</t>
  </si>
  <si>
    <t>=IF(AI40="","",AI40*AJ40*AK40/1000/1000/1000)</t>
  </si>
  <si>
    <t>=COUNTIF(J$3:OFFSET(J41,-1,0),"Subtotal:")+1</t>
  </si>
  <si>
    <t>=IF(OFFSET(B41,1,0)&lt;&gt;"",OFFSET(B41,1,0),"")</t>
  </si>
  <si>
    <t>=LEFT(F41,3)</t>
  </si>
  <si>
    <t>CP2</t>
  </si>
  <si>
    <t>=IF(SUM(M41:N41)=0,"",SUM(M41:N41))</t>
  </si>
  <si>
    <t>=O41</t>
  </si>
  <si>
    <t>=R41-7</t>
  </si>
  <si>
    <t>=IFERROR(IF(J41*T41&lt;&gt;0,J41-T41,""),"")</t>
  </si>
  <si>
    <t>=IF(U41&lt;&gt;"",IF(U41&gt;28,"Too early",IF(U41&lt;14,"Too late","")),"")</t>
  </si>
  <si>
    <t>=IF(OFFSET(X41,1,0)="",R41,OFFSET(X41,1,0))</t>
  </si>
  <si>
    <t>=IFERROR(IF(J41*Z41&lt;&gt;0,J41-Z41,""),"")</t>
  </si>
  <si>
    <t>=IF(AA41&lt;&gt;"",IF(AA41&gt;28,"Too early",IF(AA41&lt;14,"Too late","")),"")</t>
  </si>
  <si>
    <t>=IF(AI41="","",AI41*AJ41*AK41/1000/1000/1000)</t>
  </si>
  <si>
    <t>=COUNTIF(J$3:OFFSET(J42,-1,0),"Subtotal:")+1</t>
  </si>
  <si>
    <t>=IF(OFFSET(B42,1,0)&lt;&gt;"",OFFSET(B42,1,0),"")</t>
  </si>
  <si>
    <t>BP1830</t>
  </si>
  <si>
    <t>=LEFT(F42,3)</t>
  </si>
  <si>
    <t>46521</t>
  </si>
  <si>
    <t>=IF(SUM(M42:N42)=0,"",SUM(M42:N42))</t>
  </si>
  <si>
    <t>=R42-7</t>
  </si>
  <si>
    <t>=IFERROR(IF(J42*T42&lt;&gt;0,J42-T42,""),"")</t>
  </si>
  <si>
    <t>=IF(U42&lt;&gt;"",IF(U42&gt;28,"Too early",IF(U42&lt;14,"Too late","")),"")</t>
  </si>
  <si>
    <t>=IF(OFFSET(X42,1,0)="",R42,OFFSET(X42,1,0))</t>
  </si>
  <si>
    <t>=IFERROR(IF(J42*Z42&lt;&gt;0,J42-Z42,""),"")</t>
  </si>
  <si>
    <t>=IF(AA42&lt;&gt;"",IF(AA42&gt;28,"Too early",IF(AA42&lt;14,"Too late","")),"")</t>
  </si>
  <si>
    <t>=IF(AI42="","",AI42*AJ42*AK42/1000/1000/1000)</t>
  </si>
  <si>
    <t>=COUNTIF(J$3:OFFSET(J43,-1,0),"Subtotal:")+1</t>
  </si>
  <si>
    <t>=IF(OFFSET(B43,1,0)&lt;&gt;"",OFFSET(B43,1,0),"")</t>
  </si>
  <si>
    <t>=LEFT(F43,3)</t>
  </si>
  <si>
    <t>46518</t>
  </si>
  <si>
    <t>=IF(SUM(M43:N43)=0,"",SUM(M43:N43))</t>
  </si>
  <si>
    <t>=R43-7</t>
  </si>
  <si>
    <t>=IFERROR(IF(J43*T43&lt;&gt;0,J43-T43,""),"")</t>
  </si>
  <si>
    <t>=IF(U43&lt;&gt;"",IF(U43&gt;28,"Too early",IF(U43&lt;14,"Too late","")),"")</t>
  </si>
  <si>
    <t>=IF(OFFSET(X43,1,0)="",R43,OFFSET(X43,1,0))</t>
  </si>
  <si>
    <t>=IFERROR(IF(J43*Z43&lt;&gt;0,J43-Z43,""),"")</t>
  </si>
  <si>
    <t>=IF(AA43&lt;&gt;"",IF(AA43&gt;28,"Too early",IF(AA43&lt;14,"Too late","")),"")</t>
  </si>
  <si>
    <t>=IF(AI43="","",AI43*AJ43*AK43/1000/1000/1000)</t>
  </si>
  <si>
    <t>=COUNTIF(J$3:OFFSET(J44,-1,0),"Subtotal:")+1</t>
  </si>
  <si>
    <t>=IF(OFFSET(B44,1,0)&lt;&gt;"",OFFSET(B44,1,0),"")</t>
  </si>
  <si>
    <t>=LEFT(F44,3)</t>
  </si>
  <si>
    <t>46514</t>
  </si>
  <si>
    <t>=IF(SUM(M44:N44)=0,"",SUM(M44:N44))</t>
  </si>
  <si>
    <t>=R44-7</t>
  </si>
  <si>
    <t>=IFERROR(IF(J44*T44&lt;&gt;0,J44-T44,""),"")</t>
  </si>
  <si>
    <t>=IF(U44&lt;&gt;"",IF(U44&gt;28,"Too early",IF(U44&lt;14,"Too late","")),"")</t>
  </si>
  <si>
    <t>=IF(OFFSET(X44,1,0)="",R44,OFFSET(X44,1,0))</t>
  </si>
  <si>
    <t>=IFERROR(IF(J44*Z44&lt;&gt;0,J44-Z44,""),"")</t>
  </si>
  <si>
    <t>=IF(AA44&lt;&gt;"",IF(AA44&gt;28,"Too early",IF(AA44&lt;14,"Too late","")),"")</t>
  </si>
  <si>
    <t>=IF(AI44="","",AI44*AJ44*AK44/1000/1000/1000)</t>
  </si>
  <si>
    <t>=COUNTIF(J$3:OFFSET(J45,-1,0),"Subtotal:")+1</t>
  </si>
  <si>
    <t>=IF(OFFSET(B45,1,0)&lt;&gt;"",OFFSET(B45,1,0),"")</t>
  </si>
  <si>
    <t>=LEFT(F45,3)</t>
  </si>
  <si>
    <t>46513</t>
  </si>
  <si>
    <t>=IF(SUM(M45:N45)=0,"",SUM(M45:N45))</t>
  </si>
  <si>
    <t>=R45-7</t>
  </si>
  <si>
    <t>=IFERROR(IF(J45*T45&lt;&gt;0,J45-T45,""),"")</t>
  </si>
  <si>
    <t>=IF(U45&lt;&gt;"",IF(U45&gt;28,"Too early",IF(U45&lt;14,"Too late","")),"")</t>
  </si>
  <si>
    <t>=IF(OFFSET(X45,1,0)="",R45,OFFSET(X45,1,0))</t>
  </si>
  <si>
    <t>=IFERROR(IF(J45*Z45&lt;&gt;0,J45-Z45,""),"")</t>
  </si>
  <si>
    <t>=IF(AA45&lt;&gt;"",IF(AA45&gt;28,"Too early",IF(AA45&lt;14,"Too late","")),"")</t>
  </si>
  <si>
    <t>=IF(AI45="","",AI45*AJ45*AK45/1000/1000/1000)</t>
  </si>
  <si>
    <t>=COUNTIF(J$3:OFFSET(J46,-1,0),"Subtotal:")+1</t>
  </si>
  <si>
    <t>=IF(OFFSET(B46,1,0)&lt;&gt;"",OFFSET(B46,1,0),"")</t>
  </si>
  <si>
    <t>=LEFT(F46,3)</t>
  </si>
  <si>
    <t>46511</t>
  </si>
  <si>
    <t>=IF(SUM(M46:N46)=0,"",SUM(M46:N46))</t>
  </si>
  <si>
    <t>=O46</t>
  </si>
  <si>
    <t>=R46-7</t>
  </si>
  <si>
    <t>=IFERROR(IF(J46*T46&lt;&gt;0,J46-T46,""),"")</t>
  </si>
  <si>
    <t>=IF(U46&lt;&gt;"",IF(U46&gt;28,"Too early",IF(U46&lt;14,"Too late","")),"")</t>
  </si>
  <si>
    <t>=IF(OFFSET(X46,1,0)="",R46,OFFSET(X46,1,0))</t>
  </si>
  <si>
    <t>=IFERROR(IF(J46*Z46&lt;&gt;0,J46-Z46,""),"")</t>
  </si>
  <si>
    <t>=IF(AA46&lt;&gt;"",IF(AA46&gt;28,"Too early",IF(AA46&lt;14,"Too late","")),"")</t>
  </si>
  <si>
    <t>=IF(AI46="","",AI46*AJ46*AK46/1000/1000/1000)</t>
  </si>
  <si>
    <t>=COUNTIF(J$3:OFFSET(J47,-1,0),"Subtotal:")+1</t>
  </si>
  <si>
    <t>=IF(OFFSET(B47,1,0)&lt;&gt;"",OFFSET(B47,1,0),"")</t>
  </si>
  <si>
    <t>=LEFT(F47,3)</t>
  </si>
  <si>
    <t>46524</t>
  </si>
  <si>
    <t>=IF(SUM(M47:N47)=0,"",SUM(M47:N47))</t>
  </si>
  <si>
    <t>=O47</t>
  </si>
  <si>
    <t>=R47-7</t>
  </si>
  <si>
    <t>=IFERROR(IF(J47*T47&lt;&gt;0,J47-T47,""),"")</t>
  </si>
  <si>
    <t>=IF(U47&lt;&gt;"",IF(U47&gt;28,"Too early",IF(U47&lt;14,"Too late","")),"")</t>
  </si>
  <si>
    <t>=IF(OFFSET(X47,1,0)="",R47,OFFSET(X47,1,0))</t>
  </si>
  <si>
    <t>=IFERROR(IF(J47*Z47&lt;&gt;0,J47-Z47,""),"")</t>
  </si>
  <si>
    <t>=IF(AA47&lt;&gt;"",IF(AA47&gt;28,"Too early",IF(AA47&lt;14,"Too late","")),"")</t>
  </si>
  <si>
    <t>=IF(AI47="","",AI47*AJ47*AK47/1000/1000/1000)</t>
  </si>
  <si>
    <t>=COUNTIF(J$3:OFFSET(J48,-1,0),"Subtotal:")+1</t>
  </si>
  <si>
    <t>46526</t>
  </si>
  <si>
    <t>=R48-7</t>
  </si>
  <si>
    <t>=IFERROR(IF(J48*T48&lt;&gt;0,J48-T48,""),"")</t>
  </si>
  <si>
    <t>=IF(U48&lt;&gt;"",IF(U48&gt;28,"Too early",IF(U48&lt;14,"Too late","")),"")</t>
  </si>
  <si>
    <t>=IFERROR(IF(J48*Z48&lt;&gt;0,J48-Z48,""),"")</t>
  </si>
  <si>
    <t>=IF(AA48&lt;&gt;"",IF(AA48&gt;28,"Too early",IF(AA48&lt;14,"Too late","")),"")</t>
  </si>
  <si>
    <t>=COUNTIF(J$3:OFFSET(J49,-1,0),"Subtotal:")+1</t>
  </si>
  <si>
    <t>=IF(OFFSET(B49,1,0)&lt;&gt;"",OFFSET(B49,1,0),"")</t>
  </si>
  <si>
    <t>=LEFT(F49,3)</t>
  </si>
  <si>
    <t>46522</t>
  </si>
  <si>
    <t>=IF(SUM(M49:N49)=0,"",SUM(M49:N49))</t>
  </si>
  <si>
    <t>=O49</t>
  </si>
  <si>
    <t>=R49-7</t>
  </si>
  <si>
    <t>=IFERROR(IF(J49*T49&lt;&gt;0,J49-T49,""),"")</t>
  </si>
  <si>
    <t>=IF(U49&lt;&gt;"",IF(U49&gt;28,"Too early",IF(U49&lt;14,"Too late","")),"")</t>
  </si>
  <si>
    <t>=IF(OFFSET(X49,1,0)="",R49,OFFSET(X49,1,0))</t>
  </si>
  <si>
    <t>=IFERROR(IF(J49*Z49&lt;&gt;0,J49-Z49,""),"")</t>
  </si>
  <si>
    <t>=IF(AA49&lt;&gt;"",IF(AA49&gt;28,"Too early",IF(AA49&lt;14,"Too late","")),"")</t>
  </si>
  <si>
    <t>=IF(AI49="","",AI49*AJ49*AK49/1000/1000/1000)</t>
  </si>
  <si>
    <t>=COUNTIF(J$3:OFFSET(J50,-1,0),"Subtotal:")+1</t>
  </si>
  <si>
    <t>=IF(OFFSET(B50,1,0)&lt;&gt;"",OFFSET(B50,1,0),"")</t>
  </si>
  <si>
    <t>=LEFT(F50,3)</t>
  </si>
  <si>
    <t>=IF(SUM(M50:N50)=0,"",SUM(M50:N50))</t>
  </si>
  <si>
    <t>=O50</t>
  </si>
  <si>
    <t>=R50-7</t>
  </si>
  <si>
    <t>=IFERROR(IF(J50*T50&lt;&gt;0,J50-T50,""),"")</t>
  </si>
  <si>
    <t>=IF(U50&lt;&gt;"",IF(U50&gt;28,"Too early",IF(U50&lt;14,"Too late","")),"")</t>
  </si>
  <si>
    <t>=IF(OFFSET(X50,1,0)="",R50,OFFSET(X50,1,0))</t>
  </si>
  <si>
    <t>=IFERROR(IF(J50*Z50&lt;&gt;0,J50-Z50,""),"")</t>
  </si>
  <si>
    <t>=IF(AA50&lt;&gt;"",IF(AA50&gt;28,"Too early",IF(AA50&lt;14,"Too late","")),"")</t>
  </si>
  <si>
    <t>=IF(AI50="","",AI50*AJ50*AK50/1000/1000/1000)</t>
  </si>
  <si>
    <t>=COUNTIF(J$3:OFFSET(J51,-1,0),"Subtotal:")+1</t>
  </si>
  <si>
    <t>=IF(OFFSET(B51,1,0)&lt;&gt;"",OFFSET(B51,1,0),"")</t>
  </si>
  <si>
    <t>=LEFT(F51,3)</t>
  </si>
  <si>
    <t>=IF(SUM(M51:N51)=0,"",SUM(M51:N51))</t>
  </si>
  <si>
    <t>=O51</t>
  </si>
  <si>
    <t>=R51-7</t>
  </si>
  <si>
    <t>=IFERROR(IF(J51*T51&lt;&gt;0,J51-T51,""),"")</t>
  </si>
  <si>
    <t>=IF(U51&lt;&gt;"",IF(U51&gt;28,"Too early",IF(U51&lt;14,"Too late","")),"")</t>
  </si>
  <si>
    <t>=IF(OFFSET(X51,1,0)="",R51,OFFSET(X51,1,0))</t>
  </si>
  <si>
    <t>=IFERROR(IF(J51*Z51&lt;&gt;0,J51-Z51,""),"")</t>
  </si>
  <si>
    <t>=IF(AA51&lt;&gt;"",IF(AA51&gt;28,"Too early",IF(AA51&lt;14,"Too late","")),"")</t>
  </si>
  <si>
    <t>=IF(AI51="","",AI51*AJ51*AK51/1000/1000/1000)</t>
  </si>
  <si>
    <t>=COUNTIF(J$3:OFFSET(J52,-1,0),"Subtotal:")+1</t>
  </si>
  <si>
    <t>=IF(OFFSET(B52,1,0)&lt;&gt;"",OFFSET(B52,1,0),"")</t>
  </si>
  <si>
    <t>=LEFT(F52,3)</t>
  </si>
  <si>
    <t>=IF(SUM(M52:N52)=0,"",SUM(M52:N52))</t>
  </si>
  <si>
    <t>=O52</t>
  </si>
  <si>
    <t>=R52-7</t>
  </si>
  <si>
    <t>=IFERROR(IF(J52*T52&lt;&gt;0,J52-T52,""),"")</t>
  </si>
  <si>
    <t>=IF(U52&lt;&gt;"",IF(U52&gt;28,"Too early",IF(U52&lt;14,"Too late","")),"")</t>
  </si>
  <si>
    <t>=IF(OFFSET(X52,1,0)="",R52,OFFSET(X52,1,0))</t>
  </si>
  <si>
    <t>=IFERROR(IF(J52*Z52&lt;&gt;0,J52-Z52,""),"")</t>
  </si>
  <si>
    <t>=IF(AA52&lt;&gt;"",IF(AA52&gt;28,"Too early",IF(AA52&lt;14,"Too late","")),"")</t>
  </si>
  <si>
    <t>=IF(AI52="","",AI52*AJ52*AK52/1000/1000/1000)</t>
  </si>
  <si>
    <t>=IF(SUM(M53:N53)=0,"",SUM(M53:N53))</t>
  </si>
  <si>
    <t>=IF(AI53="","",AI53*AJ53*AK53/1000/1000/1000)</t>
  </si>
  <si>
    <t>=COUNTIF(J$3:OFFSET(J54,-1,0),"Subtotal:")+1</t>
  </si>
  <si>
    <t>=IF(OFFSET(B54,1,0)&lt;&gt;"",OFFSET(B54,1,0),"")</t>
  </si>
  <si>
    <t>=LEFT(F54,3)</t>
  </si>
  <si>
    <t>=IF(SUM(M54:N54)=0,"",SUM(M54:N54))</t>
  </si>
  <si>
    <t>=O54</t>
  </si>
  <si>
    <t>=R54-7</t>
  </si>
  <si>
    <t>=IFERROR(IF(J54*T54&lt;&gt;0,J54-T54,""),"")</t>
  </si>
  <si>
    <t>=IF(U54&lt;&gt;"",IF(U54&gt;28,"Too early",IF(U54&lt;14,"Too late","")),"")</t>
  </si>
  <si>
    <t>=IF(OFFSET(X54,1,0)="",R54,OFFSET(X54,1,0))</t>
  </si>
  <si>
    <t>=IFERROR(IF(J54*Z54&lt;&gt;0,J54-Z54,""),"")</t>
  </si>
  <si>
    <t>=IF(AA54&lt;&gt;"",IF(AA54&gt;28,"Too early",IF(AA54&lt;14,"Too late","")),"")</t>
  </si>
  <si>
    <t>=IF(AI54="","",AI54*AJ54*AK54/1000/1000/1000)</t>
  </si>
  <si>
    <t>=COUNTIF(J$3:OFFSET(J55,-1,0),"Subtotal:")+1</t>
  </si>
  <si>
    <t>=IF(OFFSET(B55,1,0)&lt;&gt;"",OFFSET(B55,1,0),"")</t>
  </si>
  <si>
    <t>=LEFT(F55,3)</t>
  </si>
  <si>
    <t>46532</t>
  </si>
  <si>
    <t>=IF(SUM(M55:N55)=0,"",SUM(M55:N55))</t>
  </si>
  <si>
    <t>=R55-7</t>
  </si>
  <si>
    <t>=IFERROR(IF(J55*T55&lt;&gt;0,J55-T55,""),"")</t>
  </si>
  <si>
    <t>=IF(U55&lt;&gt;"",IF(U55&gt;28,"Too early",IF(U55&lt;14,"Too late","")),"")</t>
  </si>
  <si>
    <t>=IF(OFFSET(X55,1,0)="",R55,OFFSET(X55,1,0))</t>
  </si>
  <si>
    <t>=IFERROR(IF(J55*Z55&lt;&gt;0,J55-Z55,""),"")</t>
  </si>
  <si>
    <t>=IF(AA55&lt;&gt;"",IF(AA55&gt;28,"Too early",IF(AA55&lt;14,"Too late","")),"")</t>
  </si>
  <si>
    <t>=IF(AI55="","",AI55*AJ55*AK55/1000/1000/1000)</t>
  </si>
  <si>
    <t>=COUNTIF(J$3:OFFSET(J56,-1,0),"Subtotal:")+1</t>
  </si>
  <si>
    <t>=IF(OFFSET(B56,1,0)&lt;&gt;"",OFFSET(B56,1,0),"")</t>
  </si>
  <si>
    <t>=LEFT(F56,3)</t>
  </si>
  <si>
    <t>46533</t>
  </si>
  <si>
    <t>=IF(SUM(M56:N56)=0,"",SUM(M56:N56))</t>
  </si>
  <si>
    <t>=R56-7</t>
  </si>
  <si>
    <t>=IFERROR(IF(J56*T56&lt;&gt;0,J56-T56,""),"")</t>
  </si>
  <si>
    <t>=IF(U56&lt;&gt;"",IF(U56&gt;28,"Too early",IF(U56&lt;14,"Too late","")),"")</t>
  </si>
  <si>
    <t>=IF(OFFSET(X56,1,0)="",R56,OFFSET(X56,1,0))</t>
  </si>
  <si>
    <t>=IFERROR(IF(J56*Z56&lt;&gt;0,J56-Z56,""),"")</t>
  </si>
  <si>
    <t>=IF(AA56&lt;&gt;"",IF(AA56&gt;28,"Too early",IF(AA56&lt;14,"Too late","")),"")</t>
  </si>
  <si>
    <t>=IF(AI56="","",AI56*AJ56*AK56/1000/1000/1000)</t>
  </si>
  <si>
    <t>=COUNTIF(J$3:OFFSET(J57,-1,0),"Subtotal:")+1</t>
  </si>
  <si>
    <t>=IF(OFFSET(B57,1,0)&lt;&gt;"",OFFSET(B57,1,0),"")</t>
  </si>
  <si>
    <t>=LEFT(F57,3)</t>
  </si>
  <si>
    <t>46536</t>
  </si>
  <si>
    <t>=IF(SUM(M57:N57)=0,"",SUM(M57:N57))</t>
  </si>
  <si>
    <t>=R57-7</t>
  </si>
  <si>
    <t>=IFERROR(IF(J57*T57&lt;&gt;0,J57-T57,""),"")</t>
  </si>
  <si>
    <t>=IF(U57&lt;&gt;"",IF(U57&gt;28,"Too early",IF(U57&lt;14,"Too late","")),"")</t>
  </si>
  <si>
    <t>=IF(OFFSET(X57,1,0)="",R57,OFFSET(X57,1,0))</t>
  </si>
  <si>
    <t>=IFERROR(IF(J57*Z57&lt;&gt;0,J57-Z57,""),"")</t>
  </si>
  <si>
    <t>=IF(AA57&lt;&gt;"",IF(AA57&gt;28,"Too early",IF(AA57&lt;14,"Too late","")),"")</t>
  </si>
  <si>
    <t>=IF(AI57="","",AI57*AJ57*AK57/1000/1000/1000)</t>
  </si>
  <si>
    <t>=COUNTIF(J$3:OFFSET(J58,-1,0),"Subtotal:")+1</t>
  </si>
  <si>
    <t>=IF(OFFSET(B58,1,0)&lt;&gt;"",OFFSET(B58,1,0),"")</t>
  </si>
  <si>
    <t>=LEFT(F58,3)</t>
  </si>
  <si>
    <t>46539</t>
  </si>
  <si>
    <t>=IF(SUM(M58:N58)=0,"",SUM(M58:N58))</t>
  </si>
  <si>
    <t>=R58-7</t>
  </si>
  <si>
    <t>=IFERROR(IF(J58*T58&lt;&gt;0,J58-T58,""),"")</t>
  </si>
  <si>
    <t>=IF(U58&lt;&gt;"",IF(U58&gt;28,"Too early",IF(U58&lt;14,"Too late","")),"")</t>
  </si>
  <si>
    <t>=IF(OFFSET(X58,1,0)="",R58,OFFSET(X58,1,0))</t>
  </si>
  <si>
    <t>=IFERROR(IF(J58*Z58&lt;&gt;0,J58-Z58,""),"")</t>
  </si>
  <si>
    <t>=IF(AA58&lt;&gt;"",IF(AA58&gt;28,"Too early",IF(AA58&lt;14,"Too late","")),"")</t>
  </si>
  <si>
    <t>=IF(AI58="","",AI58*AJ58*AK58/1000/1000/1000)</t>
  </si>
  <si>
    <t>=COUNTIF(J$3:OFFSET(J59,-1,0),"Subtotal:")+1</t>
  </si>
  <si>
    <t>=IF(OFFSET(B59,1,0)&lt;&gt;"",OFFSET(B59,1,0),"")</t>
  </si>
  <si>
    <t>=LEFT(F59,3)</t>
  </si>
  <si>
    <t>46540</t>
  </si>
  <si>
    <t>=IF(SUM(M59:N59)=0,"",SUM(M59:N59))</t>
  </si>
  <si>
    <t>=O59</t>
  </si>
  <si>
    <t>=R59-7</t>
  </si>
  <si>
    <t>=IFERROR(IF(J59*T59&lt;&gt;0,J59-T59,""),"")</t>
  </si>
  <si>
    <t>=IF(U59&lt;&gt;"",IF(U59&gt;28,"Too early",IF(U59&lt;14,"Too late","")),"")</t>
  </si>
  <si>
    <t>=IF(OFFSET(X59,1,0)="",R59,OFFSET(X59,1,0))</t>
  </si>
  <si>
    <t>=IFERROR(IF(J59*Z59&lt;&gt;0,J59-Z59,""),"")</t>
  </si>
  <si>
    <t>=IF(AA59&lt;&gt;"",IF(AA59&gt;28,"Too early",IF(AA59&lt;14,"Too late","")),"")</t>
  </si>
  <si>
    <t>=IF(AI59="","",AI59*AJ59*AK59/1000/1000/1000)</t>
  </si>
  <si>
    <t>=COUNTIF(J$3:OFFSET(J60,-1,0),"Subtotal:")+1</t>
  </si>
  <si>
    <t>=IF(OFFSET(B60,1,0)&lt;&gt;"",OFFSET(B60,1,0),"")</t>
  </si>
  <si>
    <t>=LEFT(F60,3)</t>
  </si>
  <si>
    <t>46543</t>
  </si>
  <si>
    <t>=IF(SUM(M60:N60)=0,"",SUM(M60:N60))</t>
  </si>
  <si>
    <t>=O60</t>
  </si>
  <si>
    <t>=R60-7</t>
  </si>
  <si>
    <t>=IFERROR(IF(J60*T60&lt;&gt;0,J60-T60,""),"")</t>
  </si>
  <si>
    <t>=IF(U60&lt;&gt;"",IF(U60&gt;28,"Too early",IF(U60&lt;14,"Too late","")),"")</t>
  </si>
  <si>
    <t>=IF(OFFSET(X60,1,0)="",R60,OFFSET(X60,1,0))</t>
  </si>
  <si>
    <t>=IFERROR(IF(J60*Z60&lt;&gt;0,J60-Z60,""),"")</t>
  </si>
  <si>
    <t>=IF(AA60&lt;&gt;"",IF(AA60&gt;28,"Too early",IF(AA60&lt;14,"Too late","")),"")</t>
  </si>
  <si>
    <t>=IF(AI60="","",AI60*AJ60*AK60/1000/1000/1000)</t>
  </si>
  <si>
    <t>=COUNTIF(J$3:OFFSET(J61,-1,0),"Subtotal:")+1</t>
  </si>
  <si>
    <t>=IF(OFFSET(B61,1,0)&lt;&gt;"",OFFSET(B61,1,0),"")</t>
  </si>
  <si>
    <t>=LEFT(F61,3)</t>
  </si>
  <si>
    <t>46545</t>
  </si>
  <si>
    <t>=IF(SUM(M61:N61)=0,"",SUM(M61:N61))</t>
  </si>
  <si>
    <t>=O61</t>
  </si>
  <si>
    <t>=R61-7</t>
  </si>
  <si>
    <t>=IFERROR(IF(J61*T61&lt;&gt;0,J61-T61,""),"")</t>
  </si>
  <si>
    <t>=IF(U61&lt;&gt;"",IF(U61&gt;28,"Too early",IF(U61&lt;14,"Too late","")),"")</t>
  </si>
  <si>
    <t>=IF(OFFSET(X61,1,0)="",R61,OFFSET(X61,1,0))</t>
  </si>
  <si>
    <t>=IFERROR(IF(J61*Z61&lt;&gt;0,J61-Z61,""),"")</t>
  </si>
  <si>
    <t>=IF(AA61&lt;&gt;"",IF(AA61&gt;28,"Too early",IF(AA61&lt;14,"Too late","")),"")</t>
  </si>
  <si>
    <t>=IF(AI61="","",AI61*AJ61*AK61/1000/1000/1000)</t>
  </si>
  <si>
    <t>=COUNTIF(J$3:OFFSET(J62,-1,0),"Subtotal:")+1</t>
  </si>
  <si>
    <t>=IF(OFFSET(B62,1,0)&lt;&gt;"",OFFSET(B62,1,0),"")</t>
  </si>
  <si>
    <t>=LEFT(F62,3)</t>
  </si>
  <si>
    <t>=IF(SUM(M62:N62)=0,"",SUM(M62:N62))</t>
  </si>
  <si>
    <t>=O62</t>
  </si>
  <si>
    <t>=R62-7</t>
  </si>
  <si>
    <t>=IFERROR(IF(J62*T62&lt;&gt;0,J62-T62,""),"")</t>
  </si>
  <si>
    <t>=IF(U62&lt;&gt;"",IF(U62&gt;28,"Too early",IF(U62&lt;14,"Too late","")),"")</t>
  </si>
  <si>
    <t>=IF(OFFSET(X62,1,0)="",R62,OFFSET(X62,1,0))</t>
  </si>
  <si>
    <t>=IFERROR(IF(J62*Z62&lt;&gt;0,J62-Z62,""),"")</t>
  </si>
  <si>
    <t>=IF(AA62&lt;&gt;"",IF(AA62&gt;28,"Too early",IF(AA62&lt;14,"Too late","")),"")</t>
  </si>
  <si>
    <t>=IF(AI62="","",AI62*AJ62*AK62/1000/1000/1000)</t>
  </si>
  <si>
    <t>=COUNTIF(J$3:OFFSET(J63,-1,0),"Subtotal:")+1</t>
  </si>
  <si>
    <t>=IF(OFFSET(B63,1,0)&lt;&gt;"",OFFSET(B63,1,0),"")</t>
  </si>
  <si>
    <t>=LEFT(F63,3)</t>
  </si>
  <si>
    <t>=IF(SUM(M63:N63)=0,"",SUM(M63:N63))</t>
  </si>
  <si>
    <t>=O63</t>
  </si>
  <si>
    <t>=R63-7</t>
  </si>
  <si>
    <t>=IFERROR(IF(J63*T63&lt;&gt;0,J63-T63,""),"")</t>
  </si>
  <si>
    <t>=IF(U63&lt;&gt;"",IF(U63&gt;28,"Too early",IF(U63&lt;14,"Too late","")),"")</t>
  </si>
  <si>
    <t>=IF(OFFSET(X63,1,0)="",R63,OFFSET(X63,1,0))</t>
  </si>
  <si>
    <t>=IFERROR(IF(J63*Z63&lt;&gt;0,J63-Z63,""),"")</t>
  </si>
  <si>
    <t>=IF(AA63&lt;&gt;"",IF(AA63&gt;28,"Too early",IF(AA63&lt;14,"Too late","")),"")</t>
  </si>
  <si>
    <t>=IF(AI63="","",AI63*AJ63*AK63/1000/1000/1000)</t>
  </si>
  <si>
    <t>=COUNTIF(J$3:OFFSET(J64,-1,0),"Subtotal:")+1</t>
  </si>
  <si>
    <t>=IF(OFFSET(B64,1,0)&lt;&gt;"",OFFSET(B64,1,0),"")</t>
  </si>
  <si>
    <t>=LEFT(F64,3)</t>
  </si>
  <si>
    <t>46573</t>
  </si>
  <si>
    <t>=IF(SUM(M64:N64)=0,"",SUM(M64:N64))</t>
  </si>
  <si>
    <t>=O64</t>
  </si>
  <si>
    <t>=R64-7</t>
  </si>
  <si>
    <t>=IFERROR(IF(J64*T64&lt;&gt;0,J64-T64,""),"")</t>
  </si>
  <si>
    <t>=IF(U64&lt;&gt;"",IF(U64&gt;28,"Too early",IF(U64&lt;14,"Too late","")),"")</t>
  </si>
  <si>
    <t>=IF(OFFSET(X64,1,0)="",R64,OFFSET(X64,1,0))</t>
  </si>
  <si>
    <t>=IFERROR(IF(J64*Z64&lt;&gt;0,J64-Z64,""),"")</t>
  </si>
  <si>
    <t>=IF(AA64&lt;&gt;"",IF(AA64&gt;28,"Too early",IF(AA64&lt;14,"Too late","")),"")</t>
  </si>
  <si>
    <t>=IF(AI64="","",AI64*AJ64*AK64/1000/1000/1000)</t>
  </si>
  <si>
    <t>=COUNTIF(J$3:OFFSET(J65,-1,0),"Subtotal:")+1</t>
  </si>
  <si>
    <t>=IF(OFFSET(B65,1,0)&lt;&gt;"",OFFSET(B65,1,0),"")</t>
  </si>
  <si>
    <t>=LEFT(F65,3)</t>
  </si>
  <si>
    <t>=IF(SUM(M65:N65)=0,"",SUM(M65:N65))</t>
  </si>
  <si>
    <t>=O65</t>
  </si>
  <si>
    <t>=R65-7</t>
  </si>
  <si>
    <t>=IFERROR(IF(J65*T65&lt;&gt;0,J65-T65,""),"")</t>
  </si>
  <si>
    <t>=IF(U65&lt;&gt;"",IF(U65&gt;28,"Too early",IF(U65&lt;14,"Too late","")),"")</t>
  </si>
  <si>
    <t>=IF(OFFSET(X65,1,0)="",R65,OFFSET(X65,1,0))</t>
  </si>
  <si>
    <t>=IFERROR(IF(J65*Z65&lt;&gt;0,J65-Z65,""),"")</t>
  </si>
  <si>
    <t>=IF(AA65&lt;&gt;"",IF(AA65&gt;28,"Too early",IF(AA65&lt;14,"Too late","")),"")</t>
  </si>
  <si>
    <t>=IF(AI65="","",AI65*AJ65*AK65/1000/1000/1000)</t>
  </si>
  <si>
    <t>=IF(SUM(M66:N66)=0,"",SUM(M66:N66))</t>
  </si>
  <si>
    <t>=IF(AI66="","",AI66*AJ66*AK66/1000/1000/1000)</t>
  </si>
  <si>
    <t>=COUNTIF(J$3:OFFSET(J67,-1,0),"Subtotal:")+1</t>
  </si>
  <si>
    <t>=IF(OFFSET(B67,1,0)&lt;&gt;"",OFFSET(B67,1,0),"")</t>
  </si>
  <si>
    <t>=LEFT(F67,3)</t>
  </si>
  <si>
    <t>=IF(SUM(M67:N67)=0,"",SUM(M67:N67))</t>
  </si>
  <si>
    <t>=R67-7</t>
  </si>
  <si>
    <t>=IFERROR(IF(J67*T67&lt;&gt;0,J67-T67,""),"")</t>
  </si>
  <si>
    <t>=IF(U67&lt;&gt;"",IF(U67&gt;28,"Too early",IF(U67&lt;14,"Too late","")),"")</t>
  </si>
  <si>
    <t>=IF(OFFSET(X67,1,0)="",R67,OFFSET(X67,1,0))</t>
  </si>
  <si>
    <t>=IFERROR(IF(J67*Z67&lt;&gt;0,J67-Z67,""),"")</t>
  </si>
  <si>
    <t>=IF(AA67&lt;&gt;"",IF(AA67&gt;28,"Too early",IF(AA67&lt;14,"Too late","")),"")</t>
  </si>
  <si>
    <t>=IF(AI67="","",AI67*AJ67*AK67/1000/1000/1000)</t>
  </si>
  <si>
    <t>=COUNTIF(J$3:OFFSET(J68,-1,0),"Subtotal:")+1</t>
  </si>
  <si>
    <t>46549</t>
  </si>
  <si>
    <t>=R68-7</t>
  </si>
  <si>
    <t>=IFERROR(IF(J68*T68&lt;&gt;0,J68-T68,""),"")</t>
  </si>
  <si>
    <t>=IF(U68&lt;&gt;"",IF(U68&gt;28,"Too early",IF(U68&lt;14,"Too late","")),"")</t>
  </si>
  <si>
    <t>=IFERROR(IF(J68*Z68&lt;&gt;0,J68-Z68,""),"")</t>
  </si>
  <si>
    <t>=IF(AA68&lt;&gt;"",IF(AA68&gt;28,"Too early",IF(AA68&lt;14,"Too late","")),"")</t>
  </si>
  <si>
    <t>=COUNTIF(J$3:OFFSET(J69,-1,0),"Subtotal:")+1</t>
  </si>
  <si>
    <t>=IF(OFFSET(B69,1,0)&lt;&gt;"",OFFSET(B69,1,0),"")</t>
  </si>
  <si>
    <t>=LEFT(F69,3)</t>
  </si>
  <si>
    <t>=IF(SUM(M69:N69)=0,"",SUM(M69:N69))</t>
  </si>
  <si>
    <t>=R69-7</t>
  </si>
  <si>
    <t>=IFERROR(IF(J69*T69&lt;&gt;0,J69-T69,""),"")</t>
  </si>
  <si>
    <t>=IF(U69&lt;&gt;"",IF(U69&gt;28,"Too early",IF(U69&lt;14,"Too late","")),"")</t>
  </si>
  <si>
    <t>=IF(OFFSET(X69,1,0)="",R69,OFFSET(X69,1,0))</t>
  </si>
  <si>
    <t>=IFERROR(IF(J69*Z69&lt;&gt;0,J69-Z69,""),"")</t>
  </si>
  <si>
    <t>=IF(AA69&lt;&gt;"",IF(AA69&gt;28,"Too early",IF(AA69&lt;14,"Too late","")),"")</t>
  </si>
  <si>
    <t>=IF(AI69="","",AI69*AJ69*AK69/1000/1000/1000)</t>
  </si>
  <si>
    <t>=COUNTIF(J$3:OFFSET(J70,-1,0),"Subtotal:")+1</t>
  </si>
  <si>
    <t>=IF(OFFSET(B70,1,0)&lt;&gt;"",OFFSET(B70,1,0),"")</t>
  </si>
  <si>
    <t>=LEFT(F70,3)</t>
  </si>
  <si>
    <t>=IF(SUM(M70:N70)=0,"",SUM(M70:N70))</t>
  </si>
  <si>
    <t>=R70-7</t>
  </si>
  <si>
    <t>=IFERROR(IF(J70*T70&lt;&gt;0,J70-T70,""),"")</t>
  </si>
  <si>
    <t>=IF(U70&lt;&gt;"",IF(U70&gt;28,"Too early",IF(U70&lt;14,"Too late","")),"")</t>
  </si>
  <si>
    <t>=IF(OFFSET(X70,1,0)="",R70,OFFSET(X70,1,0))</t>
  </si>
  <si>
    <t>=IFERROR(IF(J70*Z70&lt;&gt;0,J70-Z70,""),"")</t>
  </si>
  <si>
    <t>=IF(AA70&lt;&gt;"",IF(AA70&gt;28,"Too early",IF(AA70&lt;14,"Too late","")),"")</t>
  </si>
  <si>
    <t>=IF(AI70="","",AI70*AJ70*AK70/1000/1000/1000)</t>
  </si>
  <si>
    <t>=COUNTIF(J$3:OFFSET(J71,-1,0),"Subtotal:")+1</t>
  </si>
  <si>
    <t>=IF(OFFSET(B71,1,0)&lt;&gt;"",OFFSET(B71,1,0),"")</t>
  </si>
  <si>
    <t>=LEFT(F71,3)</t>
  </si>
  <si>
    <t>=IF(SUM(M71:N71)=0,"",SUM(M71:N71))</t>
  </si>
  <si>
    <t>=R71-7</t>
  </si>
  <si>
    <t>=IFERROR(IF(J71*T71&lt;&gt;0,J71-T71,""),"")</t>
  </si>
  <si>
    <t>=IF(U71&lt;&gt;"",IF(U71&gt;28,"Too early",IF(U71&lt;14,"Too late","")),"")</t>
  </si>
  <si>
    <t>=IF(OFFSET(X71,1,0)="",R71,OFFSET(X71,1,0))</t>
  </si>
  <si>
    <t>=IFERROR(IF(J71*Z71&lt;&gt;0,J71-Z71,""),"")</t>
  </si>
  <si>
    <t>=IF(AA71&lt;&gt;"",IF(AA71&gt;28,"Too early",IF(AA71&lt;14,"Too late","")),"")</t>
  </si>
  <si>
    <t>=IF(AI71="","",AI71*AJ71*AK71/1000/1000/1000)</t>
  </si>
  <si>
    <t>=COUNTIF(J$3:OFFSET(J72,-1,0),"Subtotal:")+1</t>
  </si>
  <si>
    <t>=IF(OFFSET(B72,1,0)&lt;&gt;"",OFFSET(B72,1,0),"")</t>
  </si>
  <si>
    <t>=LEFT(F72,3)</t>
  </si>
  <si>
    <t>46557</t>
  </si>
  <si>
    <t>=IF(SUM(M72:N72)=0,"",SUM(M72:N72))</t>
  </si>
  <si>
    <t>=O72</t>
  </si>
  <si>
    <t>=R72-7</t>
  </si>
  <si>
    <t>=IFERROR(IF(J72*T72&lt;&gt;0,J72-T72,""),"")</t>
  </si>
  <si>
    <t>=IF(U72&lt;&gt;"",IF(U72&gt;28,"Too early",IF(U72&lt;14,"Too late","")),"")</t>
  </si>
  <si>
    <t>=IF(OFFSET(X72,1,0)="",R72,OFFSET(X72,1,0))</t>
  </si>
  <si>
    <t>=IFERROR(IF(J72*Z72&lt;&gt;0,J72-Z72,""),"")</t>
  </si>
  <si>
    <t>=IF(AA72&lt;&gt;"",IF(AA72&gt;28,"Too early",IF(AA72&lt;14,"Too late","")),"")</t>
  </si>
  <si>
    <t>=IF(AI72="","",AI72*AJ72*AK72/1000/1000/1000)</t>
  </si>
  <si>
    <t>=COUNTIF(J$3:OFFSET(J73,-1,0),"Subtotal:")+1</t>
  </si>
  <si>
    <t>=IF(OFFSET(B73,1,0)&lt;&gt;"",OFFSET(B73,1,0),"")</t>
  </si>
  <si>
    <t>=LEFT(F73,3)</t>
  </si>
  <si>
    <t>=IF(SUM(M73:N73)=0,"",SUM(M73:N73))</t>
  </si>
  <si>
    <t>=O73</t>
  </si>
  <si>
    <t>=R73-7</t>
  </si>
  <si>
    <t>=IFERROR(IF(J73*T73&lt;&gt;0,J73-T73,""),"")</t>
  </si>
  <si>
    <t>=IF(U73&lt;&gt;"",IF(U73&gt;28,"Too early",IF(U73&lt;14,"Too late","")),"")</t>
  </si>
  <si>
    <t>=IF(OFFSET(X73,1,0)="",R73,OFFSET(X73,1,0))</t>
  </si>
  <si>
    <t>=IFERROR(IF(J73*Z73&lt;&gt;0,J73-Z73,""),"")</t>
  </si>
  <si>
    <t>=IF(AA73&lt;&gt;"",IF(AA73&gt;28,"Too early",IF(AA73&lt;14,"Too late","")),"")</t>
  </si>
  <si>
    <t>=IF(AI73="","",AI73*AJ73*AK73/1000/1000/1000)</t>
  </si>
  <si>
    <t>=COUNTIF(J$3:OFFSET(J74,-1,0),"Subtotal:")+1</t>
  </si>
  <si>
    <t>=IF(OFFSET(B74,1,0)&lt;&gt;"",OFFSET(B74,1,0),"")</t>
  </si>
  <si>
    <t>=LEFT(F74,3)</t>
  </si>
  <si>
    <t>46561</t>
  </si>
  <si>
    <t>=IF(SUM(M74:N74)=0,"",SUM(M74:N74))</t>
  </si>
  <si>
    <t>=O74</t>
  </si>
  <si>
    <t>=R74-7</t>
  </si>
  <si>
    <t>=IFERROR(IF(J74*T74&lt;&gt;0,J74-T74,""),"")</t>
  </si>
  <si>
    <t>=IF(U74&lt;&gt;"",IF(U74&gt;28,"Too early",IF(U74&lt;14,"Too late","")),"")</t>
  </si>
  <si>
    <t>=IF(OFFSET(X74,1,0)="",R74,OFFSET(X74,1,0))</t>
  </si>
  <si>
    <t>=IFERROR(IF(J74*Z74&lt;&gt;0,J74-Z74,""),"")</t>
  </si>
  <si>
    <t>=IF(AA74&lt;&gt;"",IF(AA74&gt;28,"Too early",IF(AA74&lt;14,"Too late","")),"")</t>
  </si>
  <si>
    <t>=IF(AI74="","",AI74*AJ74*AK74/1000/1000/1000)</t>
  </si>
  <si>
    <t>=COUNTIF(J$3:OFFSET(J75,-1,0),"Subtotal:")+1</t>
  </si>
  <si>
    <t>=IF(OFFSET(B75,1,0)&lt;&gt;"",OFFSET(B75,1,0),"")</t>
  </si>
  <si>
    <t>=LEFT(F75,3)</t>
  </si>
  <si>
    <t>=IF(SUM(M75:N75)=0,"",SUM(M75:N75))</t>
  </si>
  <si>
    <t>=O75</t>
  </si>
  <si>
    <t>=R75-7</t>
  </si>
  <si>
    <t>=IFERROR(IF(J75*T75&lt;&gt;0,J75-T75,""),"")</t>
  </si>
  <si>
    <t>=IF(U75&lt;&gt;"",IF(U75&gt;28,"Too early",IF(U75&lt;14,"Too late","")),"")</t>
  </si>
  <si>
    <t>=IF(OFFSET(X75,1,0)="",R75,OFFSET(X75,1,0))</t>
  </si>
  <si>
    <t>=IFERROR(IF(J75*Z75&lt;&gt;0,J75-Z75,""),"")</t>
  </si>
  <si>
    <t>=IF(AA75&lt;&gt;"",IF(AA75&gt;28,"Too early",IF(AA75&lt;14,"Too late","")),"")</t>
  </si>
  <si>
    <t>=IF(AI75="","",AI75*AJ75*AK75/1000/1000/1000)</t>
  </si>
  <si>
    <t>=COUNTIF(J$3:OFFSET(J76,-1,0),"Subtotal:")+1</t>
  </si>
  <si>
    <t>=IF(OFFSET(B76,1,0)&lt;&gt;"",OFFSET(B76,1,0),"")</t>
  </si>
  <si>
    <t>=LEFT(F76,3)</t>
  </si>
  <si>
    <t>=IF(SUM(M76:N76)=0,"",SUM(M76:N76))</t>
  </si>
  <si>
    <t>=O76</t>
  </si>
  <si>
    <t>=R76-7</t>
  </si>
  <si>
    <t>=IFERROR(IF(J76*T76&lt;&gt;0,J76-T76,""),"")</t>
  </si>
  <si>
    <t>=IF(U76&lt;&gt;"",IF(U76&gt;28,"Too early",IF(U76&lt;14,"Too late","")),"")</t>
  </si>
  <si>
    <t>=IF(OFFSET(X76,1,0)="",R76,OFFSET(X76,1,0))</t>
  </si>
  <si>
    <t>=IFERROR(IF(J76*Z76&lt;&gt;0,J76-Z76,""),"")</t>
  </si>
  <si>
    <t>=IF(AA76&lt;&gt;"",IF(AA76&gt;28,"Too early",IF(AA76&lt;14,"Too late","")),"")</t>
  </si>
  <si>
    <t>=IF(AI76="","",AI76*AJ76*AK76/1000/1000/1000)</t>
  </si>
  <si>
    <t>=COUNTIF(J$3:OFFSET(J77,-1,0),"Subtotal:")+1</t>
  </si>
  <si>
    <t>=IF(OFFSET(B77,1,0)&lt;&gt;"",OFFSET(B77,1,0),"")</t>
  </si>
  <si>
    <t>=LEFT(F77,3)</t>
  </si>
  <si>
    <t>46590</t>
  </si>
  <si>
    <t>=IF(SUM(M77:N77)=0,"",SUM(M77:N77))</t>
  </si>
  <si>
    <t>=O77</t>
  </si>
  <si>
    <t>=R77-7</t>
  </si>
  <si>
    <t>=IFERROR(IF(J77*T77&lt;&gt;0,J77-T77,""),"")</t>
  </si>
  <si>
    <t>=IF(U77&lt;&gt;"",IF(U77&gt;28,"Too early",IF(U77&lt;14,"Too late","")),"")</t>
  </si>
  <si>
    <t>=IF(OFFSET(X77,1,0)="",R77,OFFSET(X77,1,0))</t>
  </si>
  <si>
    <t>=IFERROR(IF(J77*Z77&lt;&gt;0,J77-Z77,""),"")</t>
  </si>
  <si>
    <t>=IF(AA77&lt;&gt;"",IF(AA77&gt;28,"Too early",IF(AA77&lt;14,"Too late","")),"")</t>
  </si>
  <si>
    <t>=IF(AI77="","",AI77*AJ77*AK77/1000/1000/1000)</t>
  </si>
  <si>
    <t>=COUNTIF(J$3:OFFSET(J78,-1,0),"Subtotal:")+1</t>
  </si>
  <si>
    <t>=IF(OFFSET(B78,1,0)&lt;&gt;"",OFFSET(B78,1,0),"")</t>
  </si>
  <si>
    <t>=LEFT(F78,3)</t>
  </si>
  <si>
    <t>=IF(SUM(M78:N78)=0,"",SUM(M78:N78))</t>
  </si>
  <si>
    <t>=O78</t>
  </si>
  <si>
    <t>=R78-7</t>
  </si>
  <si>
    <t>=IFERROR(IF(J78*T78&lt;&gt;0,J78-T78,""),"")</t>
  </si>
  <si>
    <t>=IF(U78&lt;&gt;"",IF(U78&gt;28,"Too early",IF(U78&lt;14,"Too late","")),"")</t>
  </si>
  <si>
    <t>=IF(OFFSET(X78,1,0)="",R78,OFFSET(X78,1,0))</t>
  </si>
  <si>
    <t>=IFERROR(IF(J78*Z78&lt;&gt;0,J78-Z78,""),"")</t>
  </si>
  <si>
    <t>=IF(AA78&lt;&gt;"",IF(AA78&gt;28,"Too early",IF(AA78&lt;14,"Too late","")),"")</t>
  </si>
  <si>
    <t>=IF(AI78="","",AI78*AJ78*AK78/1000/1000/1000)</t>
  </si>
  <si>
    <t>=IF(SUM(M79:N79)=0,"",SUM(M79:N79))</t>
  </si>
  <si>
    <t>=IF(AI79="","",AI79*AJ79*AK79/1000/1000/1000)</t>
  </si>
  <si>
    <t>=COUNTIF(J$3:OFFSET(J80,-1,0),"Subtotal:")+1</t>
  </si>
  <si>
    <t>CP3</t>
  </si>
  <si>
    <t>=R80-7</t>
  </si>
  <si>
    <t>=IFERROR(IF(J80*T80&lt;&gt;0,J80-T80,""),"")</t>
  </si>
  <si>
    <t>=IF(U80&lt;&gt;"",IF(U80&gt;28,"Too early",IF(U80&lt;14,"Too late","")),"")</t>
  </si>
  <si>
    <t>=IFERROR(IF(J80*Z80&lt;&gt;0,J80-Z80,""),"")</t>
  </si>
  <si>
    <t>=IF(AA80&lt;&gt;"",IF(AA80&gt;28,"Too early",IF(AA80&lt;14,"Too late","")),"")</t>
  </si>
  <si>
    <t>=COUNTIF(J$3:OFFSET(J81,-1,0),"Subtotal:")+1</t>
  </si>
  <si>
    <t>=IF(OFFSET(B81,1,0)&lt;&gt;"",OFFSET(B81,1,0),"")</t>
  </si>
  <si>
    <t>=LEFT(F81,3)</t>
  </si>
  <si>
    <t>46572</t>
  </si>
  <si>
    <t>=IF(SUM(M81:N81)=0,"",SUM(M81:N81))</t>
  </si>
  <si>
    <t>=O81</t>
  </si>
  <si>
    <t>=R81-7</t>
  </si>
  <si>
    <t>=IFERROR(IF(J81*T81&lt;&gt;0,J81-T81,""),"")</t>
  </si>
  <si>
    <t>=IF(U81&lt;&gt;"",IF(U81&gt;28,"Too early",IF(U81&lt;14,"Too late","")),"")</t>
  </si>
  <si>
    <t>=IF(OFFSET(X81,1,0)="",R81,OFFSET(X81,1,0))</t>
  </si>
  <si>
    <t>=IFERROR(IF(J81*Z81&lt;&gt;0,J81-Z81,""),"")</t>
  </si>
  <si>
    <t>=IF(AA81&lt;&gt;"",IF(AA81&gt;28,"Too early",IF(AA81&lt;14,"Too late","")),"")</t>
  </si>
  <si>
    <t>=IF(AI81="","",AI81*AJ81*AK81/1000/1000/1000)</t>
  </si>
  <si>
    <t>=COUNTIF(J$3:OFFSET(J82,-1,0),"Subtotal:")+1</t>
  </si>
  <si>
    <t>=IF(OFFSET(B82,1,0)&lt;&gt;"",OFFSET(B82,1,0),"")</t>
  </si>
  <si>
    <t>BP1910</t>
  </si>
  <si>
    <t>=LEFT(F82,3)</t>
  </si>
  <si>
    <t>46515</t>
  </si>
  <si>
    <t>=IF(SUM(M82:N82)=0,"",SUM(M82:N82))</t>
  </si>
  <si>
    <t>=R82-7</t>
  </si>
  <si>
    <t>=IFERROR(IF(J82*T82&lt;&gt;0,J82-T82,""),"")</t>
  </si>
  <si>
    <t>=IF(U82&lt;&gt;"",IF(U82&gt;28,"Too early",IF(U82&lt;14,"Too late","")),"")</t>
  </si>
  <si>
    <t>=IF(OFFSET(X82,1,0)="",R82,OFFSET(X82,1,0))</t>
  </si>
  <si>
    <t>=IFERROR(IF(J82*Z82&lt;&gt;0,J82-Z82,""),"")</t>
  </si>
  <si>
    <t>=IF(AA82&lt;&gt;"",IF(AA82&gt;28,"Too early",IF(AA82&lt;14,"Too late","")),"")</t>
  </si>
  <si>
    <t>=IF(AI82="","",AI82*AJ82*AK82/1000/1000/1000)</t>
  </si>
  <si>
    <t>46520</t>
  </si>
  <si>
    <t>=COUNTIF(J$3:OFFSET(J84,-1,0),"Subtotal:")+1</t>
  </si>
  <si>
    <t>=IF(OFFSET(B84,1,0)&lt;&gt;"",OFFSET(B84,1,0),"")</t>
  </si>
  <si>
    <t>=LEFT(F84,3)</t>
  </si>
  <si>
    <t>=IF(SUM(M84:N84)=0,"",SUM(M84:N84))</t>
  </si>
  <si>
    <t>=R84-7</t>
  </si>
  <si>
    <t>=IFERROR(IF(J84*T84&lt;&gt;0,J84-T84,""),"")</t>
  </si>
  <si>
    <t>=IF(U84&lt;&gt;"",IF(U84&gt;28,"Too early",IF(U84&lt;14,"Too late","")),"")</t>
  </si>
  <si>
    <t>=IF(OFFSET(X84,1,0)="",R84,OFFSET(X84,1,0))</t>
  </si>
  <si>
    <t>=IFERROR(IF(J84*Z84&lt;&gt;0,J84-Z84,""),"")</t>
  </si>
  <si>
    <t>=IF(AA84&lt;&gt;"",IF(AA84&gt;28,"Too early",IF(AA84&lt;14,"Too late","")),"")</t>
  </si>
  <si>
    <t>=IF(AI84="","",AI84*AJ84*AK84/1000/1000/1000)</t>
  </si>
  <si>
    <t>=COUNTIF(J$3:OFFSET(J85,-1,0),"Subtotal:")+1</t>
  </si>
  <si>
    <t>=IF(OFFSET(B85,1,0)&lt;&gt;"",OFFSET(B85,1,0),"")</t>
  </si>
  <si>
    <t>BP2020</t>
  </si>
  <si>
    <t>=LEFT(F85,3)</t>
  </si>
  <si>
    <t>Walls+Filter ceiling+Plenum</t>
  </si>
  <si>
    <t>=IF(SUM(M85:N85)=0,"",SUM(M85:N85))</t>
  </si>
  <si>
    <t>=R85-7</t>
  </si>
  <si>
    <t>=IFERROR(IF(J85*T85&lt;&gt;0,J85-T85,""),"")</t>
  </si>
  <si>
    <t>=IF(U85&lt;&gt;"",IF(U85&gt;28,"Too early",IF(U85&lt;14,"Too late","")),"")</t>
  </si>
  <si>
    <t>=IF(OFFSET(X85,1,0)="",R85,OFFSET(X85,1,0))</t>
  </si>
  <si>
    <t>=IFERROR(IF(J85*Z85&lt;&gt;0,J85-Z85,""),"")</t>
  </si>
  <si>
    <t>=IF(AA85&lt;&gt;"",IF(AA85&gt;28,"Too early",IF(AA85&lt;14,"Too late","")),"")</t>
  </si>
  <si>
    <t>=IF(AI85="","",AI85*AJ85*AK85/1000/1000/1000)</t>
  </si>
  <si>
    <t>=COUNTIF(J$3:OFFSET(J86,-1,0),"Subtotal:")+1</t>
  </si>
  <si>
    <t>=IF(OFFSET(B86,1,0)&lt;&gt;"",OFFSET(B86,1,0),"")</t>
  </si>
  <si>
    <t>=LEFT(F86,3)</t>
  </si>
  <si>
    <t>46525</t>
  </si>
  <si>
    <t>=IF(SUM(M86:N86)=0,"",SUM(M86:N86))</t>
  </si>
  <si>
    <t>=R86-7</t>
  </si>
  <si>
    <t>=IFERROR(IF(J86*T86&lt;&gt;0,J86-T86,""),"")</t>
  </si>
  <si>
    <t>=IF(U86&lt;&gt;"",IF(U86&gt;28,"Too early",IF(U86&lt;14,"Too late","")),"")</t>
  </si>
  <si>
    <t>=IF(OFFSET(X86,1,0)="",R86,OFFSET(X86,1,0))</t>
  </si>
  <si>
    <t>=IFERROR(IF(J86*Z86&lt;&gt;0,J86-Z86,""),"")</t>
  </si>
  <si>
    <t>=IF(AA86&lt;&gt;"",IF(AA86&gt;28,"Too early",IF(AA86&lt;14,"Too late","")),"")</t>
  </si>
  <si>
    <t>=IF(AI86="","",AI86*AJ86*AK86/1000/1000/1000)</t>
  </si>
  <si>
    <t>=COUNTIF(J$3:OFFSET(J87,-1,0),"Subtotal:")+1</t>
  </si>
  <si>
    <t>=IF(OFFSET(B87,1,0)&lt;&gt;"",OFFSET(B87,1,0),"")</t>
  </si>
  <si>
    <t>=LEFT(F87,3)</t>
  </si>
  <si>
    <t>=IF(SUM(M87:N87)=0,"",SUM(M87:N87))</t>
  </si>
  <si>
    <t>=R87-7</t>
  </si>
  <si>
    <t>=IFERROR(IF(J87*T87&lt;&gt;0,J87-T87,""),"")</t>
  </si>
  <si>
    <t>=IF(U87&lt;&gt;"",IF(U87&gt;28,"Too early",IF(U87&lt;14,"Too late","")),"")</t>
  </si>
  <si>
    <t>=IF(OFFSET(X87,1,0)="",R87,OFFSET(X87,1,0))</t>
  </si>
  <si>
    <t>=IFERROR(IF(J87*Z87&lt;&gt;0,J87-Z87,""),"")</t>
  </si>
  <si>
    <t>=IF(AA87&lt;&gt;"",IF(AA87&gt;28,"Too early",IF(AA87&lt;14,"Too late","")),"")</t>
  </si>
  <si>
    <t>=IF(AI87="","",AI87*AJ87*AK87/1000/1000/1000)</t>
  </si>
  <si>
    <t>=COUNTIF(J$3:OFFSET(J89,-1,0),"Subtotal:")+1</t>
  </si>
  <si>
    <t>=IF(OFFSET(B89,1,0)&lt;&gt;"",OFFSET(B89,1,0),"")</t>
  </si>
  <si>
    <t>=LEFT(F89,3)</t>
  </si>
  <si>
    <t>46542</t>
  </si>
  <si>
    <t>=IF(SUM(M89:N89)=0,"",SUM(M89:N89))</t>
  </si>
  <si>
    <t>=O89</t>
  </si>
  <si>
    <t>=R89-7</t>
  </si>
  <si>
    <t>=IFERROR(IF(J89*T89&lt;&gt;0,J89-T89,""),"")</t>
  </si>
  <si>
    <t>=IF(U89&lt;&gt;"",IF(U89&gt;28,"Too early",IF(U89&lt;14,"Too late","")),"")</t>
  </si>
  <si>
    <t>=IF(OFFSET(X89,1,0)="",R89,OFFSET(X89,1,0))</t>
  </si>
  <si>
    <t>=IFERROR(IF(J89*Z89&lt;&gt;0,J89-Z89,""),"")</t>
  </si>
  <si>
    <t>=IF(AA89&lt;&gt;"",IF(AA89&gt;28,"Too early",IF(AA89&lt;14,"Too late","")),"")</t>
  </si>
  <si>
    <t>=IF(AI89="","",AI89*AJ89*AK89/1000/1000/1000)</t>
  </si>
  <si>
    <t>=COUNTIF(J$3:OFFSET(J90,-1,0),"Subtotal:")+1</t>
  </si>
  <si>
    <t>=IF(OFFSET(B90,1,0)&lt;&gt;"",OFFSET(B90,1,0),"")</t>
  </si>
  <si>
    <t>=LEFT(F90,3)</t>
  </si>
  <si>
    <t>=IF(SUM(M90:N90)=0,"",SUM(M90:N90))</t>
  </si>
  <si>
    <t>=O90</t>
  </si>
  <si>
    <t>=R90-7</t>
  </si>
  <si>
    <t>=IFERROR(IF(J90*T90&lt;&gt;0,J90-T90,""),"")</t>
  </si>
  <si>
    <t>=IF(U90&lt;&gt;"",IF(U90&gt;28,"Too early",IF(U90&lt;14,"Too late","")),"")</t>
  </si>
  <si>
    <t>=IF(OFFSET(X90,1,0)="",R90,OFFSET(X90,1,0))</t>
  </si>
  <si>
    <t>=IFERROR(IF(J90*Z90&lt;&gt;0,J90-Z90,""),"")</t>
  </si>
  <si>
    <t>=IF(AA90&lt;&gt;"",IF(AA90&gt;28,"Too early",IF(AA90&lt;14,"Too late","")),"")</t>
  </si>
  <si>
    <t>=IF(AI90="","",AI90*AJ90*AK90/1000/1000/1000)</t>
  </si>
  <si>
    <t>=COUNTIF(J$3:OFFSET(J91,-1,0),"Subtotal:")+1</t>
  </si>
  <si>
    <t>=IF(OFFSET(B91,1,0)&lt;&gt;"",OFFSET(B91,1,0),"")</t>
  </si>
  <si>
    <t>=LEFT(F91,3)</t>
  </si>
  <si>
    <t>=IF(SUM(M91:N91)=0,"",SUM(M91:N91))</t>
  </si>
  <si>
    <t>=R91-7</t>
  </si>
  <si>
    <t>=IFERROR(IF(J91*T91&lt;&gt;0,J91-T91,""),"")</t>
  </si>
  <si>
    <t>=IF(U91&lt;&gt;"",IF(U91&gt;28,"Too early",IF(U91&lt;14,"Too late","")),"")</t>
  </si>
  <si>
    <t>=IF(OFFSET(X91,1,0)="",R91,OFFSET(X91,1,0))</t>
  </si>
  <si>
    <t>=IFERROR(IF(J91*Z91&lt;&gt;0,J91-Z91,""),"")</t>
  </si>
  <si>
    <t>=IF(AA91&lt;&gt;"",IF(AA91&gt;28,"Too early",IF(AA91&lt;14,"Too late","")),"")</t>
  </si>
  <si>
    <t>=IF(AI91="","",AI91*AJ91*AK91/1000/1000/1000)</t>
  </si>
  <si>
    <t>=COUNTIF(J$3:OFFSET(J92,-1,0),"Subtotal:")+1</t>
  </si>
  <si>
    <t>=IF(OFFSET(B92,1,0)&lt;&gt;"",OFFSET(B92,1,0),"")</t>
  </si>
  <si>
    <t>=LEFT(F92,3)</t>
  </si>
  <si>
    <t>=IF(SUM(M92:N92)=0,"",SUM(M92:N92))</t>
  </si>
  <si>
    <t>=R92-7</t>
  </si>
  <si>
    <t>=IFERROR(IF(J92*T92&lt;&gt;0,J92-T92,""),"")</t>
  </si>
  <si>
    <t>=IF(U92&lt;&gt;"",IF(U92&gt;28,"Too early",IF(U92&lt;14,"Too late","")),"")</t>
  </si>
  <si>
    <t>=IF(OFFSET(X92,1,0)="",R92,OFFSET(X92,1,0))</t>
  </si>
  <si>
    <t>=IFERROR(IF(J92*Z92&lt;&gt;0,J92-Z92,""),"")</t>
  </si>
  <si>
    <t>=IF(AA92&lt;&gt;"",IF(AA92&gt;28,"Too early",IF(AA92&lt;14,"Too late","")),"")</t>
  </si>
  <si>
    <t>=IF(AI92="","",AI92*AJ92*AK92/1000/1000/1000)</t>
  </si>
  <si>
    <t>=COUNTIF(J$3:OFFSET(J93,-1,0),"Subtotal:")+1</t>
  </si>
  <si>
    <t>=IF(OFFSET(B93,1,0)&lt;&gt;"",OFFSET(B93,1,0),"")</t>
  </si>
  <si>
    <t>=LEFT(F93,3)</t>
  </si>
  <si>
    <t>=IF(SUM(M93:N93)=0,"",SUM(M93:N93))</t>
  </si>
  <si>
    <t>=R93-7</t>
  </si>
  <si>
    <t>=IFERROR(IF(J93*T93&lt;&gt;0,J93-T93,""),"")</t>
  </si>
  <si>
    <t>=IF(U93&lt;&gt;"",IF(U93&gt;28,"Too early",IF(U93&lt;14,"Too late","")),"")</t>
  </si>
  <si>
    <t>=IF(OFFSET(X93,1,0)="",R93,OFFSET(X93,1,0))</t>
  </si>
  <si>
    <t>=IFERROR(IF(J93*Z93&lt;&gt;0,J93-Z93,""),"")</t>
  </si>
  <si>
    <t>=IF(AA93&lt;&gt;"",IF(AA93&gt;28,"Too early",IF(AA93&lt;14,"Too late","")),"")</t>
  </si>
  <si>
    <t>=IF(AI93="","",AI93*AJ93*AK93/1000/1000/1000)</t>
  </si>
  <si>
    <t>=COUNTIF(J$3:OFFSET(J94,-1,0),"Subtotal:")+1</t>
  </si>
  <si>
    <t>=IF(OFFSET(B94,1,0)&lt;&gt;"",OFFSET(B94,1,0),"")</t>
  </si>
  <si>
    <t>=LEFT(F94,3)</t>
  </si>
  <si>
    <t>=IF(SUM(M94:N94)=0,"",SUM(M94:N94))</t>
  </si>
  <si>
    <t>=O94</t>
  </si>
  <si>
    <t>=R94-7</t>
  </si>
  <si>
    <t>=IFERROR(IF(J94*T94&lt;&gt;0,J94-T94,""),"")</t>
  </si>
  <si>
    <t>=IF(U94&lt;&gt;"",IF(U94&gt;28,"Too early",IF(U94&lt;14,"Too late","")),"")</t>
  </si>
  <si>
    <t>=IF(OFFSET(X94,1,0)="",R94,OFFSET(X94,1,0))</t>
  </si>
  <si>
    <t>=IFERROR(IF(J94*Z94&lt;&gt;0,J94-Z94,""),"")</t>
  </si>
  <si>
    <t>=IF(AA94&lt;&gt;"",IF(AA94&gt;28,"Too early",IF(AA94&lt;14,"Too late","")),"")</t>
  </si>
  <si>
    <t>=IF(AI94="","",AI94*AJ94*AK94/1000/1000/1000)</t>
  </si>
  <si>
    <t>=COUNTIF(J$3:OFFSET(J95,-1,0),"Subtotal:")+1</t>
  </si>
  <si>
    <t>=IF(OFFSET(B95,1,0)&lt;&gt;"",OFFSET(B95,1,0),"")</t>
  </si>
  <si>
    <t>=LEFT(F95,3)</t>
  </si>
  <si>
    <t>46567</t>
  </si>
  <si>
    <t>=IF(SUM(M95:N95)=0,"",SUM(M95:N95))</t>
  </si>
  <si>
    <t>=R95-7</t>
  </si>
  <si>
    <t>=IFERROR(IF(J95*T95&lt;&gt;0,J95-T95,""),"")</t>
  </si>
  <si>
    <t>=IF(U95&lt;&gt;"",IF(U95&gt;28,"Too early",IF(U95&lt;14,"Too late","")),"")</t>
  </si>
  <si>
    <t>=IF(OFFSET(X95,1,0)="",R95,OFFSET(X95,1,0))</t>
  </si>
  <si>
    <t>=IFERROR(IF(J95*Z95&lt;&gt;0,J95-Z95,""),"")</t>
  </si>
  <si>
    <t>=IF(AA95&lt;&gt;"",IF(AA95&gt;28,"Too early",IF(AA95&lt;14,"Too late","")),"")</t>
  </si>
  <si>
    <t>=IF(AI95="","",AI95*AJ95*AK95/1000/1000/1000)</t>
  </si>
  <si>
    <t>=COUNTIF(J$3:OFFSET(J97,-1,0),"Subtotal:")+1</t>
  </si>
  <si>
    <t>46538</t>
  </si>
  <si>
    <t>=R97-7</t>
  </si>
  <si>
    <t>=IFERROR(IF(J97*T97&lt;&gt;0,J97-T97,""),"")</t>
  </si>
  <si>
    <t>=IF(U97&lt;&gt;"",IF(U97&gt;28,"Too early",IF(U97&lt;14,"Too late","")),"")</t>
  </si>
  <si>
    <t>=IFERROR(IF(J97*Z97&lt;&gt;0,J97-Z97,""),"")</t>
  </si>
  <si>
    <t>=IF(AA97&lt;&gt;"",IF(AA97&gt;28,"Too early",IF(AA97&lt;14,"Too late","")),"")</t>
  </si>
  <si>
    <t>=COUNTIF(J$3:OFFSET(J98,-1,0),"Subtotal:")+1</t>
  </si>
  <si>
    <t>=IF(OFFSET(B98,1,0)&lt;&gt;"",OFFSET(B98,1,0),"")</t>
  </si>
  <si>
    <t>=LEFT(F98,3)</t>
  </si>
  <si>
    <t>=IF(SUM(M98:N98)=0,"",SUM(M98:N98))</t>
  </si>
  <si>
    <t>=R98-7</t>
  </si>
  <si>
    <t>=IFERROR(IF(J98*T98&lt;&gt;0,J98-T98,""),"")</t>
  </si>
  <si>
    <t>=IF(U98&lt;&gt;"",IF(U98&gt;28,"Too early",IF(U98&lt;14,"Too late","")),"")</t>
  </si>
  <si>
    <t>=IF(OFFSET(X98,1,0)="",R98,OFFSET(X98,1,0))</t>
  </si>
  <si>
    <t>=IFERROR(IF(J98*Z98&lt;&gt;0,J98-Z98,""),"")</t>
  </si>
  <si>
    <t>=IF(AA98&lt;&gt;"",IF(AA98&gt;28,"Too early",IF(AA98&lt;14,"Too late","")),"")</t>
  </si>
  <si>
    <t>=IF(AI98="","",AI98*AJ98*AK98/1000/1000/1000)</t>
  </si>
  <si>
    <t>=COUNTIF(J$3:OFFSET(J99,-1,0),"Subtotal:")+1</t>
  </si>
  <si>
    <t>=IF(OFFSET(B99,1,0)&lt;&gt;"",OFFSET(B99,1,0),"")</t>
  </si>
  <si>
    <t>=LEFT(F99,3)</t>
  </si>
  <si>
    <t>=IF(SUM(M99:N99)=0,"",SUM(M99:N99))</t>
  </si>
  <si>
    <t>=R99-7</t>
  </si>
  <si>
    <t>=IFERROR(IF(J99*T99&lt;&gt;0,J99-T99,""),"")</t>
  </si>
  <si>
    <t>=IF(U99&lt;&gt;"",IF(U99&gt;28,"Too early",IF(U99&lt;14,"Too late","")),"")</t>
  </si>
  <si>
    <t>=IF(OFFSET(X99,1,0)="",R99,OFFSET(X99,1,0))</t>
  </si>
  <si>
    <t>=IFERROR(IF(J99*Z99&lt;&gt;0,J99-Z99,""),"")</t>
  </si>
  <si>
    <t>=IF(AA99&lt;&gt;"",IF(AA99&gt;28,"Too early",IF(AA99&lt;14,"Too late","")),"")</t>
  </si>
  <si>
    <t>=IF(AI99="","",AI99*AJ99*AK99/1000/1000/1000)</t>
  </si>
  <si>
    <t>=COUNTIF(J$3:OFFSET(J100,-1,0),"Subtotal:")+1</t>
  </si>
  <si>
    <t>=IF(OFFSET(B100,1,0)&lt;&gt;"",OFFSET(B100,1,0),"")</t>
  </si>
  <si>
    <t>=LEFT(F100,3)</t>
  </si>
  <si>
    <t>=IF(SUM(M100:N100)=0,"",SUM(M100:N100))</t>
  </si>
  <si>
    <t>=R100-7</t>
  </si>
  <si>
    <t>=IFERROR(IF(J100*T100&lt;&gt;0,J100-T100,""),"")</t>
  </si>
  <si>
    <t>=IF(U100&lt;&gt;"",IF(U100&gt;28,"Too early",IF(U100&lt;14,"Too late","")),"")</t>
  </si>
  <si>
    <t>=IF(OFFSET(X100,1,0)="",R100,OFFSET(X100,1,0))</t>
  </si>
  <si>
    <t>=IFERROR(IF(J100*Z100&lt;&gt;0,J100-Z100,""),"")</t>
  </si>
  <si>
    <t>=IF(AA100&lt;&gt;"",IF(AA100&gt;28,"Too early",IF(AA100&lt;14,"Too late","")),"")</t>
  </si>
  <si>
    <t>=IF(AI100="","",AI100*AJ100*AK100/1000/1000/1000)</t>
  </si>
  <si>
    <t>=COUNTIF(J$3:OFFSET(J101,-1,0),"Subtotal:")+1</t>
  </si>
  <si>
    <t>=IF(OFFSET(B101,1,0)&lt;&gt;"",OFFSET(B101,1,0),"")</t>
  </si>
  <si>
    <t>=LEFT(F101,3)</t>
  </si>
  <si>
    <t>=IF(SUM(M101:N101)=0,"",SUM(M101:N101))</t>
  </si>
  <si>
    <t>=R101-7</t>
  </si>
  <si>
    <t>=IFERROR(IF(J101*T101&lt;&gt;0,J101-T101,""),"")</t>
  </si>
  <si>
    <t>=IF(U101&lt;&gt;"",IF(U101&gt;28,"Too early",IF(U101&lt;14,"Too late","")),"")</t>
  </si>
  <si>
    <t>=IF(OFFSET(X101,1,0)="",R101,OFFSET(X101,1,0))</t>
  </si>
  <si>
    <t>=IFERROR(IF(J101*Z101&lt;&gt;0,J101-Z101,""),"")</t>
  </si>
  <si>
    <t>=IF(AA101&lt;&gt;"",IF(AA101&gt;28,"Too early",IF(AA101&lt;14,"Too late","")),"")</t>
  </si>
  <si>
    <t>=IF(AI101="","",AI101*AJ101*AK101/1000/1000/1000)</t>
  </si>
  <si>
    <t>=COUNTIF(J$3:OFFSET(J102,-1,0),"Subtotal:")+1</t>
  </si>
  <si>
    <t>=IF(OFFSET(B102,1,0)&lt;&gt;"",OFFSET(B102,1,0),"")</t>
  </si>
  <si>
    <t>=LEFT(F102,3)</t>
  </si>
  <si>
    <t>=IF(SUM(M102:N102)=0,"",SUM(M102:N102))</t>
  </si>
  <si>
    <t>=R102-7</t>
  </si>
  <si>
    <t>=IFERROR(IF(J102*T102&lt;&gt;0,J102-T102,""),"")</t>
  </si>
  <si>
    <t>=IF(U102&lt;&gt;"",IF(U102&gt;28,"Too early",IF(U102&lt;14,"Too late","")),"")</t>
  </si>
  <si>
    <t>=IF(OFFSET(X102,1,0)="",R102,OFFSET(X102,1,0))</t>
  </si>
  <si>
    <t>=IFERROR(IF(J102*Z102&lt;&gt;0,J102-Z102,""),"")</t>
  </si>
  <si>
    <t>=IF(AA102&lt;&gt;"",IF(AA102&gt;28,"Too early",IF(AA102&lt;14,"Too late","")),"")</t>
  </si>
  <si>
    <t>=IF(AI102="","",AI102*AJ102*AK102/1000/1000/1000)</t>
  </si>
  <si>
    <t>=COUNTIF(J$3:OFFSET(J103,-1,0),"Subtotal:")+1</t>
  </si>
  <si>
    <t>=IF(OFFSET(B103,1,0)&lt;&gt;"",OFFSET(B103,1,0),"")</t>
  </si>
  <si>
    <t>=LEFT(F103,3)</t>
  </si>
  <si>
    <t>=IF(SUM(M103:N103)=0,"",SUM(M103:N103))</t>
  </si>
  <si>
    <t>=R103-7</t>
  </si>
  <si>
    <t>=IFERROR(IF(J103*T103&lt;&gt;0,J103-T103,""),"")</t>
  </si>
  <si>
    <t>=IF(U103&lt;&gt;"",IF(U103&gt;28,"Too early",IF(U103&lt;14,"Too late","")),"")</t>
  </si>
  <si>
    <t>=IF(OFFSET(X103,1,0)="",R103,OFFSET(X103,1,0))</t>
  </si>
  <si>
    <t>=IFERROR(IF(J103*Z103&lt;&gt;0,J103-Z103,""),"")</t>
  </si>
  <si>
    <t>=IF(AA103&lt;&gt;"",IF(AA103&gt;28,"Too early",IF(AA103&lt;14,"Too late","")),"")</t>
  </si>
  <si>
    <t>=IF(AI103="","",AI103*AJ103*AK103/1000/1000/1000)</t>
  </si>
  <si>
    <t>=COUNTIF(J$3:OFFSET(J104,-1,0),"Subtotal:")+1</t>
  </si>
  <si>
    <t>=IF(OFFSET(B104,1,0)&lt;&gt;"",OFFSET(B104,1,0),"")</t>
  </si>
  <si>
    <t>=LEFT(F104,3)</t>
  </si>
  <si>
    <t>46591</t>
  </si>
  <si>
    <t>=IF(SUM(M104:N104)=0,"",SUM(M104:N104))</t>
  </si>
  <si>
    <t>=O104</t>
  </si>
  <si>
    <t>=R104-7</t>
  </si>
  <si>
    <t>=IFERROR(IF(J104*T104&lt;&gt;0,J104-T104,""),"")</t>
  </si>
  <si>
    <t>=IF(U104&lt;&gt;"",IF(U104&gt;28,"Too early",IF(U104&lt;14,"Too late","")),"")</t>
  </si>
  <si>
    <t>=IF(OFFSET(X104,1,0)="",R104,OFFSET(X104,1,0))</t>
  </si>
  <si>
    <t>=IFERROR(IF(J104*Z104&lt;&gt;0,J104-Z104,""),"")</t>
  </si>
  <si>
    <t>=IF(AA104&lt;&gt;"",IF(AA104&gt;28,"Too early",IF(AA104&lt;14,"Too late","")),"")</t>
  </si>
  <si>
    <t>=IF(AI104="","",AI104*AJ104*AK104/1000/1000/1000)</t>
  </si>
  <si>
    <t>=COUNTIF(J$3:OFFSET(J105,-1,0),"Subtotal:")+1</t>
  </si>
  <si>
    <t>=IF(OFFSET(B105,1,0)&lt;&gt;"",OFFSET(B105,1,0),"")</t>
  </si>
  <si>
    <t>=LEFT(F105,3)</t>
  </si>
  <si>
    <t>46581</t>
  </si>
  <si>
    <t>=IF(SUM(M105:N105)=0,"",SUM(M105:N105))</t>
  </si>
  <si>
    <t>=R105-7</t>
  </si>
  <si>
    <t>=IFERROR(IF(J105*T105&lt;&gt;0,J105-T105,""),"")</t>
  </si>
  <si>
    <t>=IF(U105&lt;&gt;"",IF(U105&gt;28,"Too early",IF(U105&lt;14,"Too late","")),"")</t>
  </si>
  <si>
    <t>=IF(OFFSET(X105,1,0)="",R105,OFFSET(X105,1,0))</t>
  </si>
  <si>
    <t>=IFERROR(IF(J105*Z105&lt;&gt;0,J105-Z105,""),"")</t>
  </si>
  <si>
    <t>=IF(AA105&lt;&gt;"",IF(AA105&gt;28,"Too early",IF(AA105&lt;14,"Too late","")),"")</t>
  </si>
  <si>
    <t>=IF(AI105="","",AI105*AJ105*AK105/1000/1000/1000)</t>
  </si>
  <si>
    <t>=COUNTIF(J$3:OFFSET(J106,-1,0),"Subtotal:")+1</t>
  </si>
  <si>
    <t>=IF(OFFSET(B106,1,0)&lt;&gt;"",OFFSET(B106,1,0),"")</t>
  </si>
  <si>
    <t>BP2050</t>
  </si>
  <si>
    <t>=LEFT(F106,3)</t>
  </si>
  <si>
    <t>=IF(SUM(M106:N106)=0,"",SUM(M106:N106))</t>
  </si>
  <si>
    <t>=O106</t>
  </si>
  <si>
    <t>=R106-7</t>
  </si>
  <si>
    <t>=IFERROR(IF(J106*T106&lt;&gt;0,J106-T106,""),"")</t>
  </si>
  <si>
    <t>=IF(U106&lt;&gt;"",IF(U106&gt;28,"Too early",IF(U106&lt;14,"Too late","")),"")</t>
  </si>
  <si>
    <t>=IF(OFFSET(X106,1,0)="",R106,OFFSET(X106,1,0))</t>
  </si>
  <si>
    <t>=IFERROR(IF(J106*Z106&lt;&gt;0,J106-Z106,""),"")</t>
  </si>
  <si>
    <t>=IF(AA106&lt;&gt;"",IF(AA106&gt;28,"Too early",IF(AA106&lt;14,"Too late","")),"")</t>
  </si>
  <si>
    <t>=IF(AI106="","",AI106*AJ106*AK106/1000/1000/1000)</t>
  </si>
  <si>
    <t>=COUNTIF(J$3:OFFSET(J107,-1,0),"Subtotal:")+1</t>
  </si>
  <si>
    <t>=IF(OFFSET(B107,1,0)&lt;&gt;"",OFFSET(B107,1,0),"")</t>
  </si>
  <si>
    <t>=LEFT(F107,3)</t>
  </si>
  <si>
    <t>46585</t>
  </si>
  <si>
    <t>=IF(SUM(M107:N107)=0,"",SUM(M107:N107))</t>
  </si>
  <si>
    <t>=O107</t>
  </si>
  <si>
    <t>=R107-7</t>
  </si>
  <si>
    <t>=IFERROR(IF(J107*T107&lt;&gt;0,J107-T107,""),"")</t>
  </si>
  <si>
    <t>=IF(U107&lt;&gt;"",IF(U107&gt;28,"Too early",IF(U107&lt;14,"Too late","")),"")</t>
  </si>
  <si>
    <t>=IF(OFFSET(X107,1,0)="",R107,OFFSET(X107,1,0))</t>
  </si>
  <si>
    <t>=IFERROR(IF(J107*Z107&lt;&gt;0,J107-Z107,""),"")</t>
  </si>
  <si>
    <t>=IF(AA107&lt;&gt;"",IF(AA107&gt;28,"Too early",IF(AA107&lt;14,"Too late","")),"")</t>
  </si>
  <si>
    <t>=IF(AI107="","",AI107*AJ107*AK107/1000/1000/1000)</t>
  </si>
  <si>
    <t>=COUNTIF(J$3:OFFSET(J108,-1,0),"Subtotal:")+1</t>
  </si>
  <si>
    <t>=IF(OFFSET(B108,1,0)&lt;&gt;"",OFFSET(B108,1,0),"")</t>
  </si>
  <si>
    <t>=LEFT(F108,3)</t>
  </si>
  <si>
    <t>=IF(SUM(M108:N108)=0,"",SUM(M108:N108))</t>
  </si>
  <si>
    <t>=R108-7</t>
  </si>
  <si>
    <t>=IFERROR(IF(J108*T108&lt;&gt;0,J108-T108,""),"")</t>
  </si>
  <si>
    <t>=IF(U108&lt;&gt;"",IF(U108&gt;28,"Too early",IF(U108&lt;14,"Too late","")),"")</t>
  </si>
  <si>
    <t>=IF(OFFSET(X108,1,0)="",R108,OFFSET(X108,1,0))</t>
  </si>
  <si>
    <t>=IFERROR(IF(J108*Z108&lt;&gt;0,J108-Z108,""),"")</t>
  </si>
  <si>
    <t>=IF(AA108&lt;&gt;"",IF(AA108&gt;28,"Too early",IF(AA108&lt;14,"Too late","")),"")</t>
  </si>
  <si>
    <t>=IF(AI108="","",AI108*AJ108*AK108/1000/1000/1000)</t>
  </si>
  <si>
    <t>=COUNTIF(J$3:OFFSET(J109,-1,0),"Subtotal:")+1</t>
  </si>
  <si>
    <t>=IF(OFFSET(B109,1,0)&lt;&gt;"",OFFSET(B109,1,0),"")</t>
  </si>
  <si>
    <t>=LEFT(F109,3)</t>
  </si>
  <si>
    <t>46560</t>
  </si>
  <si>
    <t>=IF(SUM(M109:N109)=0,"",SUM(M109:N109))</t>
  </si>
  <si>
    <t>=R109-7</t>
  </si>
  <si>
    <t>=IFERROR(IF(J109*T109&lt;&gt;0,J109-T109,""),"")</t>
  </si>
  <si>
    <t>=IF(U109&lt;&gt;"",IF(U109&gt;28,"Too early",IF(U109&lt;14,"Too late","")),"")</t>
  </si>
  <si>
    <t>=IF(OFFSET(X109,1,0)="",R109,OFFSET(X109,1,0))</t>
  </si>
  <si>
    <t>=IFERROR(IF(J109*Z109&lt;&gt;0,J109-Z109,""),"")</t>
  </si>
  <si>
    <t>=IF(AA109&lt;&gt;"",IF(AA109&gt;28,"Too early",IF(AA109&lt;14,"Too late","")),"")</t>
  </si>
  <si>
    <t>=IF(AI109="","",AI109*AJ109*AK109/1000/1000/1000)</t>
  </si>
  <si>
    <t>=COUNTIF(J$3:OFFSET(J110,-1,0),"Subtotal:")+1</t>
  </si>
  <si>
    <t>=IF(OFFSET(B110,1,0)&lt;&gt;"",OFFSET(B110,1,0),"")</t>
  </si>
  <si>
    <t>=LEFT(F110,3)</t>
  </si>
  <si>
    <t>=IF(SUM(M110:N110)=0,"",SUM(M110:N110))</t>
  </si>
  <si>
    <t>=R110-7</t>
  </si>
  <si>
    <t>=IFERROR(IF(J110*T110&lt;&gt;0,J110-T110,""),"")</t>
  </si>
  <si>
    <t>=IF(U110&lt;&gt;"",IF(U110&gt;28,"Too early",IF(U110&lt;14,"Too late","")),"")</t>
  </si>
  <si>
    <t>=IF(OFFSET(X110,1,0)="",R110,OFFSET(X110,1,0))</t>
  </si>
  <si>
    <t>=IFERROR(IF(J110*Z110&lt;&gt;0,J110-Z110,""),"")</t>
  </si>
  <si>
    <t>=IF(AA110&lt;&gt;"",IF(AA110&gt;28,"Too early",IF(AA110&lt;14,"Too late","")),"")</t>
  </si>
  <si>
    <t>=IF(AI110="","",AI110*AJ110*AK110/1000/1000/1000)</t>
  </si>
  <si>
    <t>=COUNTIF(J$3:OFFSET(J111,-1,0),"Subtotal:")+1</t>
  </si>
  <si>
    <t>=IF(OFFSET(B111,1,0)&lt;&gt;"",OFFSET(B111,1,0),"")</t>
  </si>
  <si>
    <t>=LEFT(F111,3)</t>
  </si>
  <si>
    <t>=IF(SUM(M111:N111)=0,"",SUM(M111:N111))</t>
  </si>
  <si>
    <t>=R111-7</t>
  </si>
  <si>
    <t>=IFERROR(IF(J111*T111&lt;&gt;0,J111-T111,""),"")</t>
  </si>
  <si>
    <t>=IF(U111&lt;&gt;"",IF(U111&gt;28,"Too early",IF(U111&lt;14,"Too late","")),"")</t>
  </si>
  <si>
    <t>=IF(OFFSET(X111,1,0)="",R111,OFFSET(X111,1,0))</t>
  </si>
  <si>
    <t>=IFERROR(IF(J111*Z111&lt;&gt;0,J111-Z111,""),"")</t>
  </si>
  <si>
    <t>=IF(AA111&lt;&gt;"",IF(AA111&gt;28,"Too early",IF(AA111&lt;14,"Too late","")),"")</t>
  </si>
  <si>
    <t>=IF(AI111="","",AI111*AJ111*AK111/1000/1000/1000)</t>
  </si>
  <si>
    <t>=COUNTIF(J$3:OFFSET(J112,-1,0),"Subtotal:")+1</t>
  </si>
  <si>
    <t>=IF(OFFSET(B112,1,0)&lt;&gt;"",OFFSET(B112,1,0),"")</t>
  </si>
  <si>
    <t>=LEFT(F112,3)</t>
  </si>
  <si>
    <t>=IF(SUM(M112:N112)=0,"",SUM(M112:N112))</t>
  </si>
  <si>
    <t>=O112</t>
  </si>
  <si>
    <t>=R112-7</t>
  </si>
  <si>
    <t>=IFERROR(IF(J112*T112&lt;&gt;0,J112-T112,""),"")</t>
  </si>
  <si>
    <t>=IF(U112&lt;&gt;"",IF(U112&gt;28,"Too early",IF(U112&lt;14,"Too late","")),"")</t>
  </si>
  <si>
    <t>=IF(OFFSET(X112,1,0)="",R112,OFFSET(X112,1,0))</t>
  </si>
  <si>
    <t>=IFERROR(IF(J112*Z112&lt;&gt;0,J112-Z112,""),"")</t>
  </si>
  <si>
    <t>=IF(AA112&lt;&gt;"",IF(AA112&gt;28,"Too early",IF(AA112&lt;14,"Too late","")),"")</t>
  </si>
  <si>
    <t>=IF(AI112="","",AI112*AJ112*AK112/1000/1000/1000)</t>
  </si>
  <si>
    <t>=COUNTIF(J$3:OFFSET(J113,-1,0),"Subtotal:")+1</t>
  </si>
  <si>
    <t>=IF(OFFSET(B113,1,0)&lt;&gt;"",OFFSET(B113,1,0),"")</t>
  </si>
  <si>
    <t>=LEFT(F113,3)</t>
  </si>
  <si>
    <t>=IF(SUM(M113:N113)=0,"",SUM(M113:N113))</t>
  </si>
  <si>
    <t>=R113-7</t>
  </si>
  <si>
    <t>=IFERROR(IF(J113*T113&lt;&gt;0,J113-T113,""),"")</t>
  </si>
  <si>
    <t>=IF(U113&lt;&gt;"",IF(U113&gt;28,"Too early",IF(U113&lt;14,"Too late","")),"")</t>
  </si>
  <si>
    <t>=IF(OFFSET(X113,1,0)="",R113,OFFSET(X113,1,0))</t>
  </si>
  <si>
    <t>=IFERROR(IF(J113*Z113&lt;&gt;0,J113-Z113,""),"")</t>
  </si>
  <si>
    <t>=IF(AA113&lt;&gt;"",IF(AA113&gt;28,"Too early",IF(AA113&lt;14,"Too late","")),"")</t>
  </si>
  <si>
    <t>=IF(AI113="","",AI113*AJ113*AK113/1000/1000/1000)</t>
  </si>
  <si>
    <t>=IF(SUM(M114:N114)=0,"",SUM(M114:N114))</t>
  </si>
  <si>
    <t>=IF(AI114="","",AI114*AJ114*AK114/1000/1000/1000)</t>
  </si>
  <si>
    <t>=COUNTIF(J$3:OFFSET(J115,-1,0),"Subtotal:")+1</t>
  </si>
  <si>
    <t>=IF(OFFSET(B115,1,0)&lt;&gt;"",OFFSET(B115,1,0),"")</t>
  </si>
  <si>
    <t>=LEFT(F115,3)</t>
  </si>
  <si>
    <t>46547</t>
  </si>
  <si>
    <t>=IF(SUM(M115:N115)=0,"",SUM(M115:N115))</t>
  </si>
  <si>
    <t>=R115-7</t>
  </si>
  <si>
    <t>=IFERROR(IF(J115*T115&lt;&gt;0,J115-T115,""),"")</t>
  </si>
  <si>
    <t>=IF(U115&lt;&gt;"",IF(U115&gt;28,"Too early",IF(U115&lt;14,"Too late","")),"")</t>
  </si>
  <si>
    <t>=IF(OFFSET(X115,1,0)="",R115,OFFSET(X115,1,0))</t>
  </si>
  <si>
    <t>=IFERROR(IF(J115*Z115&lt;&gt;0,J115-Z115,""),"")</t>
  </si>
  <si>
    <t>=IF(AA115&lt;&gt;"",IF(AA115&gt;28,"Too early",IF(AA115&lt;14,"Too late","")),"")</t>
  </si>
  <si>
    <t>=IF(AI115="","",AI115*AJ115*AK115/1000/1000/1000)</t>
  </si>
  <si>
    <t>=COUNTIF(J$3:OFFSET(J116,-1,0),"Subtotal:")+1</t>
  </si>
  <si>
    <t>=IF(OFFSET(B116,1,0)&lt;&gt;"",OFFSET(B116,1,0),"")</t>
  </si>
  <si>
    <t>=LEFT(F116,3)</t>
  </si>
  <si>
    <t>46507</t>
  </si>
  <si>
    <t>=IF(SUM(M116:N116)=0,"",SUM(M116:N116))</t>
  </si>
  <si>
    <t>=O116</t>
  </si>
  <si>
    <t>=R116-7</t>
  </si>
  <si>
    <t>=IFERROR(IF(J116*T116&lt;&gt;0,J116-T116,""),"")</t>
  </si>
  <si>
    <t>=IF(U116&lt;&gt;"",IF(U116&gt;28,"Too early",IF(U116&lt;14,"Too late","")),"")</t>
  </si>
  <si>
    <t>=IF(OFFSET(X116,1,0)="",R116,OFFSET(X116,1,0))</t>
  </si>
  <si>
    <t>=IFERROR(IF(J116*Z116&lt;&gt;0,J116-Z116,""),"")</t>
  </si>
  <si>
    <t>=IF(AA116&lt;&gt;"",IF(AA116&gt;28,"Too early",IF(AA116&lt;14,"Too late","")),"")</t>
  </si>
  <si>
    <t>=IF(AI116="","",AI116*AJ116*AK116/1000/1000/1000)</t>
  </si>
  <si>
    <t>=COUNTIF(J$3:OFFSET(J117,-1,0),"Subtotal:")+1</t>
  </si>
  <si>
    <t>=IF(OFFSET(B117,1,0)&lt;&gt;"",OFFSET(B117,1,0),"")</t>
  </si>
  <si>
    <t>=LEFT(F117,3)</t>
  </si>
  <si>
    <t>=IF(SUM(M117:N117)=0,"",SUM(M117:N117))</t>
  </si>
  <si>
    <t>=R117-7</t>
  </si>
  <si>
    <t>=IFERROR(IF(J117*T117&lt;&gt;0,J117-T117,""),"")</t>
  </si>
  <si>
    <t>=IF(U117&lt;&gt;"",IF(U117&gt;28,"Too early",IF(U117&lt;14,"Too late","")),"")</t>
  </si>
  <si>
    <t>=IF(OFFSET(X117,1,0)="",R117,OFFSET(X117,1,0))</t>
  </si>
  <si>
    <t>=IFERROR(IF(J117*Z117&lt;&gt;0,J117-Z117,""),"")</t>
  </si>
  <si>
    <t>=IF(AA117&lt;&gt;"",IF(AA117&gt;28,"Too early",IF(AA117&lt;14,"Too late","")),"")</t>
  </si>
  <si>
    <t>=IF(AI117="","",AI117*AJ117*AK117/1000/1000/1000)</t>
  </si>
  <si>
    <t>=COUNTIF(J$3:OFFSET(J118,-1,0),"Subtotal:")+1</t>
  </si>
  <si>
    <t>=IF(OFFSET(B118,1,0)&lt;&gt;"",OFFSET(B118,1,0),"")</t>
  </si>
  <si>
    <t>=LEFT(F118,3)</t>
  </si>
  <si>
    <t>=IF(SUM(M118:N118)=0,"",SUM(M118:N118))</t>
  </si>
  <si>
    <t>=O118</t>
  </si>
  <si>
    <t>=R118-7</t>
  </si>
  <si>
    <t>=IFERROR(IF(J118*T118&lt;&gt;0,J118-T118,""),"")</t>
  </si>
  <si>
    <t>=IF(U118&lt;&gt;"",IF(U118&gt;28,"Too early",IF(U118&lt;14,"Too late","")),"")</t>
  </si>
  <si>
    <t>=IF(OFFSET(X118,1,0)="",R118,OFFSET(X118,1,0))</t>
  </si>
  <si>
    <t>=IFERROR(IF(J118*Z118&lt;&gt;0,J118-Z118,""),"")</t>
  </si>
  <si>
    <t>=IF(AA118&lt;&gt;"",IF(AA118&gt;28,"Too early",IF(AA118&lt;14,"Too late","")),"")</t>
  </si>
  <si>
    <t>=IF(AI118="","",AI118*AJ118*AK118/1000/1000/1000)</t>
  </si>
  <si>
    <t>=COUNTIF(J$3:OFFSET(J119,-1,0),"Subtotal:")+1</t>
  </si>
  <si>
    <t>=IF(OFFSET(B119,1,0)&lt;&gt;"",OFFSET(B119,1,0),"")</t>
  </si>
  <si>
    <t>=LEFT(F119,3)</t>
  </si>
  <si>
    <t>=IF(SUM(M119:N119)=0,"",SUM(M119:N119))</t>
  </si>
  <si>
    <t>=O119</t>
  </si>
  <si>
    <t>=R119-7</t>
  </si>
  <si>
    <t>=IFERROR(IF(J119*T119&lt;&gt;0,J119-T119,""),"")</t>
  </si>
  <si>
    <t>=IF(U119&lt;&gt;"",IF(U119&gt;28,"Too early",IF(U119&lt;14,"Too late","")),"")</t>
  </si>
  <si>
    <t>=IF(OFFSET(X119,1,0)="",R119,OFFSET(X119,1,0))</t>
  </si>
  <si>
    <t>=IFERROR(IF(J119*Z119&lt;&gt;0,J119-Z119,""),"")</t>
  </si>
  <si>
    <t>=IF(AA119&lt;&gt;"",IF(AA119&gt;28,"Too early",IF(AA119&lt;14,"Too late","")),"")</t>
  </si>
  <si>
    <t>=IF(AI119="","",AI119*AJ119*AK119/1000/1000/1000)</t>
  </si>
  <si>
    <t>=COUNTIF(J$3:OFFSET(J120,-1,0),"Subtotal:")+1</t>
  </si>
  <si>
    <t>=IF(OFFSET(B120,1,0)&lt;&gt;"",OFFSET(B120,1,0),"")</t>
  </si>
  <si>
    <t>=LEFT(F120,3)</t>
  </si>
  <si>
    <t>=IF(SUM(M120:N120)=0,"",SUM(M120:N120))</t>
  </si>
  <si>
    <t>=O120</t>
  </si>
  <si>
    <t>=R120-7</t>
  </si>
  <si>
    <t>=IFERROR(IF(J120*T120&lt;&gt;0,J120-T120,""),"")</t>
  </si>
  <si>
    <t>=IF(U120&lt;&gt;"",IF(U120&gt;28,"Too early",IF(U120&lt;14,"Too late","")),"")</t>
  </si>
  <si>
    <t>=IF(OFFSET(X120,1,0)="",R120,OFFSET(X120,1,0))</t>
  </si>
  <si>
    <t>=IFERROR(IF(J120*Z120&lt;&gt;0,J120-Z120,""),"")</t>
  </si>
  <si>
    <t>=IF(AA120&lt;&gt;"",IF(AA120&gt;28,"Too early",IF(AA120&lt;14,"Too late","")),"")</t>
  </si>
  <si>
    <t>=IF(AI120="","",AI120*AJ120*AK120/1000/1000/1000)</t>
  </si>
  <si>
    <t>=COUNTIF(J$3:OFFSET(J121,-1,0),"Subtotal:")+1</t>
  </si>
  <si>
    <t>=IF(OFFSET(B121,1,0)&lt;&gt;"",OFFSET(B121,1,0),"")</t>
  </si>
  <si>
    <t>=LEFT(F121,3)</t>
  </si>
  <si>
    <t>46517</t>
  </si>
  <si>
    <t>=IF(SUM(M121:N121)=0,"",SUM(M121:N121))</t>
  </si>
  <si>
    <t>=R121-7</t>
  </si>
  <si>
    <t>=IFERROR(IF(J121*T121&lt;&gt;0,J121-T121,""),"")</t>
  </si>
  <si>
    <t>=IF(U121&lt;&gt;"",IF(U121&gt;28,"Too early",IF(U121&lt;14,"Too late","")),"")</t>
  </si>
  <si>
    <t>=IF(OFFSET(X121,1,0)="",R121,OFFSET(X121,1,0))</t>
  </si>
  <si>
    <t>=IFERROR(IF(J121*Z121&lt;&gt;0,J121-Z121,""),"")</t>
  </si>
  <si>
    <t>=IF(AA121&lt;&gt;"",IF(AA121&gt;28,"Too early",IF(AA121&lt;14,"Too late","")),"")</t>
  </si>
  <si>
    <t>=IF(AI121="","",AI121*AJ121*AK121/1000/1000/1000)</t>
  </si>
  <si>
    <t>=COUNTIF(J$3:OFFSET(J123,-1,0),"Subtotal:")+1</t>
  </si>
  <si>
    <t>=IF(OFFSET(B123,1,0)&lt;&gt;"",OFFSET(B123,1,0),"")</t>
  </si>
  <si>
    <t>=LEFT(F123,3)</t>
  </si>
  <si>
    <t>ASU</t>
  </si>
  <si>
    <t>=IF(SUM(M123:N123)=0,"",SUM(M123:N123))</t>
  </si>
  <si>
    <t>=O123</t>
  </si>
  <si>
    <t>=R123-7</t>
  </si>
  <si>
    <t>=IFERROR(IF(J123*T123&lt;&gt;0,J123-T123,""),"")</t>
  </si>
  <si>
    <t>=IF(U123&lt;&gt;"",IF(U123&gt;28,"Too early",IF(U123&lt;14,"Too late","")),"")</t>
  </si>
  <si>
    <t>=IF(OFFSET(X123,1,0)="",R123,OFFSET(X123,1,0))</t>
  </si>
  <si>
    <t>=IFERROR(IF(J123*Z123&lt;&gt;0,J123-Z123,""),"")</t>
  </si>
  <si>
    <t>=IF(AA123&lt;&gt;"",IF(AA123&gt;28,"Too early",IF(AA123&lt;14,"Too late","")),"")</t>
  </si>
  <si>
    <t>=IF(AI123="","",AI123*AJ123*AK123/1000/1000/1000)</t>
  </si>
  <si>
    <t>=COUNTIF(J$3:OFFSET(J124,-1,0),"Subtotal:")+1</t>
  </si>
  <si>
    <t>=IF(OFFSET(B124,1,0)&lt;&gt;"",OFFSET(B124,1,0),"")</t>
  </si>
  <si>
    <t>=LEFT(F124,3)</t>
  </si>
  <si>
    <t>46604</t>
  </si>
  <si>
    <t>=IF(SUM(M124:N124)=0,"",SUM(M124:N124))</t>
  </si>
  <si>
    <t>=R124-7</t>
  </si>
  <si>
    <t>=IFERROR(IF(J124*T124&lt;&gt;0,J124-T124,""),"")</t>
  </si>
  <si>
    <t>=IF(U124&lt;&gt;"",IF(U124&gt;28,"Too early",IF(U124&lt;14,"Too late","")),"")</t>
  </si>
  <si>
    <t>=IF(OFFSET(X124,1,0)="",R124,OFFSET(X124,1,0))</t>
  </si>
  <si>
    <t>=IFERROR(IF(J124*Z124&lt;&gt;0,J124-Z124,""),"")</t>
  </si>
  <si>
    <t>=IF(AA124&lt;&gt;"",IF(AA124&gt;28,"Too early",IF(AA124&lt;14,"Too late","")),"")</t>
  </si>
  <si>
    <t>=IF(AI124="","",AI124*AJ124*AK124/1000/1000/1000)</t>
  </si>
  <si>
    <t>=COUNTIF(J$3:OFFSET(J125,-1,0),"Subtotal:")+1</t>
  </si>
  <si>
    <t>=IF(OFFSET(B125,1,0)&lt;&gt;"",OFFSET(B125,1,0),"")</t>
  </si>
  <si>
    <t>=LEFT(F125,3)</t>
  </si>
  <si>
    <t>46594</t>
  </si>
  <si>
    <t>=IF(SUM(M125:N125)=0,"",SUM(M125:N125))</t>
  </si>
  <si>
    <t>=R125-7</t>
  </si>
  <si>
    <t>=IFERROR(IF(J125*T125&lt;&gt;0,J125-T125,""),"")</t>
  </si>
  <si>
    <t>=IF(U125&lt;&gt;"",IF(U125&gt;28,"Too early",IF(U125&lt;14,"Too late","")),"")</t>
  </si>
  <si>
    <t>=IF(OFFSET(X125,1,0)="",R125,OFFSET(X125,1,0))</t>
  </si>
  <si>
    <t>=IFERROR(IF(J125*Z125&lt;&gt;0,J125-Z125,""),"")</t>
  </si>
  <si>
    <t>=IF(AA125&lt;&gt;"",IF(AA125&gt;28,"Too early",IF(AA125&lt;14,"Too late","")),"")</t>
  </si>
  <si>
    <t>=IF(AI125="","",AI125*AJ125*AK125/1000/1000/1000)</t>
  </si>
  <si>
    <t>=COUNTIF(J$3:OFFSET(J126,-1,0),"Subtotal:")+1</t>
  </si>
  <si>
    <t>=IF(OFFSET(B126,1,0)&lt;&gt;"",OFFSET(B126,1,0),"")</t>
  </si>
  <si>
    <t>=LEFT(F126,3)</t>
  </si>
  <si>
    <t>46610</t>
  </si>
  <si>
    <t>=IF(SUM(M126:N126)=0,"",SUM(M126:N126))</t>
  </si>
  <si>
    <t>=R126-7</t>
  </si>
  <si>
    <t>=IFERROR(IF(J126*T126&lt;&gt;0,J126-T126,""),"")</t>
  </si>
  <si>
    <t>=IF(U126&lt;&gt;"",IF(U126&gt;28,"Too early",IF(U126&lt;14,"Too late","")),"")</t>
  </si>
  <si>
    <t>=IF(OFFSET(X126,1,0)="",R126,OFFSET(X126,1,0))</t>
  </si>
  <si>
    <t>=IFERROR(IF(J126*Z126&lt;&gt;0,J126-Z126,""),"")</t>
  </si>
  <si>
    <t>=IF(AA126&lt;&gt;"",IF(AA126&gt;28,"Too early",IF(AA126&lt;14,"Too late","")),"")</t>
  </si>
  <si>
    <t>=IF(AI126="","",AI126*AJ126*AK126/1000/1000/1000)</t>
  </si>
  <si>
    <t>=COUNTIF(J$3:OFFSET(J127,-1,0),"Subtotal:")+1</t>
  </si>
  <si>
    <t>=IF(OFFSET(B127,1,0)&lt;&gt;"",OFFSET(B127,1,0),"")</t>
  </si>
  <si>
    <t>=LEFT(F127,3)</t>
  </si>
  <si>
    <t>=IF(SUM(M127:N127)=0,"",SUM(M127:N127))</t>
  </si>
  <si>
    <t>=R127-7</t>
  </si>
  <si>
    <t>=IFERROR(IF(J127*T127&lt;&gt;0,J127-T127,""),"")</t>
  </si>
  <si>
    <t>=IF(U127&lt;&gt;"",IF(U127&gt;28,"Too early",IF(U127&lt;14,"Too late","")),"")</t>
  </si>
  <si>
    <t>=IF(OFFSET(X127,1,0)="",R127,OFFSET(X127,1,0))</t>
  </si>
  <si>
    <t>=IFERROR(IF(J127*Z127&lt;&gt;0,J127-Z127,""),"")</t>
  </si>
  <si>
    <t>=IF(AA127&lt;&gt;"",IF(AA127&gt;28,"Too early",IF(AA127&lt;14,"Too late","")),"")</t>
  </si>
  <si>
    <t>=IF(AI127="","",AI127*AJ127*AK127/1000/1000/1000)</t>
  </si>
  <si>
    <t>=COUNTIF(J$3:OFFSET(J128,-1,0),"Subtotal:")+1</t>
  </si>
  <si>
    <t>=IF(OFFSET(B128,1,0)&lt;&gt;"",OFFSET(B128,1,0),"")</t>
  </si>
  <si>
    <t>=LEFT(F128,3)</t>
  </si>
  <si>
    <t>46617</t>
  </si>
  <si>
    <t>=IF(SUM(M128:N128)=0,"",SUM(M128:N128))</t>
  </si>
  <si>
    <t>=R128-7</t>
  </si>
  <si>
    <t>=IFERROR(IF(J128*T128&lt;&gt;0,J128-T128,""),"")</t>
  </si>
  <si>
    <t>=IF(U128&lt;&gt;"",IF(U128&gt;28,"Too early",IF(U128&lt;14,"Too late","")),"")</t>
  </si>
  <si>
    <t>=IF(OFFSET(X128,1,0)="",R128,OFFSET(X128,1,0))</t>
  </si>
  <si>
    <t>=IFERROR(IF(J128*Z128&lt;&gt;0,J128-Z128,""),"")</t>
  </si>
  <si>
    <t>=IF(AA128&lt;&gt;"",IF(AA128&gt;28,"Too early",IF(AA128&lt;14,"Too late","")),"")</t>
  </si>
  <si>
    <t>=IF(AI128="","",AI128*AJ128*AK128/1000/1000/1000)</t>
  </si>
  <si>
    <t>=IF(SUM(M129:N129)=0,"",SUM(M129:N129))</t>
  </si>
  <si>
    <t>=IF(AI129="","",AI129*AJ129*AK129/1000/1000/1000)</t>
  </si>
  <si>
    <t>=COUNTIF(J$3:OFFSET(J130,-1,0),"Subtotal:")+1</t>
  </si>
  <si>
    <t>=IF(OFFSET(B130,1,0)&lt;&gt;"",OFFSET(B130,1,0),"")</t>
  </si>
  <si>
    <t>=LEFT(F130,3)</t>
  </si>
  <si>
    <t>ASU+WD_filter box</t>
  </si>
  <si>
    <t>=IF(SUM(M130:N130)=0,"",SUM(M130:N130))</t>
  </si>
  <si>
    <t>=R130-7</t>
  </si>
  <si>
    <t>=IFERROR(IF(J130*T130&lt;&gt;0,J130-T130,""),"")</t>
  </si>
  <si>
    <t>=IF(U130&lt;&gt;"",IF(U130&gt;28,"Too early",IF(U130&lt;14,"Too late","")),"")</t>
  </si>
  <si>
    <t>=IF(OFFSET(X130,1,0)="",R130,OFFSET(X130,1,0))</t>
  </si>
  <si>
    <t>=IFERROR(IF(J130*Z130&lt;&gt;0,J130-Z130,""),"")</t>
  </si>
  <si>
    <t>=IF(AA130&lt;&gt;"",IF(AA130&gt;28,"Too early",IF(AA130&lt;14,"Too late","")),"")</t>
  </si>
  <si>
    <t>=IF(AI130="","",AI130*AJ130*AK130/1000/1000/1000)</t>
  </si>
  <si>
    <t>=COUNTIF(J$3:OFFSET(J131,-1,0),"Subtotal:")+1</t>
  </si>
  <si>
    <t>=IF(OFFSET(B131,1,0)&lt;&gt;"",OFFSET(B131,1,0),"")</t>
  </si>
  <si>
    <t>=LEFT(F131,3)</t>
  </si>
  <si>
    <t>=IF(SUM(M131:N131)=0,"",SUM(M131:N131))</t>
  </si>
  <si>
    <t>=R131-7</t>
  </si>
  <si>
    <t>=IFERROR(IF(J131*T131&lt;&gt;0,J131-T131,""),"")</t>
  </si>
  <si>
    <t>=IF(U131&lt;&gt;"",IF(U131&gt;28,"Too early",IF(U131&lt;14,"Too late","")),"")</t>
  </si>
  <si>
    <t>=IF(OFFSET(X131,1,0)="",R131,OFFSET(X131,1,0))</t>
  </si>
  <si>
    <t>=IFERROR(IF(J131*Z131&lt;&gt;0,J131-Z131,""),"")</t>
  </si>
  <si>
    <t>=IF(AA131&lt;&gt;"",IF(AA131&gt;28,"Too early",IF(AA131&lt;14,"Too late","")),"")</t>
  </si>
  <si>
    <t>=IF(AI131="","",AI131*AJ131*AK131/1000/1000/1000)</t>
  </si>
  <si>
    <t>=COUNTIF(J$3:OFFSET(J132,-1,0),"Subtotal:")+1</t>
  </si>
  <si>
    <t>=IF(OFFSET(B132,1,0)&lt;&gt;"",OFFSET(B132,1,0),"")</t>
  </si>
  <si>
    <t>=LEFT(F132,3)</t>
  </si>
  <si>
    <t>46566</t>
  </si>
  <si>
    <t>=IF(SUM(M132:N132)=0,"",SUM(M132:N132))</t>
  </si>
  <si>
    <t>=R132-7</t>
  </si>
  <si>
    <t>=IFERROR(IF(J132*T132&lt;&gt;0,J132-T132,""),"")</t>
  </si>
  <si>
    <t>=IF(U132&lt;&gt;"",IF(U132&gt;28,"Too early",IF(U132&lt;14,"Too late","")),"")</t>
  </si>
  <si>
    <t>=IF(OFFSET(X132,1,0)="",R132,OFFSET(X132,1,0))</t>
  </si>
  <si>
    <t>=IFERROR(IF(J132*Z132&lt;&gt;0,J132-Z132,""),"")</t>
  </si>
  <si>
    <t>=IF(AA132&lt;&gt;"",IF(AA132&gt;28,"Too early",IF(AA132&lt;14,"Too late","")),"")</t>
  </si>
  <si>
    <t>=IF(AI132="","",AI132*AJ132*AK132/1000/1000/1000)</t>
  </si>
  <si>
    <t>=COUNTIF(J$3:OFFSET(J133,-1,0),"Subtotal:")+1</t>
  </si>
  <si>
    <t>=IF(OFFSET(B133,1,0)&lt;&gt;"",OFFSET(B133,1,0),"")</t>
  </si>
  <si>
    <t>=LEFT(F133,3)</t>
  </si>
  <si>
    <t>46587</t>
  </si>
  <si>
    <t>=IF(SUM(M133:N133)=0,"",SUM(M133:N133))</t>
  </si>
  <si>
    <t>=R133-7</t>
  </si>
  <si>
    <t>=IFERROR(IF(J133*T133&lt;&gt;0,J133-T133,""),"")</t>
  </si>
  <si>
    <t>=IF(U133&lt;&gt;"",IF(U133&gt;28,"Too early",IF(U133&lt;14,"Too late","")),"")</t>
  </si>
  <si>
    <t>=IF(OFFSET(X133,1,0)="",R133,OFFSET(X133,1,0))</t>
  </si>
  <si>
    <t>=IFERROR(IF(J133*Z133&lt;&gt;0,J133-Z133,""),"")</t>
  </si>
  <si>
    <t>=IF(AA133&lt;&gt;"",IF(AA133&gt;28,"Too early",IF(AA133&lt;14,"Too late","")),"")</t>
  </si>
  <si>
    <t>=IF(AI133="","",AI133*AJ133*AK133/1000/1000/1000)</t>
  </si>
  <si>
    <t>=COUNTIF(J$3:OFFSET(J134,-1,0),"Subtotal:")+1</t>
  </si>
  <si>
    <t>=IF(OFFSET(B134,1,0)&lt;&gt;"",OFFSET(B134,1,0),"")</t>
  </si>
  <si>
    <t>=LEFT(F134,3)</t>
  </si>
  <si>
    <t>=IF(SUM(M134:N134)=0,"",SUM(M134:N134))</t>
  </si>
  <si>
    <t>=R134-7</t>
  </si>
  <si>
    <t>=IFERROR(IF(J134*T134&lt;&gt;0,J134-T134,""),"")</t>
  </si>
  <si>
    <t>=IF(U134&lt;&gt;"",IF(U134&gt;28,"Too early",IF(U134&lt;14,"Too late","")),"")</t>
  </si>
  <si>
    <t>=IF(OFFSET(X134,1,0)="",R134,OFFSET(X134,1,0))</t>
  </si>
  <si>
    <t>=IFERROR(IF(J134*Z134&lt;&gt;0,J134-Z134,""),"")</t>
  </si>
  <si>
    <t>=IF(AA134&lt;&gt;"",IF(AA134&gt;28,"Too early",IF(AA134&lt;14,"Too late","")),"")</t>
  </si>
  <si>
    <t>=IF(AI134="","",AI134*AJ134*AK134/1000/1000/1000)</t>
  </si>
  <si>
    <t>=COUNTIF(J$3:OFFSET(J135,-1,0),"Subtotal:")+1</t>
  </si>
  <si>
    <t>=IF(OFFSET(B135,1,0)&lt;&gt;"",OFFSET(B135,1,0),"")</t>
  </si>
  <si>
    <t>=LEFT(F135,3)</t>
  </si>
  <si>
    <t>=IF(SUM(M135:N135)=0,"",SUM(M135:N135))</t>
  </si>
  <si>
    <t>=R135-7</t>
  </si>
  <si>
    <t>=IFERROR(IF(J135*T135&lt;&gt;0,J135-T135,""),"")</t>
  </si>
  <si>
    <t>=IF(U135&lt;&gt;"",IF(U135&gt;28,"Too early",IF(U135&lt;14,"Too late","")),"")</t>
  </si>
  <si>
    <t>=IF(OFFSET(X135,1,0)="",R135,OFFSET(X135,1,0))</t>
  </si>
  <si>
    <t>=IFERROR(IF(J135*Z135&lt;&gt;0,J135-Z135,""),"")</t>
  </si>
  <si>
    <t>=IF(AA135&lt;&gt;"",IF(AA135&gt;28,"Too early",IF(AA135&lt;14,"Too late","")),"")</t>
  </si>
  <si>
    <t>=IF(AI135="","",AI135*AJ135*AK135/1000/1000/1000)</t>
  </si>
  <si>
    <t>=IF(SUM(M136:N136)=0,"",SUM(M136:N136))</t>
  </si>
  <si>
    <t>=IF(AI136="","",AI136*AJ136*AK136/1000/1000/1000)</t>
  </si>
  <si>
    <t>=COUNTIF(J$3:OFFSET(J137,-1,0),"Subtotal:")+1</t>
  </si>
  <si>
    <t>=IF(OFFSET(B137,1,0)&lt;&gt;"",OFFSET(B137,1,0),"")</t>
  </si>
  <si>
    <t>=LEFT(F137,3)</t>
  </si>
  <si>
    <t>=IF(SUM(M137:N137)=0,"",SUM(M137:N137))</t>
  </si>
  <si>
    <t>=R137-7</t>
  </si>
  <si>
    <t>=IFERROR(IF(J137*T137&lt;&gt;0,J137-T137,""),"")</t>
  </si>
  <si>
    <t>=IF(U137&lt;&gt;"",IF(U137&gt;28,"Too early",IF(U137&lt;14,"Too late","")),"")</t>
  </si>
  <si>
    <t>=IF(OFFSET(X137,1,0)="",R137,OFFSET(X137,1,0))</t>
  </si>
  <si>
    <t>=IFERROR(IF(J137*Z137&lt;&gt;0,J137-Z137,""),"")</t>
  </si>
  <si>
    <t>=IF(AA137&lt;&gt;"",IF(AA137&gt;28,"Too early",IF(AA137&lt;14,"Too late","")),"")</t>
  </si>
  <si>
    <t>=IF(AI137="","",AI137*AJ137*AK137/1000/1000/1000)</t>
  </si>
  <si>
    <t>=COUNTIF(J$3:OFFSET(J138,-1,0),"Subtotal:")+1</t>
  </si>
  <si>
    <t>=IF(OFFSET(B138,1,0)&lt;&gt;"",OFFSET(B138,1,0),"")</t>
  </si>
  <si>
    <t>=LEFT(F138,3)</t>
  </si>
  <si>
    <t>46596</t>
  </si>
  <si>
    <t>=IF(SUM(M138:N138)=0,"",SUM(M138:N138))</t>
  </si>
  <si>
    <t>=R138-7</t>
  </si>
  <si>
    <t>=IFERROR(IF(J138*T138&lt;&gt;0,J138-T138,""),"")</t>
  </si>
  <si>
    <t>=IF(U138&lt;&gt;"",IF(U138&gt;28,"Too early",IF(U138&lt;14,"Too late","")),"")</t>
  </si>
  <si>
    <t>=IF(OFFSET(X138,1,0)="",R138,OFFSET(X138,1,0))</t>
  </si>
  <si>
    <t>=IFERROR(IF(J138*Z138&lt;&gt;0,J138-Z138,""),"")</t>
  </si>
  <si>
    <t>=IF(AA138&lt;&gt;"",IF(AA138&gt;28,"Too early",IF(AA138&lt;14,"Too late","")),"")</t>
  </si>
  <si>
    <t>=IF(AI138="","",AI138*AJ138*AK138/1000/1000/1000)</t>
  </si>
  <si>
    <t>=COUNTIF(J$3:OFFSET(J139,-1,0),"Subtotal:")+1</t>
  </si>
  <si>
    <t>=IF(OFFSET(B139,1,0)&lt;&gt;"",OFFSET(B139,1,0),"")</t>
  </si>
  <si>
    <t>=LEFT(F139,3)</t>
  </si>
  <si>
    <t>=IF(SUM(M139:N139)=0,"",SUM(M139:N139))</t>
  </si>
  <si>
    <t>=R139-7</t>
  </si>
  <si>
    <t>=IFERROR(IF(J139*T139&lt;&gt;0,J139-T139,""),"")</t>
  </si>
  <si>
    <t>=IF(U139&lt;&gt;"",IF(U139&gt;28,"Too early",IF(U139&lt;14,"Too late","")),"")</t>
  </si>
  <si>
    <t>=IF(OFFSET(X139,1,0)="",R139,OFFSET(X139,1,0))</t>
  </si>
  <si>
    <t>=IFERROR(IF(J139*Z139&lt;&gt;0,J139-Z139,""),"")</t>
  </si>
  <si>
    <t>=IF(AA139&lt;&gt;"",IF(AA139&gt;28,"Too early",IF(AA139&lt;14,"Too late","")),"")</t>
  </si>
  <si>
    <t>=IF(AI139="","",AI139*AJ139*AK139/1000/1000/1000)</t>
  </si>
  <si>
    <t>=COUNTIF(J$3:OFFSET(J140,-1,0),"Subtotal:")+1</t>
  </si>
  <si>
    <t>=IF(OFFSET(B140,1,0)&lt;&gt;"",OFFSET(B140,1,0),"")</t>
  </si>
  <si>
    <t>=LEFT(F140,3)</t>
  </si>
  <si>
    <t>46601</t>
  </si>
  <si>
    <t>=IF(SUM(M140:N140)=0,"",SUM(M140:N140))</t>
  </si>
  <si>
    <t>=R140-7</t>
  </si>
  <si>
    <t>=IFERROR(IF(J140*T140&lt;&gt;0,J140-T140,""),"")</t>
  </si>
  <si>
    <t>=IF(U140&lt;&gt;"",IF(U140&gt;28,"Too early",IF(U140&lt;14,"Too late","")),"")</t>
  </si>
  <si>
    <t>=IF(OFFSET(X140,1,0)="",R140,OFFSET(X140,1,0))</t>
  </si>
  <si>
    <t>=IFERROR(IF(J140*Z140&lt;&gt;0,J140-Z140,""),"")</t>
  </si>
  <si>
    <t>=IF(AA140&lt;&gt;"",IF(AA140&gt;28,"Too early",IF(AA140&lt;14,"Too late","")),"")</t>
  </si>
  <si>
    <t>=IF(AI140="","",AI140*AJ140*AK140/1000/1000/1000)</t>
  </si>
  <si>
    <t>=COUNTIF(J$3:OFFSET(J141,-1,0),"Subtotal:")+1</t>
  </si>
  <si>
    <t>=IF(OFFSET(B141,1,0)&lt;&gt;"",OFFSET(B141,1,0),"")</t>
  </si>
  <si>
    <t>=LEFT(F141,3)</t>
  </si>
  <si>
    <t>=IF(SUM(M141:N141)=0,"",SUM(M141:N141))</t>
  </si>
  <si>
    <t>=R141-7</t>
  </si>
  <si>
    <t>=IFERROR(IF(J141*T141&lt;&gt;0,J141-T141,""),"")</t>
  </si>
  <si>
    <t>=IF(U141&lt;&gt;"",IF(U141&gt;28,"Too early",IF(U141&lt;14,"Too late","")),"")</t>
  </si>
  <si>
    <t>=IF(OFFSET(X141,1,0)="",R141,OFFSET(X141,1,0))</t>
  </si>
  <si>
    <t>=IFERROR(IF(J141*Z141&lt;&gt;0,J141-Z141,""),"")</t>
  </si>
  <si>
    <t>=IF(AA141&lt;&gt;"",IF(AA141&gt;28,"Too early",IF(AA141&lt;14,"Too late","")),"")</t>
  </si>
  <si>
    <t>=IF(AI141="","",AI141*AJ141*AK141/1000/1000/1000)</t>
  </si>
  <si>
    <t>=COUNTIF(J$3:OFFSET(J142,-1,0),"Subtotal:")+1</t>
  </si>
  <si>
    <t>=IF(OFFSET(B142,1,0)&lt;&gt;"",OFFSET(B142,1,0),"")</t>
  </si>
  <si>
    <t>=LEFT(F142,3)</t>
  </si>
  <si>
    <t>46616</t>
  </si>
  <si>
    <t>=IF(SUM(M142:N142)=0,"",SUM(M142:N142))</t>
  </si>
  <si>
    <t>=R142-7</t>
  </si>
  <si>
    <t>=IFERROR(IF(J142*T142&lt;&gt;0,J142-T142,""),"")</t>
  </si>
  <si>
    <t>=IF(U142&lt;&gt;"",IF(U142&gt;28,"Too early",IF(U142&lt;14,"Too late","")),"")</t>
  </si>
  <si>
    <t>=IF(OFFSET(X142,1,0)="",R142,OFFSET(X142,1,0))</t>
  </si>
  <si>
    <t>=IFERROR(IF(J142*Z142&lt;&gt;0,J142-Z142,""),"")</t>
  </si>
  <si>
    <t>=IF(AA142&lt;&gt;"",IF(AA142&gt;28,"Too early",IF(AA142&lt;14,"Too late","")),"")</t>
  </si>
  <si>
    <t>=IF(AI142="","",AI142*AJ142*AK142/1000/1000/1000)</t>
  </si>
  <si>
    <t>=IF(SUM(M143:N143)=0,"",SUM(M143:N143))</t>
  </si>
  <si>
    <t>=IF(AI143="","",AI143*AJ143*AK143/1000/1000/1000)</t>
  </si>
  <si>
    <t>=COUNTIF(J$3:OFFSET(J144,-1,0),"Subtotal:")+1</t>
  </si>
  <si>
    <t>=IF(OFFSET(B144,1,0)&lt;&gt;"",OFFSET(B144,1,0),"")</t>
  </si>
  <si>
    <t>=LEFT(F144,3)</t>
  </si>
  <si>
    <t>46575</t>
  </si>
  <si>
    <t>=IF(SUM(M144:N144)=0,"",SUM(M144:N144))</t>
  </si>
  <si>
    <t>=R144-7</t>
  </si>
  <si>
    <t>=IFERROR(IF(J144*T144&lt;&gt;0,J144-T144,""),"")</t>
  </si>
  <si>
    <t>=IF(U144&lt;&gt;"",IF(U144&gt;28,"Too early",IF(U144&lt;14,"Too late","")),"")</t>
  </si>
  <si>
    <t>=IF(OFFSET(X144,1,0)="",R144,OFFSET(X144,1,0))</t>
  </si>
  <si>
    <t>=IFERROR(IF(J144*Z144&lt;&gt;0,J144-Z144,""),"")</t>
  </si>
  <si>
    <t>=IF(AA144&lt;&gt;"",IF(AA144&gt;28,"Too early",IF(AA144&lt;14,"Too late","")),"")</t>
  </si>
  <si>
    <t>=IF(AI144="","",AI144*AJ144*AK144/1000/1000/1000)</t>
  </si>
  <si>
    <t>=COUNTIF(J$3:OFFSET(J145,-1,0),"Subtotal:")+1</t>
  </si>
  <si>
    <t>=IF(OFFSET(B145,1,0)&lt;&gt;"",OFFSET(B145,1,0),"")</t>
  </si>
  <si>
    <t>=LEFT(F145,3)</t>
  </si>
  <si>
    <t>=IF(SUM(M145:N145)=0,"",SUM(M145:N145))</t>
  </si>
  <si>
    <t>=R145-7</t>
  </si>
  <si>
    <t>=IFERROR(IF(J145*T145&lt;&gt;0,J145-T145,""),"")</t>
  </si>
  <si>
    <t>=IF(U145&lt;&gt;"",IF(U145&gt;28,"Too early",IF(U145&lt;14,"Too late","")),"")</t>
  </si>
  <si>
    <t>=IF(OFFSET(X145,1,0)="",R145,OFFSET(X145,1,0))</t>
  </si>
  <si>
    <t>=IFERROR(IF(J145*Z145&lt;&gt;0,J145-Z145,""),"")</t>
  </si>
  <si>
    <t>=IF(AA145&lt;&gt;"",IF(AA145&gt;28,"Too early",IF(AA145&lt;14,"Too late","")),"")</t>
  </si>
  <si>
    <t>=IF(AI145="","",AI145*AJ145*AK145/1000/1000/1000)</t>
  </si>
  <si>
    <t>=COUNTIF(J$3:OFFSET(J146,-1,0),"Subtotal:")+1</t>
  </si>
  <si>
    <t>=IF(OFFSET(B146,1,0)&lt;&gt;"",OFFSET(B146,1,0),"")</t>
  </si>
  <si>
    <t>=LEFT(F146,3)</t>
  </si>
  <si>
    <t>46576</t>
  </si>
  <si>
    <t>=IF(SUM(M146:N146)=0,"",SUM(M146:N146))</t>
  </si>
  <si>
    <t>=R146-7</t>
  </si>
  <si>
    <t>=IFERROR(IF(J146*T146&lt;&gt;0,J146-T146,""),"")</t>
  </si>
  <si>
    <t>=IF(U146&lt;&gt;"",IF(U146&gt;28,"Too early",IF(U146&lt;14,"Too late","")),"")</t>
  </si>
  <si>
    <t>=IF(OFFSET(X146,1,0)="",R146,OFFSET(X146,1,0))</t>
  </si>
  <si>
    <t>=IFERROR(IF(J146*Z146&lt;&gt;0,J146-Z146,""),"")</t>
  </si>
  <si>
    <t>=IF(AA146&lt;&gt;"",IF(AA146&gt;28,"Too early",IF(AA146&lt;14,"Too late","")),"")</t>
  </si>
  <si>
    <t>=IF(AI146="","",AI146*AJ146*AK146/1000/1000/1000)</t>
  </si>
  <si>
    <t>=COUNTIF(J$3:OFFSET(J147,-1,0),"Subtotal:")+1</t>
  </si>
  <si>
    <t>=R147-7</t>
  </si>
  <si>
    <t>=IFERROR(IF(J147*T147&lt;&gt;0,J147-T147,""),"")</t>
  </si>
  <si>
    <t>=IF(U147&lt;&gt;"",IF(U147&gt;28,"Too early",IF(U147&lt;14,"Too late","")),"")</t>
  </si>
  <si>
    <t>=IFERROR(IF(J147*Z147&lt;&gt;0,J147-Z147,""),"")</t>
  </si>
  <si>
    <t>=IF(AA147&lt;&gt;"",IF(AA147&gt;28,"Too early",IF(AA147&lt;14,"Too late","")),"")</t>
  </si>
  <si>
    <t>=COUNTIF(J$3:OFFSET(J148,-1,0),"Subtotal:")+1</t>
  </si>
  <si>
    <t>=IF(OFFSET(B148,1,0)&lt;&gt;"",OFFSET(B148,1,0),"")</t>
  </si>
  <si>
    <t>=LEFT(F148,3)</t>
  </si>
  <si>
    <t>=IF(SUM(M148:N148)=0,"",SUM(M148:N148))</t>
  </si>
  <si>
    <t>=R148-7</t>
  </si>
  <si>
    <t>=IFERROR(IF(J148*T148&lt;&gt;0,J148-T148,""),"")</t>
  </si>
  <si>
    <t>=IF(U148&lt;&gt;"",IF(U148&gt;28,"Too early",IF(U148&lt;14,"Too late","")),"")</t>
  </si>
  <si>
    <t>=IF(OFFSET(X148,1,0)="",R148,OFFSET(X148,1,0))</t>
  </si>
  <si>
    <t>=IFERROR(IF(J148*Z148&lt;&gt;0,J148-Z148,""),"")</t>
  </si>
  <si>
    <t>=IF(AA148&lt;&gt;"",IF(AA148&gt;28,"Too early",IF(AA148&lt;14,"Too late","")),"")</t>
  </si>
  <si>
    <t>=IF(AI148="","",AI148*AJ148*AK148/1000/1000/1000)</t>
  </si>
  <si>
    <t>=COUNTIF(J$3:OFFSET(J149,-1,0),"Subtotal:")+1</t>
  </si>
  <si>
    <t>=IF(OFFSET(B149,1,0)&lt;&gt;"",OFFSET(B149,1,0),"")</t>
  </si>
  <si>
    <t>=LEFT(F149,3)</t>
  </si>
  <si>
    <t>46595</t>
  </si>
  <si>
    <t>=IF(SUM(M149:N149)=0,"",SUM(M149:N149))</t>
  </si>
  <si>
    <t>=R149-7</t>
  </si>
  <si>
    <t>=IFERROR(IF(J149*T149&lt;&gt;0,J149-T149,""),"")</t>
  </si>
  <si>
    <t>=IF(U149&lt;&gt;"",IF(U149&gt;28,"Too early",IF(U149&lt;14,"Too late","")),"")</t>
  </si>
  <si>
    <t>=IF(OFFSET(X149,1,0)="",R149,OFFSET(X149,1,0))</t>
  </si>
  <si>
    <t>=IFERROR(IF(J149*Z149&lt;&gt;0,J149-Z149,""),"")</t>
  </si>
  <si>
    <t>=IF(AA149&lt;&gt;"",IF(AA149&gt;28,"Too early",IF(AA149&lt;14,"Too late","")),"")</t>
  </si>
  <si>
    <t>=IF(AI149="","",AI149*AJ149*AK149/1000/1000/1000)</t>
  </si>
  <si>
    <t>=IF(SUM(M150:N150)=0,"",SUM(M150:N150))</t>
  </si>
  <si>
    <t>=IF(AI150="","",AI150*AJ150*AK150/1000/1000/1000)</t>
  </si>
  <si>
    <t>=COUNTIF(J$3:OFFSET(J151,-1,0),"Subtotal:")+1</t>
  </si>
  <si>
    <t>=IF(OFFSET(B151,1,0)&lt;&gt;"",OFFSET(B151,1,0),"")</t>
  </si>
  <si>
    <t>=LEFT(F151,3)</t>
  </si>
  <si>
    <t>RAU</t>
  </si>
  <si>
    <t>=IF(SUM(M151:N151)=0,"",SUM(M151:N151))</t>
  </si>
  <si>
    <t>=R151-7</t>
  </si>
  <si>
    <t>=IFERROR(IF(J151*T151&lt;&gt;0,J151-T151,""),"")</t>
  </si>
  <si>
    <t>=IF(U151&lt;&gt;"",IF(U151&gt;28,"Too early",IF(U151&lt;14,"Too late","")),"")</t>
  </si>
  <si>
    <t>=IF(OFFSET(X151,1,0)="",R151,OFFSET(X151,1,0))</t>
  </si>
  <si>
    <t>=IFERROR(IF(J151*Z151&lt;&gt;0,J151-Z151,""),"")</t>
  </si>
  <si>
    <t>=IF(AA151&lt;&gt;"",IF(AA151&gt;28,"Too early",IF(AA151&lt;14,"Too late","")),"")</t>
  </si>
  <si>
    <t>=IF(AI151="","",AI151*AJ151*AK151/1000/1000/1000)</t>
  </si>
  <si>
    <t>=COUNTIF(J$3:OFFSET(J152,-1,0),"Subtotal:")+1</t>
  </si>
  <si>
    <t>=IF(OFFSET(B152,1,0)&lt;&gt;"",OFFSET(B152,1,0),"")</t>
  </si>
  <si>
    <t>=LEFT(F152,3)</t>
  </si>
  <si>
    <t>46574</t>
  </si>
  <si>
    <t>=IF(SUM(M152:N152)=0,"",SUM(M152:N152))</t>
  </si>
  <si>
    <t>=R152-7</t>
  </si>
  <si>
    <t>=IFERROR(IF(J152*T152&lt;&gt;0,J152-T152,""),"")</t>
  </si>
  <si>
    <t>=IF(U152&lt;&gt;"",IF(U152&gt;28,"Too early",IF(U152&lt;14,"Too late","")),"")</t>
  </si>
  <si>
    <t>=IF(OFFSET(X152,1,0)="",R152,OFFSET(X152,1,0))</t>
  </si>
  <si>
    <t>=IFERROR(IF(J152*Z152&lt;&gt;0,J152-Z152,""),"")</t>
  </si>
  <si>
    <t>=IF(AA152&lt;&gt;"",IF(AA152&gt;28,"Too early",IF(AA152&lt;14,"Too late","")),"")</t>
  </si>
  <si>
    <t>=IF(AI152="","",AI152*AJ152*AK152/1000/1000/1000)</t>
  </si>
  <si>
    <t>=COUNTIF(J$3:OFFSET(J153,-1,0),"Subtotal:")+1</t>
  </si>
  <si>
    <t>=IF(OFFSET(B153,1,0)&lt;&gt;"",OFFSET(B153,1,0),"")</t>
  </si>
  <si>
    <t>=LEFT(F153,3)</t>
  </si>
  <si>
    <t>=IF(SUM(M153:N153)=0,"",SUM(M153:N153))</t>
  </si>
  <si>
    <t>=R153-7</t>
  </si>
  <si>
    <t>=IFERROR(IF(J153*T153&lt;&gt;0,J153-T153,""),"")</t>
  </si>
  <si>
    <t>=IF(U153&lt;&gt;"",IF(U153&gt;28,"Too early",IF(U153&lt;14,"Too late","")),"")</t>
  </si>
  <si>
    <t>=IF(OFFSET(X153,1,0)="",R153,OFFSET(X153,1,0))</t>
  </si>
  <si>
    <t>=IFERROR(IF(J153*Z153&lt;&gt;0,J153-Z153,""),"")</t>
  </si>
  <si>
    <t>=IF(AA153&lt;&gt;"",IF(AA153&gt;28,"Too early",IF(AA153&lt;14,"Too late","")),"")</t>
  </si>
  <si>
    <t>=IF(AI153="","",AI153*AJ153*AK153/1000/1000/1000)</t>
  </si>
  <si>
    <t>=COUNTIF(J$3:OFFSET(J154,-1,0),"Subtotal:")+1</t>
  </si>
  <si>
    <t>=R154-7</t>
  </si>
  <si>
    <t>=IFERROR(IF(J154*T154&lt;&gt;0,J154-T154,""),"")</t>
  </si>
  <si>
    <t>=IF(U154&lt;&gt;"",IF(U154&gt;28,"Too early",IF(U154&lt;14,"Too late","")),"")</t>
  </si>
  <si>
    <t>=IFERROR(IF(J154*Z154&lt;&gt;0,J154-Z154,""),"")</t>
  </si>
  <si>
    <t>=IF(AA154&lt;&gt;"",IF(AA154&gt;28,"Too early",IF(AA154&lt;14,"Too late","")),"")</t>
  </si>
  <si>
    <t>=COUNTIF(J$3:OFFSET(J155,-1,0),"Subtotal:")+1</t>
  </si>
  <si>
    <t>=IF(OFFSET(B155,1,0)&lt;&gt;"",OFFSET(B155,1,0),"")</t>
  </si>
  <si>
    <t>=LEFT(F155,3)</t>
  </si>
  <si>
    <t>=IF(SUM(M155:N155)=0,"",SUM(M155:N155))</t>
  </si>
  <si>
    <t>=R155-7</t>
  </si>
  <si>
    <t>=IFERROR(IF(J155*T155&lt;&gt;0,J155-T155,""),"")</t>
  </si>
  <si>
    <t>=IF(U155&lt;&gt;"",IF(U155&gt;28,"Too early",IF(U155&lt;14,"Too late","")),"")</t>
  </si>
  <si>
    <t>=IF(OFFSET(X155,1,0)="",R155,OFFSET(X155,1,0))</t>
  </si>
  <si>
    <t>=IFERROR(IF(J155*Z155&lt;&gt;0,J155-Z155,""),"")</t>
  </si>
  <si>
    <t>=IF(AA155&lt;&gt;"",IF(AA155&gt;28,"Too early",IF(AA155&lt;14,"Too late","")),"")</t>
  </si>
  <si>
    <t>=IF(AI155="","",AI155*AJ155*AK155/1000/1000/1000)</t>
  </si>
  <si>
    <t>=COUNTIF(J$3:OFFSET(J156,-1,0),"Subtotal:")+1</t>
  </si>
  <si>
    <t>=IF(OFFSET(B156,1,0)&lt;&gt;"",OFFSET(B156,1,0),"")</t>
  </si>
  <si>
    <t>=LEFT(F156,3)</t>
  </si>
  <si>
    <t>46584</t>
  </si>
  <si>
    <t>=IF(SUM(M156:N156)=0,"",SUM(M156:N156))</t>
  </si>
  <si>
    <t>=R156-7</t>
  </si>
  <si>
    <t>=IFERROR(IF(J156*T156&lt;&gt;0,J156-T156,""),"")</t>
  </si>
  <si>
    <t>=IF(U156&lt;&gt;"",IF(U156&gt;28,"Too early",IF(U156&lt;14,"Too late","")),"")</t>
  </si>
  <si>
    <t>=IF(OFFSET(X156,1,0)="",R156,OFFSET(X156,1,0))</t>
  </si>
  <si>
    <t>=IFERROR(IF(J156*Z156&lt;&gt;0,J156-Z156,""),"")</t>
  </si>
  <si>
    <t>=IF(AA156&lt;&gt;"",IF(AA156&gt;28,"Too early",IF(AA156&lt;14,"Too late","")),"")</t>
  </si>
  <si>
    <t>=IF(AI156="","",AI156*AJ156*AK156/1000/1000/1000)</t>
  </si>
  <si>
    <t>=IF(SUM(M157:N157)=0,"",SUM(M157:N157))</t>
  </si>
  <si>
    <t>=IF(AI157="","",AI157*AJ157*AK157/1000/1000/1000)</t>
  </si>
  <si>
    <t>=COUNTIF(J$3:OFFSET(J158,-1,0),"Subtotal:")+1</t>
  </si>
  <si>
    <t>=IF(OFFSET(B158,1,0)&lt;&gt;"",OFFSET(B158,1,0),"")</t>
  </si>
  <si>
    <t>=LEFT(F158,3)</t>
  </si>
  <si>
    <t>=IF(SUM(M158:N158)=0,"",SUM(M158:N158))</t>
  </si>
  <si>
    <t>=R158-7</t>
  </si>
  <si>
    <t>=IFERROR(IF(J158*T158&lt;&gt;0,J158-T158,""),"")</t>
  </si>
  <si>
    <t>=IF(U158&lt;&gt;"",IF(U158&gt;28,"Too early",IF(U158&lt;14,"Too late","")),"")</t>
  </si>
  <si>
    <t>=IF(OFFSET(X158,1,0)="",R158,OFFSET(X158,1,0))</t>
  </si>
  <si>
    <t>=IFERROR(IF(J158*Z158&lt;&gt;0,J158-Z158,""),"")</t>
  </si>
  <si>
    <t>=IF(AA158&lt;&gt;"",IF(AA158&gt;28,"Too early",IF(AA158&lt;14,"Too late","")),"")</t>
  </si>
  <si>
    <t>=IF(AI158="","",AI158*AJ158*AK158/1000/1000/1000)</t>
  </si>
  <si>
    <t>=COUNTIF(J$3:OFFSET(J159,-1,0),"Subtotal:")+1</t>
  </si>
  <si>
    <t>=IF(OFFSET(B159,1,0)&lt;&gt;"",OFFSET(B159,1,0),"")</t>
  </si>
  <si>
    <t>=LEFT(F159,3)</t>
  </si>
  <si>
    <t>=IF(SUM(M159:N159)=0,"",SUM(M159:N159))</t>
  </si>
  <si>
    <t>=R159-7</t>
  </si>
  <si>
    <t>=IFERROR(IF(J159*T159&lt;&gt;0,J159-T159,""),"")</t>
  </si>
  <si>
    <t>=IF(U159&lt;&gt;"",IF(U159&gt;28,"Too early",IF(U159&lt;14,"Too late","")),"")</t>
  </si>
  <si>
    <t>=IF(OFFSET(X159,1,0)="",R159,OFFSET(X159,1,0))</t>
  </si>
  <si>
    <t>=IFERROR(IF(J159*Z159&lt;&gt;0,J159-Z159,""),"")</t>
  </si>
  <si>
    <t>=IF(AA159&lt;&gt;"",IF(AA159&gt;28,"Too early",IF(AA159&lt;14,"Too late","")),"")</t>
  </si>
  <si>
    <t>=IF(AI159="","",AI159*AJ159*AK159/1000/1000/1000)</t>
  </si>
  <si>
    <t>=COUNTIF(J$3:OFFSET(J160,-1,0),"Subtotal:")+1</t>
  </si>
  <si>
    <t>=IF(OFFSET(B160,1,0)&lt;&gt;"",OFFSET(B160,1,0),"")</t>
  </si>
  <si>
    <t>=LEFT(F160,3)</t>
  </si>
  <si>
    <t>=IF(SUM(M160:N160)=0,"",SUM(M160:N160))</t>
  </si>
  <si>
    <t>=R160-7</t>
  </si>
  <si>
    <t>=IFERROR(IF(J160*T160&lt;&gt;0,J160-T160,""),"")</t>
  </si>
  <si>
    <t>=IF(U160&lt;&gt;"",IF(U160&gt;28,"Too early",IF(U160&lt;14,"Too late","")),"")</t>
  </si>
  <si>
    <t>=IF(OFFSET(X160,1,0)="",R160,OFFSET(X160,1,0))</t>
  </si>
  <si>
    <t>=IFERROR(IF(J160*Z160&lt;&gt;0,J160-Z160,""),"")</t>
  </si>
  <si>
    <t>=IF(AA160&lt;&gt;"",IF(AA160&gt;28,"Too early",IF(AA160&lt;14,"Too late","")),"")</t>
  </si>
  <si>
    <t>=IF(AI160="","",AI160*AJ160*AK160/1000/1000/1000)</t>
  </si>
  <si>
    <t>=COUNTIF(J$3:OFFSET(J161,-1,0),"Subtotal:")+1</t>
  </si>
  <si>
    <t>=IF(OFFSET(B161,1,0)&lt;&gt;"",OFFSET(B161,1,0),"")</t>
  </si>
  <si>
    <t>=LEFT(F161,3)</t>
  </si>
  <si>
    <t>=IF(SUM(M161:N161)=0,"",SUM(M161:N161))</t>
  </si>
  <si>
    <t>=R161-7</t>
  </si>
  <si>
    <t>=IFERROR(IF(J161*T161&lt;&gt;0,J161-T161,""),"")</t>
  </si>
  <si>
    <t>=IF(U161&lt;&gt;"",IF(U161&gt;28,"Too early",IF(U161&lt;14,"Too late","")),"")</t>
  </si>
  <si>
    <t>=IF(OFFSET(X161,1,0)="",R161,OFFSET(X161,1,0))</t>
  </si>
  <si>
    <t>=IFERROR(IF(J161*Z161&lt;&gt;0,J161-Z161,""),"")</t>
  </si>
  <si>
    <t>=IF(AA161&lt;&gt;"",IF(AA161&gt;28,"Too early",IF(AA161&lt;14,"Too late","")),"")</t>
  </si>
  <si>
    <t>=IF(AI161="","",AI161*AJ161*AK161/1000/1000/1000)</t>
  </si>
  <si>
    <t>=COUNTIF(J$3:OFFSET(J162,-1,0),"Subtotal:")+1</t>
  </si>
  <si>
    <t>=IF(OFFSET(B162,1,0)&lt;&gt;"",OFFSET(B162,1,0),"")</t>
  </si>
  <si>
    <t>=LEFT(F162,3)</t>
  </si>
  <si>
    <t>=IF(SUM(M162:N162)=0,"",SUM(M162:N162))</t>
  </si>
  <si>
    <t>=R162-7</t>
  </si>
  <si>
    <t>=IFERROR(IF(J162*T162&lt;&gt;0,J162-T162,""),"")</t>
  </si>
  <si>
    <t>=IF(U162&lt;&gt;"",IF(U162&gt;28,"Too early",IF(U162&lt;14,"Too late","")),"")</t>
  </si>
  <si>
    <t>=IF(OFFSET(X162,1,0)="",R162,OFFSET(X162,1,0))</t>
  </si>
  <si>
    <t>=IFERROR(IF(J162*Z162&lt;&gt;0,J162-Z162,""),"")</t>
  </si>
  <si>
    <t>=IF(AA162&lt;&gt;"",IF(AA162&gt;28,"Too early",IF(AA162&lt;14,"Too late","")),"")</t>
  </si>
  <si>
    <t>=IF(AI162="","",AI162*AJ162*AK162/1000/1000/1000)</t>
  </si>
  <si>
    <t>=COUNTIF(J$3:OFFSET(J163,-1,0),"Subtotal:")+1</t>
  </si>
  <si>
    <t>=IF(OFFSET(B163,1,0)&lt;&gt;"",OFFSET(B163,1,0),"")</t>
  </si>
  <si>
    <t>=LEFT(F163,3)</t>
  </si>
  <si>
    <t>46552</t>
  </si>
  <si>
    <t>=IF(SUM(M163:N163)=0,"",SUM(M163:N163))</t>
  </si>
  <si>
    <t>=R163-7</t>
  </si>
  <si>
    <t>=IFERROR(IF(J163*T163&lt;&gt;0,J163-T163,""),"")</t>
  </si>
  <si>
    <t>=IF(U163&lt;&gt;"",IF(U163&gt;28,"Too early",IF(U163&lt;14,"Too late","")),"")</t>
  </si>
  <si>
    <t>=IF(OFFSET(X163,1,0)="",R163,OFFSET(X163,1,0))</t>
  </si>
  <si>
    <t>=IFERROR(IF(J163*Z163&lt;&gt;0,J163-Z163,""),"")</t>
  </si>
  <si>
    <t>=IF(AA163&lt;&gt;"",IF(AA163&gt;28,"Too early",IF(AA163&lt;14,"Too late","")),"")</t>
  </si>
  <si>
    <t>=IF(AI163="","",AI163*AJ163*AK163/1000/1000/1000)</t>
  </si>
  <si>
    <t>=IF(SUM(M164:N164)=0,"",SUM(M164:N164))</t>
  </si>
  <si>
    <t>=IF(AI164="","",AI164*AJ164*AK164/1000/1000/1000)</t>
  </si>
  <si>
    <t>=COUNTIF(J$3:OFFSET(J165,-1,0),"Subtotal:")+1</t>
  </si>
  <si>
    <t>=IF(OFFSET(B165,1,0)&lt;&gt;"",OFFSET(B165,1,0),"")</t>
  </si>
  <si>
    <t>=LEFT(F165,3)</t>
  </si>
  <si>
    <t>=IF(SUM(M165:N165)=0,"",SUM(M165:N165))</t>
  </si>
  <si>
    <t>=R165-7</t>
  </si>
  <si>
    <t>=IFERROR(IF(J165*T165&lt;&gt;0,J165-T165,""),"")</t>
  </si>
  <si>
    <t>=IF(U165&lt;&gt;"",IF(U165&gt;28,"Too early",IF(U165&lt;14,"Too late","")),"")</t>
  </si>
  <si>
    <t>=IF(OFFSET(X165,1,0)="",R165,OFFSET(X165,1,0))</t>
  </si>
  <si>
    <t>=IFERROR(IF(J165*Z165&lt;&gt;0,J165-Z165,""),"")</t>
  </si>
  <si>
    <t>=IF(AA165&lt;&gt;"",IF(AA165&gt;28,"Too early",IF(AA165&lt;14,"Too late","")),"")</t>
  </si>
  <si>
    <t>=IF(AI165="","",AI165*AJ165*AK165/1000/1000/1000)</t>
  </si>
  <si>
    <t>=COUNTIF(J$3:OFFSET(J166,-1,0),"Subtotal:")+1</t>
  </si>
  <si>
    <t>=IF(OFFSET(B166,1,0)&lt;&gt;"",OFFSET(B166,1,0),"")</t>
  </si>
  <si>
    <t>=LEFT(F166,3)</t>
  </si>
  <si>
    <t>=IF(SUM(M166:N166)=0,"",SUM(M166:N166))</t>
  </si>
  <si>
    <t>=O166</t>
  </si>
  <si>
    <t>=R166-7</t>
  </si>
  <si>
    <t>=IFERROR(IF(J166*T166&lt;&gt;0,J166-T166,""),"")</t>
  </si>
  <si>
    <t>=IF(U166&lt;&gt;"",IF(U166&gt;28,"Too early",IF(U166&lt;14,"Too late","")),"")</t>
  </si>
  <si>
    <t>=IF(OFFSET(X166,1,0)="",R166,OFFSET(X166,1,0))</t>
  </si>
  <si>
    <t>=IFERROR(IF(J166*Z166&lt;&gt;0,J166-Z166,""),"")</t>
  </si>
  <si>
    <t>=IF(AA166&lt;&gt;"",IF(AA166&gt;28,"Too early",IF(AA166&lt;14,"Too late","")),"")</t>
  </si>
  <si>
    <t>=IF(AI166="","",AI166*AJ166*AK166/1000/1000/1000)</t>
  </si>
  <si>
    <t>=COUNTIF(J$3:OFFSET(J167,-1,0),"Subtotal:")+1</t>
  </si>
  <si>
    <t>=IF(OFFSET(B167,1,0)&lt;&gt;"",OFFSET(B167,1,0),"")</t>
  </si>
  <si>
    <t>=LEFT(F167,3)</t>
  </si>
  <si>
    <t>=IF(SUM(M167:N167)=0,"",SUM(M167:N167))</t>
  </si>
  <si>
    <t>=O167</t>
  </si>
  <si>
    <t>=R167-7</t>
  </si>
  <si>
    <t>=IFERROR(IF(J167*T167&lt;&gt;0,J167-T167,""),"")</t>
  </si>
  <si>
    <t>=IF(U167&lt;&gt;"",IF(U167&gt;28,"Too early",IF(U167&lt;14,"Too late","")),"")</t>
  </si>
  <si>
    <t>=IF(OFFSET(X167,1,0)="",R167,OFFSET(X167,1,0))</t>
  </si>
  <si>
    <t>=IFERROR(IF(J167*Z167&lt;&gt;0,J167-Z167,""),"")</t>
  </si>
  <si>
    <t>=IF(AA167&lt;&gt;"",IF(AA167&gt;28,"Too early",IF(AA167&lt;14,"Too late","")),"")</t>
  </si>
  <si>
    <t>=IF(AI167="","",AI167*AJ167*AK167/1000/1000/1000)</t>
  </si>
  <si>
    <t>=COUNTIF(J$3:OFFSET(J168,-1,0),"Subtotal:")+1</t>
  </si>
  <si>
    <t>=IF(OFFSET(B168,1,0)&lt;&gt;"",OFFSET(B168,1,0),"")</t>
  </si>
  <si>
    <t>=LEFT(F168,3)</t>
  </si>
  <si>
    <t>=IF(SUM(M168:N168)=0,"",SUM(M168:N168))</t>
  </si>
  <si>
    <t>=O168</t>
  </si>
  <si>
    <t>=R168-7</t>
  </si>
  <si>
    <t>=IFERROR(IF(J168*T168&lt;&gt;0,J168-T168,""),"")</t>
  </si>
  <si>
    <t>=IF(U168&lt;&gt;"",IF(U168&gt;28,"Too early",IF(U168&lt;14,"Too late","")),"")</t>
  </si>
  <si>
    <t>=IF(OFFSET(X168,1,0)="",R168,OFFSET(X168,1,0))</t>
  </si>
  <si>
    <t>=IFERROR(IF(J168*Z168&lt;&gt;0,J168-Z168,""),"")</t>
  </si>
  <si>
    <t>=IF(AA168&lt;&gt;"",IF(AA168&gt;28,"Too early",IF(AA168&lt;14,"Too late","")),"")</t>
  </si>
  <si>
    <t>=IF(AI168="","",AI168*AJ168*AK168/1000/1000/1000)</t>
  </si>
  <si>
    <t>=COUNTIF(J$3:OFFSET(J169,-1,0),"Subtotal:")+1</t>
  </si>
  <si>
    <t>=IF(OFFSET(B169,1,0)&lt;&gt;"",OFFSET(B169,1,0),"")</t>
  </si>
  <si>
    <t>=LEFT(F169,3)</t>
  </si>
  <si>
    <t>=IF(SUM(M169:N169)=0,"",SUM(M169:N169))</t>
  </si>
  <si>
    <t>=O169</t>
  </si>
  <si>
    <t>=R169-7</t>
  </si>
  <si>
    <t>=IFERROR(IF(J169*T169&lt;&gt;0,J169-T169,""),"")</t>
  </si>
  <si>
    <t>=IF(U169&lt;&gt;"",IF(U169&gt;28,"Too early",IF(U169&lt;14,"Too late","")),"")</t>
  </si>
  <si>
    <t>=IF(OFFSET(X169,1,0)="",R169,OFFSET(X169,1,0))</t>
  </si>
  <si>
    <t>=IFERROR(IF(J169*Z169&lt;&gt;0,J169-Z169,""),"")</t>
  </si>
  <si>
    <t>=IF(AA169&lt;&gt;"",IF(AA169&gt;28,"Too early",IF(AA169&lt;14,"Too late","")),"")</t>
  </si>
  <si>
    <t>=IF(AI169="","",AI169*AJ169*AK169/1000/1000/1000)</t>
  </si>
  <si>
    <t>=COUNTIF(J$3:OFFSET(J171,-1,0),"Subtotal:")+1</t>
  </si>
  <si>
    <t>BP2330</t>
  </si>
  <si>
    <t>=R171-7</t>
  </si>
  <si>
    <t>=IFERROR(IF(J171*T171&lt;&gt;0,J171-T171,""),"")</t>
  </si>
  <si>
    <t>=IF(U171&lt;&gt;"",IF(U171&gt;28,"Too early",IF(U171&lt;14,"Too late","")),"")</t>
  </si>
  <si>
    <t>=IFERROR(IF(J171*Z171&lt;&gt;0,J171-Z171,""),"")</t>
  </si>
  <si>
    <t>=IF(AA171&lt;&gt;"",IF(AA171&gt;28,"Too early",IF(AA171&lt;14,"Too late","")),"")</t>
  </si>
  <si>
    <t>=COUNTIF(J$3:OFFSET(J172,-1,0),"Subtotal:")+1</t>
  </si>
  <si>
    <t>=IF(OFFSET(B172,1,0)&lt;&gt;"",OFFSET(B172,1,0),"")</t>
  </si>
  <si>
    <t>=LEFT(F172,3)</t>
  </si>
  <si>
    <t>=IF(SUM(M172:N172)=0,"",SUM(M172:N172))</t>
  </si>
  <si>
    <t>=O172</t>
  </si>
  <si>
    <t>=R172-7</t>
  </si>
  <si>
    <t>=IFERROR(IF(J172*T172&lt;&gt;0,J172-T172,""),"")</t>
  </si>
  <si>
    <t>=IF(U172&lt;&gt;"",IF(U172&gt;28,"Too early",IF(U172&lt;14,"Too late","")),"")</t>
  </si>
  <si>
    <t>=IF(OFFSET(X172,1,0)="",R172,OFFSET(X172,1,0))</t>
  </si>
  <si>
    <t>=IFERROR(IF(J172*Z172&lt;&gt;0,J172-Z172,""),"")</t>
  </si>
  <si>
    <t>=IF(AA172&lt;&gt;"",IF(AA172&gt;28,"Too early",IF(AA172&lt;14,"Too late","")),"")</t>
  </si>
  <si>
    <t>=IF(AI172="","",AI172*AJ172*AK172/1000/1000/1000)</t>
  </si>
  <si>
    <t>=COUNTIF(J$3:OFFSET(J173,-1,0),"Subtotal:")+1</t>
  </si>
  <si>
    <t>=IF(OFFSET(B173,1,0)&lt;&gt;"",OFFSET(B173,1,0),"")</t>
  </si>
  <si>
    <t>=LEFT(F173,3)</t>
  </si>
  <si>
    <t>=IF(SUM(M173:N173)=0,"",SUM(M173:N173))</t>
  </si>
  <si>
    <t>=O173</t>
  </si>
  <si>
    <t>=R173-7</t>
  </si>
  <si>
    <t>=IFERROR(IF(J173*T173&lt;&gt;0,J173-T173,""),"")</t>
  </si>
  <si>
    <t>=IF(U173&lt;&gt;"",IF(U173&gt;28,"Too early",IF(U173&lt;14,"Too late","")),"")</t>
  </si>
  <si>
    <t>=IF(OFFSET(X173,1,0)="",R173,OFFSET(X173,1,0))</t>
  </si>
  <si>
    <t>=IFERROR(IF(J173*Z173&lt;&gt;0,J173-Z173,""),"")</t>
  </si>
  <si>
    <t>=IF(AA173&lt;&gt;"",IF(AA173&gt;28,"Too early",IF(AA173&lt;14,"Too late","")),"")</t>
  </si>
  <si>
    <t>=IF(AI173="","",AI173*AJ173*AK173/1000/1000/1000)</t>
  </si>
  <si>
    <t>=COUNTIF(J$3:OFFSET(J174,-1,0),"Subtotal:")+1</t>
  </si>
  <si>
    <t>=IF(OFFSET(B174,1,0)&lt;&gt;"",OFFSET(B174,1,0),"")</t>
  </si>
  <si>
    <t>=LEFT(F174,3)</t>
  </si>
  <si>
    <t>=IF(SUM(M174:N174)=0,"",SUM(M174:N174))</t>
  </si>
  <si>
    <t>=O174</t>
  </si>
  <si>
    <t>=R174-7</t>
  </si>
  <si>
    <t>=IFERROR(IF(J174*T174&lt;&gt;0,J174-T174,""),"")</t>
  </si>
  <si>
    <t>=IF(U174&lt;&gt;"",IF(U174&gt;28,"Too early",IF(U174&lt;14,"Too late","")),"")</t>
  </si>
  <si>
    <t>=IF(OFFSET(X174,1,0)="",R174,OFFSET(X174,1,0))</t>
  </si>
  <si>
    <t>=IFERROR(IF(J174*Z174&lt;&gt;0,J174-Z174,""),"")</t>
  </si>
  <si>
    <t>=IF(AA174&lt;&gt;"",IF(AA174&gt;28,"Too early",IF(AA174&lt;14,"Too late","")),"")</t>
  </si>
  <si>
    <t>=IF(AI174="","",AI174*AJ174*AK174/1000/1000/1000)</t>
  </si>
  <si>
    <t>=COUNTIF(J$3:OFFSET(J175,-1,0),"Subtotal:")+1</t>
  </si>
  <si>
    <t>=IF(OFFSET(B175,1,0)&lt;&gt;"",OFFSET(B175,1,0),"")</t>
  </si>
  <si>
    <t>=LEFT(F175,3)</t>
  </si>
  <si>
    <t>=IF(SUM(M175:N175)=0,"",SUM(M175:N175))</t>
  </si>
  <si>
    <t>=O175</t>
  </si>
  <si>
    <t>=R175-7</t>
  </si>
  <si>
    <t>=IFERROR(IF(J175*T175&lt;&gt;0,J175-T175,""),"")</t>
  </si>
  <si>
    <t>=IF(U175&lt;&gt;"",IF(U175&gt;28,"Too early",IF(U175&lt;14,"Too late","")),"")</t>
  </si>
  <si>
    <t>=IF(OFFSET(X175,1,0)="",R175,OFFSET(X175,1,0))</t>
  </si>
  <si>
    <t>=IFERROR(IF(J175*Z175&lt;&gt;0,J175-Z175,""),"")</t>
  </si>
  <si>
    <t>=IF(AA175&lt;&gt;"",IF(AA175&gt;28,"Too early",IF(AA175&lt;14,"Too late","")),"")</t>
  </si>
  <si>
    <t>=IF(AI175="","",AI175*AJ175*AK175/1000/1000/1000)</t>
  </si>
  <si>
    <t>=COUNTIF(J$3:OFFSET(J176,-1,0),"Subtotal:")+1</t>
  </si>
  <si>
    <t>=IF(OFFSET(B176,1,0)&lt;&gt;"",OFFSET(B176,1,0),"")</t>
  </si>
  <si>
    <t>=LEFT(F176,3)</t>
  </si>
  <si>
    <t>=IF(SUM(M176:N176)=0,"",SUM(M176:N176))</t>
  </si>
  <si>
    <t>=O176</t>
  </si>
  <si>
    <t>=R176-7</t>
  </si>
  <si>
    <t>=IFERROR(IF(J176*T176&lt;&gt;0,J176-T176,""),"")</t>
  </si>
  <si>
    <t>=IF(U176&lt;&gt;"",IF(U176&gt;28,"Too early",IF(U176&lt;14,"Too late","")),"")</t>
  </si>
  <si>
    <t>=IF(OFFSET(X176,1,0)="",R176,OFFSET(X176,1,0))</t>
  </si>
  <si>
    <t>=IFERROR(IF(J176*Z176&lt;&gt;0,J176-Z176,""),"")</t>
  </si>
  <si>
    <t>=IF(AA176&lt;&gt;"",IF(AA176&gt;28,"Too early",IF(AA176&lt;14,"Too late","")),"")</t>
  </si>
  <si>
    <t>=IF(AI176="","",AI176*AJ176*AK176/1000/1000/1000)</t>
  </si>
  <si>
    <t>=COUNTIF(J$3:OFFSET(J177,-1,0),"Subtotal:")+1</t>
  </si>
  <si>
    <t>=IF(OFFSET(B177,1,0)&lt;&gt;"",OFFSET(B177,1,0),"")</t>
  </si>
  <si>
    <t>=LEFT(F177,3)</t>
  </si>
  <si>
    <t>=IF(SUM(M177:N177)=0,"",SUM(M177:N177))</t>
  </si>
  <si>
    <t>=O177</t>
  </si>
  <si>
    <t>=R177-7</t>
  </si>
  <si>
    <t>=IFERROR(IF(J177*T177&lt;&gt;0,J177-T177,""),"")</t>
  </si>
  <si>
    <t>=IF(U177&lt;&gt;"",IF(U177&gt;28,"Too early",IF(U177&lt;14,"Too late","")),"")</t>
  </si>
  <si>
    <t>=IF(OFFSET(X177,1,0)="",R177,OFFSET(X177,1,0))</t>
  </si>
  <si>
    <t>=IFERROR(IF(J177*Z177&lt;&gt;0,J177-Z177,""),"")</t>
  </si>
  <si>
    <t>=IF(AA177&lt;&gt;"",IF(AA177&gt;28,"Too early",IF(AA177&lt;14,"Too late","")),"")</t>
  </si>
  <si>
    <t>=IF(AI177="","",AI177*AJ177*AK177/1000/1000/1000)</t>
  </si>
  <si>
    <t>=COUNTIF(J$3:OFFSET(J178,-1,0),"Subtotal:")+1</t>
  </si>
  <si>
    <t>=IF(OFFSET(B178,1,0)&lt;&gt;"",OFFSET(B178,1,0),"")</t>
  </si>
  <si>
    <t>=LEFT(F178,3)</t>
  </si>
  <si>
    <t>=IF(SUM(M178:N178)=0,"",SUM(M178:N178))</t>
  </si>
  <si>
    <t>=O178</t>
  </si>
  <si>
    <t>=R178-7</t>
  </si>
  <si>
    <t>=IFERROR(IF(J178*T178&lt;&gt;0,J178-T178,""),"")</t>
  </si>
  <si>
    <t>=IF(U178&lt;&gt;"",IF(U178&gt;28,"Too early",IF(U178&lt;14,"Too late","")),"")</t>
  </si>
  <si>
    <t>=IF(OFFSET(X178,1,0)="",R178,OFFSET(X178,1,0))</t>
  </si>
  <si>
    <t>=IFERROR(IF(J178*Z178&lt;&gt;0,J178-Z178,""),"")</t>
  </si>
  <si>
    <t>=IF(AA178&lt;&gt;"",IF(AA178&gt;28,"Too early",IF(AA178&lt;14,"Too late","")),"")</t>
  </si>
  <si>
    <t>=IF(AI178="","",AI178*AJ178*AK178/1000/1000/1000)</t>
  </si>
  <si>
    <t>=COUNTIF(J$3:OFFSET(J179,-1,0),"Subtotal:")+1</t>
  </si>
  <si>
    <t>=IF(OFFSET(B179,1,0)&lt;&gt;"",OFFSET(B179,1,0),"")</t>
  </si>
  <si>
    <t>=LEFT(F179,3)</t>
  </si>
  <si>
    <t>=IF(SUM(M179:N179)=0,"",SUM(M179:N179))</t>
  </si>
  <si>
    <t>=O179</t>
  </si>
  <si>
    <t>=R179-7</t>
  </si>
  <si>
    <t>=IFERROR(IF(J179*T179&lt;&gt;0,J179-T179,""),"")</t>
  </si>
  <si>
    <t>=IF(U179&lt;&gt;"",IF(U179&gt;28,"Too early",IF(U179&lt;14,"Too late","")),"")</t>
  </si>
  <si>
    <t>=IF(OFFSET(X179,1,0)="",R179,OFFSET(X179,1,0))</t>
  </si>
  <si>
    <t>=IFERROR(IF(J179*Z179&lt;&gt;0,J179-Z179,""),"")</t>
  </si>
  <si>
    <t>=IF(AA179&lt;&gt;"",IF(AA179&gt;28,"Too early",IF(AA179&lt;14,"Too late","")),"")</t>
  </si>
  <si>
    <t>=IF(AI179="","",AI179*AJ179*AK179/1000/1000/1000)</t>
  </si>
  <si>
    <t>=COUNTIF(J$3:OFFSET(J180,-1,0),"Subtotal:")+1</t>
  </si>
  <si>
    <t>=IF(OFFSET(B180,1,0)&lt;&gt;"",OFFSET(B180,1,0),"")</t>
  </si>
  <si>
    <t>=LEFT(F180,3)</t>
  </si>
  <si>
    <t>=IF(SUM(M180:N180)=0,"",SUM(M180:N180))</t>
  </si>
  <si>
    <t>=O180</t>
  </si>
  <si>
    <t>=R180-7</t>
  </si>
  <si>
    <t>=IFERROR(IF(J180*T180&lt;&gt;0,J180-T180,""),"")</t>
  </si>
  <si>
    <t>=IF(U180&lt;&gt;"",IF(U180&gt;28,"Too early",IF(U180&lt;14,"Too late","")),"")</t>
  </si>
  <si>
    <t>=IF(OFFSET(X180,1,0)="",R180,OFFSET(X180,1,0))</t>
  </si>
  <si>
    <t>=IFERROR(IF(J180*Z180&lt;&gt;0,J180-Z180,""),"")</t>
  </si>
  <si>
    <t>=IF(AA180&lt;&gt;"",IF(AA180&gt;28,"Too early",IF(AA180&lt;14,"Too late","")),"")</t>
  </si>
  <si>
    <t>=IF(AI180="","",AI180*AJ180*AK180/1000/1000/1000)</t>
  </si>
  <si>
    <t>=COUNTIF(J$3:OFFSET(J181,-1,0),"Subtotal:")+1</t>
  </si>
  <si>
    <t>=IF(OFFSET(B181,1,0)&lt;&gt;"",OFFSET(B181,1,0),"")</t>
  </si>
  <si>
    <t>=LEFT(F181,3)</t>
  </si>
  <si>
    <t>=IF(SUM(M181:N181)=0,"",SUM(M181:N181))</t>
  </si>
  <si>
    <t>=O181</t>
  </si>
  <si>
    <t>=R181-7</t>
  </si>
  <si>
    <t>=IFERROR(IF(J181*T181&lt;&gt;0,J181-T181,""),"")</t>
  </si>
  <si>
    <t>=IF(U181&lt;&gt;"",IF(U181&gt;28,"Too early",IF(U181&lt;14,"Too late","")),"")</t>
  </si>
  <si>
    <t>=IF(OFFSET(X181,1,0)="",R181,OFFSET(X181,1,0))</t>
  </si>
  <si>
    <t>=IFERROR(IF(J181*Z181&lt;&gt;0,J181-Z181,""),"")</t>
  </si>
  <si>
    <t>=IF(AA181&lt;&gt;"",IF(AA181&gt;28,"Too early",IF(AA181&lt;14,"Too late","")),"")</t>
  </si>
  <si>
    <t>=IF(AI181="","",AI181*AJ181*AK181/1000/1000/1000)</t>
  </si>
  <si>
    <t>=COUNTIF(J$3:OFFSET(J182,-1,0),"Subtotal:")+1</t>
  </si>
  <si>
    <t>=IF(OFFSET(B182,1,0)&lt;&gt;"",OFFSET(B182,1,0),"")</t>
  </si>
  <si>
    <t>=LEFT(F182,3)</t>
  </si>
  <si>
    <t>=IF(SUM(M182:N182)=0,"",SUM(M182:N182))</t>
  </si>
  <si>
    <t>=O182</t>
  </si>
  <si>
    <t>=R182-7</t>
  </si>
  <si>
    <t>=IFERROR(IF(J182*T182&lt;&gt;0,J182-T182,""),"")</t>
  </si>
  <si>
    <t>=IF(U182&lt;&gt;"",IF(U182&gt;28,"Too early",IF(U182&lt;14,"Too late","")),"")</t>
  </si>
  <si>
    <t>=IF(OFFSET(X182,1,0)="",R182,OFFSET(X182,1,0))</t>
  </si>
  <si>
    <t>=IFERROR(IF(J182*Z182&lt;&gt;0,J182-Z182,""),"")</t>
  </si>
  <si>
    <t>=IF(AA182&lt;&gt;"",IF(AA182&gt;28,"Too early",IF(AA182&lt;14,"Too late","")),"")</t>
  </si>
  <si>
    <t>=IF(AI182="","",AI182*AJ182*AK182/1000/1000/1000)</t>
  </si>
  <si>
    <t>=IF(SUM(M183:N183)=0,"",SUM(M183:N183))</t>
  </si>
  <si>
    <t>=IF(AI183="","",AI183*AJ183*AK183/1000/1000/1000)</t>
  </si>
  <si>
    <t>=COUNTIF(J$3:OFFSET(J184,-1,0),"Subtotal:")+1</t>
  </si>
  <si>
    <t>=IF(OFFSET(B184,1,0)&lt;&gt;"",OFFSET(B184,1,0),"")</t>
  </si>
  <si>
    <t>BP2110&amp;2120</t>
  </si>
  <si>
    <t>=LEFT(F184,3)</t>
  </si>
  <si>
    <t>=IF(SUM(M184:N184)=0,"",SUM(M184:N184))</t>
  </si>
  <si>
    <t>=O184</t>
  </si>
  <si>
    <t>=R184-7</t>
  </si>
  <si>
    <t>=IFERROR(IF(J184*T184&lt;&gt;0,J184-T184,""),"")</t>
  </si>
  <si>
    <t>=IF(U184&lt;&gt;"",IF(U184&gt;28,"Too early",IF(U184&lt;14,"Too late","")),"")</t>
  </si>
  <si>
    <t>=IF(OFFSET(X184,1,0)="",R184,OFFSET(X184,1,0))</t>
  </si>
  <si>
    <t>=IFERROR(IF(J184*Z184&lt;&gt;0,J184-Z184,""),"")</t>
  </si>
  <si>
    <t>=IF(AA184&lt;&gt;"",IF(AA184&gt;28,"Too early",IF(AA184&lt;14,"Too late","")),"")</t>
  </si>
  <si>
    <t>=IF(AI184="","",AI184*AJ184*AK184/1000/1000/1000)</t>
  </si>
  <si>
    <t>=COUNTIF(J$3:OFFSET(J185,-1,0),"Subtotal:")+1</t>
  </si>
  <si>
    <t>=IF(OFFSET(B185,1,0)&lt;&gt;"",OFFSET(B185,1,0),"")</t>
  </si>
  <si>
    <t>=LEFT(F185,3)</t>
  </si>
  <si>
    <t>46541</t>
  </si>
  <si>
    <t>=IF(SUM(M185:N185)=0,"",SUM(M185:N185))</t>
  </si>
  <si>
    <t>=O185</t>
  </si>
  <si>
    <t>=R185-7</t>
  </si>
  <si>
    <t>=IFERROR(IF(J185*T185&lt;&gt;0,J185-T185,""),"")</t>
  </si>
  <si>
    <t>=IF(U185&lt;&gt;"",IF(U185&gt;28,"Too early",IF(U185&lt;14,"Too late","")),"")</t>
  </si>
  <si>
    <t>=IF(OFFSET(X185,1,0)="",R185,OFFSET(X185,1,0))</t>
  </si>
  <si>
    <t>=IFERROR(IF(J185*Z185&lt;&gt;0,J185-Z185,""),"")</t>
  </si>
  <si>
    <t>=IF(AA185&lt;&gt;"",IF(AA185&gt;28,"Too early",IF(AA185&lt;14,"Too late","")),"")</t>
  </si>
  <si>
    <t>=IF(AI185="","",AI185*AJ185*AK185/1000/1000/1000)</t>
  </si>
  <si>
    <t>=COUNTIF(J$3:OFFSET(J186,-1,0),"Subtotal:")+1</t>
  </si>
  <si>
    <t>=IF(OFFSET(B186,1,0)&lt;&gt;"",OFFSET(B186,1,0),"")</t>
  </si>
  <si>
    <t>=LEFT(F186,3)</t>
  </si>
  <si>
    <t>46544</t>
  </si>
  <si>
    <t>=IF(SUM(M186:N186)=0,"",SUM(M186:N186))</t>
  </si>
  <si>
    <t>=O186</t>
  </si>
  <si>
    <t>=R186-7</t>
  </si>
  <si>
    <t>=IFERROR(IF(J186*T186&lt;&gt;0,J186-T186,""),"")</t>
  </si>
  <si>
    <t>=IF(U186&lt;&gt;"",IF(U186&gt;28,"Too early",IF(U186&lt;14,"Too late","")),"")</t>
  </si>
  <si>
    <t>=IF(OFFSET(X186,1,0)="",R186,OFFSET(X186,1,0))</t>
  </si>
  <si>
    <t>=IFERROR(IF(J186*Z186&lt;&gt;0,J186-Z186,""),"")</t>
  </si>
  <si>
    <t>=IF(AA186&lt;&gt;"",IF(AA186&gt;28,"Too early",IF(AA186&lt;14,"Too late","")),"")</t>
  </si>
  <si>
    <t>=IF(AI186="","",AI186*AJ186*AK186/1000/1000/1000)</t>
  </si>
  <si>
    <t>=COUNTIF(J$3:OFFSET(J187,-1,0),"Subtotal:")+1</t>
  </si>
  <si>
    <t>=IF(OFFSET(B187,1,0)&lt;&gt;"",OFFSET(B187,1,0),"")</t>
  </si>
  <si>
    <t>=LEFT(F187,3)</t>
  </si>
  <si>
    <t>=IF(SUM(M187:N187)=0,"",SUM(M187:N187))</t>
  </si>
  <si>
    <t>=O187</t>
  </si>
  <si>
    <t>=R187-7</t>
  </si>
  <si>
    <t>=IFERROR(IF(J187*T187&lt;&gt;0,J187-T187,""),"")</t>
  </si>
  <si>
    <t>=IF(U187&lt;&gt;"",IF(U187&gt;28,"Too early",IF(U187&lt;14,"Too late","")),"")</t>
  </si>
  <si>
    <t>=IF(OFFSET(X187,1,0)="",R187,OFFSET(X187,1,0))</t>
  </si>
  <si>
    <t>=IFERROR(IF(J187*Z187&lt;&gt;0,J187-Z187,""),"")</t>
  </si>
  <si>
    <t>=IF(AA187&lt;&gt;"",IF(AA187&gt;28,"Too early",IF(AA187&lt;14,"Too late","")),"")</t>
  </si>
  <si>
    <t>=IF(AI187="","",AI187*AJ187*AK187/1000/1000/1000)</t>
  </si>
  <si>
    <t>=COUNTIF(J$3:OFFSET(J188,-1,0),"Subtotal:")+1</t>
  </si>
  <si>
    <t>=IF(OFFSET(B188,1,0)&lt;&gt;"",OFFSET(B188,1,0),"")</t>
  </si>
  <si>
    <t>=LEFT(F188,3)</t>
  </si>
  <si>
    <t>=IF(SUM(M188:N188)=0,"",SUM(M188:N188))</t>
  </si>
  <si>
    <t>=O188</t>
  </si>
  <si>
    <t>=R188-7</t>
  </si>
  <si>
    <t>=IFERROR(IF(J188*T188&lt;&gt;0,J188-T188,""),"")</t>
  </si>
  <si>
    <t>=IF(U188&lt;&gt;"",IF(U188&gt;28,"Too early",IF(U188&lt;14,"Too late","")),"")</t>
  </si>
  <si>
    <t>=IF(OFFSET(X188,1,0)="",R188,OFFSET(X188,1,0))</t>
  </si>
  <si>
    <t>=IFERROR(IF(J188*Z188&lt;&gt;0,J188-Z188,""),"")</t>
  </si>
  <si>
    <t>=IF(AA188&lt;&gt;"",IF(AA188&gt;28,"Too early",IF(AA188&lt;14,"Too late","")),"")</t>
  </si>
  <si>
    <t>=IF(AI188="","",AI188*AJ188*AK188/1000/1000/1000)</t>
  </si>
  <si>
    <t>=COUNTIF(J$3:OFFSET(J190,-1,0),"Subtotal:")+1</t>
  </si>
  <si>
    <t>=IF(OFFSET(B190,1,0)&lt;&gt;"",OFFSET(B190,1,0),"")</t>
  </si>
  <si>
    <t>=LEFT(F190,3)</t>
  </si>
  <si>
    <t>=IF(SUM(M190:N190)=0,"",SUM(M190:N190))</t>
  </si>
  <si>
    <t>=O190</t>
  </si>
  <si>
    <t>=R190-7</t>
  </si>
  <si>
    <t>=IFERROR(IF(J190*T190&lt;&gt;0,J190-T190,""),"")</t>
  </si>
  <si>
    <t>=IF(U190&lt;&gt;"",IF(U190&gt;28,"Too early",IF(U190&lt;14,"Too late","")),"")</t>
  </si>
  <si>
    <t>=IF(OFFSET(X190,1,0)="",R190,OFFSET(X190,1,0))</t>
  </si>
  <si>
    <t>=IFERROR(IF(J190*Z190&lt;&gt;0,J190-Z190,""),"")</t>
  </si>
  <si>
    <t>=IF(AA190&lt;&gt;"",IF(AA190&gt;28,"Too early",IF(AA190&lt;14,"Too late","")),"")</t>
  </si>
  <si>
    <t>=IF(AI190="","",AI190*AJ190*AK190/1000/1000/1000)</t>
  </si>
  <si>
    <t>=COUNTIF(J$3:OFFSET(J191,-1,0),"Subtotal:")+1</t>
  </si>
  <si>
    <t>=IF(OFFSET(B191,1,0)&lt;&gt;"",OFFSET(B191,1,0),"")</t>
  </si>
  <si>
    <t>=LEFT(F191,3)</t>
  </si>
  <si>
    <t>=IF(SUM(M191:N191)=0,"",SUM(M191:N191))</t>
  </si>
  <si>
    <t>=O191</t>
  </si>
  <si>
    <t>=R191-7</t>
  </si>
  <si>
    <t>=IFERROR(IF(J191*T191&lt;&gt;0,J191-T191,""),"")</t>
  </si>
  <si>
    <t>=IF(U191&lt;&gt;"",IF(U191&gt;28,"Too early",IF(U191&lt;14,"Too late","")),"")</t>
  </si>
  <si>
    <t>=IF(OFFSET(X191,1,0)="",R191,OFFSET(X191,1,0))</t>
  </si>
  <si>
    <t>=IFERROR(IF(J191*Z191&lt;&gt;0,J191-Z191,""),"")</t>
  </si>
  <si>
    <t>=IF(AA191&lt;&gt;"",IF(AA191&gt;28,"Too early",IF(AA191&lt;14,"Too late","")),"")</t>
  </si>
  <si>
    <t>=IF(AI191="","",AI191*AJ191*AK191/1000/1000/1000)</t>
  </si>
  <si>
    <t>=COUNTIF(J$3:OFFSET(J192,-1,0),"Subtotal:")+1</t>
  </si>
  <si>
    <t>=R192-7</t>
  </si>
  <si>
    <t>=IFERROR(IF(J192*T192&lt;&gt;0,J192-T192,""),"")</t>
  </si>
  <si>
    <t>=IF(U192&lt;&gt;"",IF(U192&gt;28,"Too early",IF(U192&lt;14,"Too late","")),"")</t>
  </si>
  <si>
    <t>=IFERROR(IF(J192*Z192&lt;&gt;0,J192-Z192,""),"")</t>
  </si>
  <si>
    <t>=IF(AA192&lt;&gt;"",IF(AA192&gt;28,"Too early",IF(AA192&lt;14,"Too late","")),"")</t>
  </si>
  <si>
    <t>=COUNTIF(J$3:OFFSET(J193,-1,0),"Subtotal:")+1</t>
  </si>
  <si>
    <t>=IF(OFFSET(B193,1,0)&lt;&gt;"",OFFSET(B193,1,0),"")</t>
  </si>
  <si>
    <t>=LEFT(F193,3)</t>
  </si>
  <si>
    <t>=IF(SUM(M193:N193)=0,"",SUM(M193:N193))</t>
  </si>
  <si>
    <t>=O193</t>
  </si>
  <si>
    <t>=R193-7</t>
  </si>
  <si>
    <t>=IFERROR(IF(J193*T193&lt;&gt;0,J193-T193,""),"")</t>
  </si>
  <si>
    <t>=IF(U193&lt;&gt;"",IF(U193&gt;28,"Too early",IF(U193&lt;14,"Too late","")),"")</t>
  </si>
  <si>
    <t>=IF(OFFSET(X193,1,0)="",R193,OFFSET(X193,1,0))</t>
  </si>
  <si>
    <t>=IFERROR(IF(J193*Z193&lt;&gt;0,J193-Z193,""),"")</t>
  </si>
  <si>
    <t>=IF(AA193&lt;&gt;"",IF(AA193&gt;28,"Too early",IF(AA193&lt;14,"Too late","")),"")</t>
  </si>
  <si>
    <t>=IF(AI193="","",AI193*AJ193*AK193/1000/1000/1000)</t>
  </si>
  <si>
    <t>=COUNTIF(J$3:OFFSET(J194,-1,0),"Subtotal:")+1</t>
  </si>
  <si>
    <t>=IF(OFFSET(B194,1,0)&lt;&gt;"",OFFSET(B194,1,0),"")</t>
  </si>
  <si>
    <t>=LEFT(F194,3)</t>
  </si>
  <si>
    <t>46530</t>
  </si>
  <si>
    <t>=IF(SUM(M194:N194)=0,"",SUM(M194:N194))</t>
  </si>
  <si>
    <t>=O194</t>
  </si>
  <si>
    <t>=R194-7</t>
  </si>
  <si>
    <t>=IFERROR(IF(J194*T194&lt;&gt;0,J194-T194,""),"")</t>
  </si>
  <si>
    <t>=IF(U194&lt;&gt;"",IF(U194&gt;28,"Too early",IF(U194&lt;14,"Too late","")),"")</t>
  </si>
  <si>
    <t>=IF(OFFSET(X194,1,0)="",R194,OFFSET(X194,1,0))</t>
  </si>
  <si>
    <t>=IFERROR(IF(J194*Z194&lt;&gt;0,J194-Z194,""),"")</t>
  </si>
  <si>
    <t>=IF(AA194&lt;&gt;"",IF(AA194&gt;28,"Too early",IF(AA194&lt;14,"Too late","")),"")</t>
  </si>
  <si>
    <t>=IF(AI194="","",AI194*AJ194*AK194/1000/1000/1000)</t>
  </si>
  <si>
    <t>=COUNTIF(J$3:OFFSET(J196,-1,0),"Subtotal:")+1</t>
  </si>
  <si>
    <t>=IF(OFFSET(B196,1,0)&lt;&gt;"",OFFSET(B196,1,0),"")</t>
  </si>
  <si>
    <t>=LEFT(F196,3)</t>
  </si>
  <si>
    <t>=IF(SUM(M196:N196)=0,"",SUM(M196:N196))</t>
  </si>
  <si>
    <t>=O196</t>
  </si>
  <si>
    <t>=R196-7</t>
  </si>
  <si>
    <t>=IFERROR(IF(J196*T196&lt;&gt;0,J196-T196,""),"")</t>
  </si>
  <si>
    <t>=IF(U196&lt;&gt;"",IF(U196&gt;28,"Too early",IF(U196&lt;14,"Too late","")),"")</t>
  </si>
  <si>
    <t>=IF(OFFSET(X196,1,0)="",R196,OFFSET(X196,1,0))</t>
  </si>
  <si>
    <t>=IFERROR(IF(J196*Z196&lt;&gt;0,J196-Z196,""),"")</t>
  </si>
  <si>
    <t>=IF(AA196&lt;&gt;"",IF(AA196&gt;28,"Too early",IF(AA196&lt;14,"Too late","")),"")</t>
  </si>
  <si>
    <t>=IF(AI196="","",AI196*AJ196*AK196/1000/1000/1000)</t>
  </si>
  <si>
    <t>=COUNTIF(J$3:OFFSET(J197,-1,0),"Subtotal:")+1</t>
  </si>
  <si>
    <t>=IF(OFFSET(B197,1,0)&lt;&gt;"",OFFSET(B197,1,0),"")</t>
  </si>
  <si>
    <t>=LEFT(F197,3)</t>
  </si>
  <si>
    <t>=IF(SUM(M197:N197)=0,"",SUM(M197:N197))</t>
  </si>
  <si>
    <t>=R197-7</t>
  </si>
  <si>
    <t>=IFERROR(IF(J197*T197&lt;&gt;0,J197-T197,""),"")</t>
  </si>
  <si>
    <t>=IF(U197&lt;&gt;"",IF(U197&gt;28,"Too early",IF(U197&lt;14,"Too late","")),"")</t>
  </si>
  <si>
    <t>=IF(OFFSET(X197,1,0)="",R197,OFFSET(X197,1,0))</t>
  </si>
  <si>
    <t>=IFERROR(IF(J197*Z197&lt;&gt;0,J197-Z197,""),"")</t>
  </si>
  <si>
    <t>=IF(AA197&lt;&gt;"",IF(AA197&gt;28,"Too early",IF(AA197&lt;14,"Too late","")),"")</t>
  </si>
  <si>
    <t>=IF(AI197="","",AI197*AJ197*AK197/1000/1000/1000)</t>
  </si>
  <si>
    <t>=COUNTIF(J$3:OFFSET(J198,-1,0),"Subtotal:")+1</t>
  </si>
  <si>
    <t>=IF(OFFSET(B198,1,0)&lt;&gt;"",OFFSET(B198,1,0),"")</t>
  </si>
  <si>
    <t>=LEFT(F198,3)</t>
  </si>
  <si>
    <t>=IF(SUM(M198:N198)=0,"",SUM(M198:N198))</t>
  </si>
  <si>
    <t>=R198-7</t>
  </si>
  <si>
    <t>=IFERROR(IF(J198*T198&lt;&gt;0,J198-T198,""),"")</t>
  </si>
  <si>
    <t>=IF(U198&lt;&gt;"",IF(U198&gt;28,"Too early",IF(U198&lt;14,"Too late","")),"")</t>
  </si>
  <si>
    <t>=IF(OFFSET(X198,1,0)="",R198,OFFSET(X198,1,0))</t>
  </si>
  <si>
    <t>=IFERROR(IF(J198*Z198&lt;&gt;0,J198-Z198,""),"")</t>
  </si>
  <si>
    <t>=IF(AA198&lt;&gt;"",IF(AA198&gt;28,"Too early",IF(AA198&lt;14,"Too late","")),"")</t>
  </si>
  <si>
    <t>=IF(AI198="","",AI198*AJ198*AK198/1000/1000/1000)</t>
  </si>
  <si>
    <t>=COUNTIF(J$3:OFFSET(J199,-1,0),"Subtotal:")+1</t>
  </si>
  <si>
    <t>=IF(OFFSET(B199,1,0)&lt;&gt;"",OFFSET(B199,1,0),"")</t>
  </si>
  <si>
    <t>=LEFT(F199,3)</t>
  </si>
  <si>
    <t>=IF(SUM(M199:N199)=0,"",SUM(M199:N199))</t>
  </si>
  <si>
    <t>=R199-7</t>
  </si>
  <si>
    <t>=IFERROR(IF(J199*T199&lt;&gt;0,J199-T199,""),"")</t>
  </si>
  <si>
    <t>=IF(U199&lt;&gt;"",IF(U199&gt;28,"Too early",IF(U199&lt;14,"Too late","")),"")</t>
  </si>
  <si>
    <t>=IF(OFFSET(X199,1,0)="",R199,OFFSET(X199,1,0))</t>
  </si>
  <si>
    <t>=IFERROR(IF(J199*Z199&lt;&gt;0,J199-Z199,""),"")</t>
  </si>
  <si>
    <t>=IF(AA199&lt;&gt;"",IF(AA199&gt;28,"Too early",IF(AA199&lt;14,"Too late","")),"")</t>
  </si>
  <si>
    <t>=IF(AI199="","",AI199*AJ199*AK199/1000/1000/1000)</t>
  </si>
  <si>
    <t>=COUNTIF(J$3:OFFSET(J200,-1,0),"Subtotal:")+1</t>
  </si>
  <si>
    <t>=IF(OFFSET(B200,1,0)&lt;&gt;"",OFFSET(B200,1,0),"")</t>
  </si>
  <si>
    <t>=LEFT(F200,3)</t>
  </si>
  <si>
    <t>=IF(SUM(M200:N200)=0,"",SUM(M200:N200))</t>
  </si>
  <si>
    <t>=R200-7</t>
  </si>
  <si>
    <t>=IFERROR(IF(J200*T200&lt;&gt;0,J200-T200,""),"")</t>
  </si>
  <si>
    <t>=IF(U200&lt;&gt;"",IF(U200&gt;28,"Too early",IF(U200&lt;14,"Too late","")),"")</t>
  </si>
  <si>
    <t>=IF(OFFSET(X200,1,0)="",R200,OFFSET(X200,1,0))</t>
  </si>
  <si>
    <t>=IFERROR(IF(J200*Z200&lt;&gt;0,J200-Z200,""),"")</t>
  </si>
  <si>
    <t>=IF(AA200&lt;&gt;"",IF(AA200&gt;28,"Too early",IF(AA200&lt;14,"Too late","")),"")</t>
  </si>
  <si>
    <t>=IF(AI200="","",AI200*AJ200*AK200/1000/1000/1000)</t>
  </si>
  <si>
    <t>=COUNTIF(J$3:OFFSET(J202,-1,0),"Subtotal:")+1</t>
  </si>
  <si>
    <t>=IF(OFFSET(B202,1,0)&lt;&gt;"",OFFSET(B202,1,0),"")</t>
  </si>
  <si>
    <t>=LEFT(F202,3)</t>
  </si>
  <si>
    <t>46588</t>
  </si>
  <si>
    <t>=IF(SUM(M202:N202)=0,"",SUM(M202:N202))</t>
  </si>
  <si>
    <t>=O202</t>
  </si>
  <si>
    <t>=R202-7</t>
  </si>
  <si>
    <t>=IFERROR(IF(J202*T202&lt;&gt;0,J202-T202,""),"")</t>
  </si>
  <si>
    <t>=IF(U202&lt;&gt;"",IF(U202&gt;28,"Too early",IF(U202&lt;14,"Too late","")),"")</t>
  </si>
  <si>
    <t>=IF(OFFSET(X202,1,0)="",R202,OFFSET(X202,1,0))</t>
  </si>
  <si>
    <t>=IFERROR(IF(J202*Z202&lt;&gt;0,J202-Z202,""),"")</t>
  </si>
  <si>
    <t>=IF(AA202&lt;&gt;"",IF(AA202&gt;28,"Too early",IF(AA202&lt;14,"Too late","")),"")</t>
  </si>
  <si>
    <t>=IF(AI202="","",AI202*AJ202*AK202/1000/1000/1000)</t>
  </si>
  <si>
    <t>=COUNTIF(J$3:OFFSET(J203,-1,0),"Subtotal:")+1</t>
  </si>
  <si>
    <t>=R203-7</t>
  </si>
  <si>
    <t>=IFERROR(IF(J203*T203&lt;&gt;0,J203-T203,""),"")</t>
  </si>
  <si>
    <t>=IF(U203&lt;&gt;"",IF(U203&gt;28,"Too early",IF(U203&lt;14,"Too late","")),"")</t>
  </si>
  <si>
    <t>=IFERROR(IF(J203*Z203&lt;&gt;0,J203-Z203,""),"")</t>
  </si>
  <si>
    <t>=IF(AA203&lt;&gt;"",IF(AA203&gt;28,"Too early",IF(AA203&lt;14,"Too late","")),"")</t>
  </si>
  <si>
    <t>=COUNTIF(J$3:OFFSET(J204,-1,0),"Subtotal:")+1</t>
  </si>
  <si>
    <t>=IF(OFFSET(B204,1,0)&lt;&gt;"",OFFSET(B204,1,0),"")</t>
  </si>
  <si>
    <t>=LEFT(F204,3)</t>
  </si>
  <si>
    <t>46597</t>
  </si>
  <si>
    <t>=IF(SUM(M204:N204)=0,"",SUM(M204:N204))</t>
  </si>
  <si>
    <t>=O204</t>
  </si>
  <si>
    <t>=R204-7</t>
  </si>
  <si>
    <t>=IFERROR(IF(J204*T204&lt;&gt;0,J204-T204,""),"")</t>
  </si>
  <si>
    <t>=IF(U204&lt;&gt;"",IF(U204&gt;28,"Too early",IF(U204&lt;14,"Too late","")),"")</t>
  </si>
  <si>
    <t>=IF(OFFSET(X204,1,0)="",R204,OFFSET(X204,1,0))</t>
  </si>
  <si>
    <t>=IFERROR(IF(J204*Z204&lt;&gt;0,J204-Z204,""),"")</t>
  </si>
  <si>
    <t>=IF(AA204&lt;&gt;"",IF(AA204&gt;28,"Too early",IF(AA204&lt;14,"Too late","")),"")</t>
  </si>
  <si>
    <t>=IF(AI204="","",AI204*AJ204*AK204/1000/1000/1000)</t>
  </si>
  <si>
    <t>=COUNTIF(J$3:OFFSET(J206,-1,0),"Subtotal:")+1</t>
  </si>
  <si>
    <t>=IF(OFFSET(B206,1,0)&lt;&gt;"",OFFSET(B206,1,0),"")</t>
  </si>
  <si>
    <t>=LEFT(F206,3)</t>
  </si>
  <si>
    <t>46559</t>
  </si>
  <si>
    <t>=IF(SUM(M206:N206)=0,"",SUM(M206:N206))</t>
  </si>
  <si>
    <t>=O206</t>
  </si>
  <si>
    <t>=R206-7</t>
  </si>
  <si>
    <t>=IFERROR(IF(J206*T206&lt;&gt;0,J206-T206,""),"")</t>
  </si>
  <si>
    <t>=IF(U206&lt;&gt;"",IF(U206&gt;28,"Too early",IF(U206&lt;14,"Too late","")),"")</t>
  </si>
  <si>
    <t>=IF(OFFSET(X206,1,0)="",R206,OFFSET(X206,1,0))</t>
  </si>
  <si>
    <t>=IFERROR(IF(J206*Z206&lt;&gt;0,J206-Z206,""),"")</t>
  </si>
  <si>
    <t>=IF(AA206&lt;&gt;"",IF(AA206&gt;28,"Too early",IF(AA206&lt;14,"Too late","")),"")</t>
  </si>
  <si>
    <t>=IF(AI206="","",AI206*AJ206*AK206/1000/1000/1000)</t>
  </si>
  <si>
    <t>=COUNTIF(J$3:OFFSET(J207,-1,0),"Subtotal:")+1</t>
  </si>
  <si>
    <t>=IF(OFFSET(B207,1,0)&lt;&gt;"",OFFSET(B207,1,0),"")</t>
  </si>
  <si>
    <t>=LEFT(F207,3)</t>
  </si>
  <si>
    <t>=IF(SUM(M207:N207)=0,"",SUM(M207:N207))</t>
  </si>
  <si>
    <t>=O207</t>
  </si>
  <si>
    <t>=R207-7</t>
  </si>
  <si>
    <t>=IFERROR(IF(J207*T207&lt;&gt;0,J207-T207,""),"")</t>
  </si>
  <si>
    <t>=IF(U207&lt;&gt;"",IF(U207&gt;28,"Too early",IF(U207&lt;14,"Too late","")),"")</t>
  </si>
  <si>
    <t>=IF(OFFSET(X207,1,0)="",R207,OFFSET(X207,1,0))</t>
  </si>
  <si>
    <t>=IFERROR(IF(J207*Z207&lt;&gt;0,J207-Z207,""),"")</t>
  </si>
  <si>
    <t>=IF(AA207&lt;&gt;"",IF(AA207&gt;28,"Too early",IF(AA207&lt;14,"Too late","")),"")</t>
  </si>
  <si>
    <t>=IF(AI207="","",AI207*AJ207*AK207/1000/1000/1000)</t>
  </si>
  <si>
    <t>=COUNTIF(J$3:OFFSET(J208,-1,0),"Subtotal:")+1</t>
  </si>
  <si>
    <t>=IF(OFFSET(B208,1,0)&lt;&gt;"",OFFSET(B208,1,0),"")</t>
  </si>
  <si>
    <t>=LEFT(F208,3)</t>
  </si>
  <si>
    <t>46569</t>
  </si>
  <si>
    <t>=IF(SUM(M208:N208)=0,"",SUM(M208:N208))</t>
  </si>
  <si>
    <t>=O208</t>
  </si>
  <si>
    <t>=R208-7</t>
  </si>
  <si>
    <t>=IFERROR(IF(J208*T208&lt;&gt;0,J208-T208,""),"")</t>
  </si>
  <si>
    <t>=IF(U208&lt;&gt;"",IF(U208&gt;28,"Too early",IF(U208&lt;14,"Too late","")),"")</t>
  </si>
  <si>
    <t>=IF(OFFSET(X208,1,0)="",R208,OFFSET(X208,1,0))</t>
  </si>
  <si>
    <t>=IFERROR(IF(J208*Z208&lt;&gt;0,J208-Z208,""),"")</t>
  </si>
  <si>
    <t>=IF(AA208&lt;&gt;"",IF(AA208&gt;28,"Too early",IF(AA208&lt;14,"Too late","")),"")</t>
  </si>
  <si>
    <t>=IF(AI208="","",AI208*AJ208*AK208/1000/1000/1000)</t>
  </si>
  <si>
    <t>=COUNTIF(J$3:OFFSET(J209,-1,0),"Subtotal:")+1</t>
  </si>
  <si>
    <t>=IF(OFFSET(B209,1,0)&lt;&gt;"",OFFSET(B209,1,0),"")</t>
  </si>
  <si>
    <t>=LEFT(F209,3)</t>
  </si>
  <si>
    <t>=IF(SUM(M209:N209)=0,"",SUM(M209:N209))</t>
  </si>
  <si>
    <t>=O209</t>
  </si>
  <si>
    <t>=R209-7</t>
  </si>
  <si>
    <t>=IFERROR(IF(J209*T209&lt;&gt;0,J209-T209,""),"")</t>
  </si>
  <si>
    <t>=IF(U209&lt;&gt;"",IF(U209&gt;28,"Too early",IF(U209&lt;14,"Too late","")),"")</t>
  </si>
  <si>
    <t>=IF(OFFSET(X209,1,0)="",R209,OFFSET(X209,1,0))</t>
  </si>
  <si>
    <t>=IFERROR(IF(J209*Z209&lt;&gt;0,J209-Z209,""),"")</t>
  </si>
  <si>
    <t>=IF(AA209&lt;&gt;"",IF(AA209&gt;28,"Too early",IF(AA209&lt;14,"Too late","")),"")</t>
  </si>
  <si>
    <t>=IF(AI209="","",AI209*AJ209*AK209/1000/1000/1000)</t>
  </si>
  <si>
    <t>=COUNTIF(J$3:OFFSET(J210,-1,0),"Subtotal:")+1</t>
  </si>
  <si>
    <t>46571</t>
  </si>
  <si>
    <t>=R210-7</t>
  </si>
  <si>
    <t>=IFERROR(IF(J210*T210&lt;&gt;0,J210-T210,""),"")</t>
  </si>
  <si>
    <t>=IF(U210&lt;&gt;"",IF(U210&gt;28,"Too early",IF(U210&lt;14,"Too late","")),"")</t>
  </si>
  <si>
    <t>=IFERROR(IF(J210*Z210&lt;&gt;0,J210-Z210,""),"")</t>
  </si>
  <si>
    <t>=IF(AA210&lt;&gt;"",IF(AA210&gt;28,"Too early",IF(AA210&lt;14,"Too late","")),"")</t>
  </si>
  <si>
    <t>=COUNTIF(J$3:OFFSET(J212,-1,0),"Subtotal:")+1</t>
  </si>
  <si>
    <t>=IF(OFFSET(B212,1,0)&lt;&gt;"",OFFSET(B212,1,0),"")</t>
  </si>
  <si>
    <t>=LEFT(F212,3)</t>
  </si>
  <si>
    <t>=IF(SUM(M212:N212)=0,"",SUM(M212:N212))</t>
  </si>
  <si>
    <t>=O212</t>
  </si>
  <si>
    <t>=R212-7</t>
  </si>
  <si>
    <t>=IFERROR(IF(J212*T212&lt;&gt;0,J212-T212,""),"")</t>
  </si>
  <si>
    <t>=IF(U212&lt;&gt;"",IF(U212&gt;28,"Too early",IF(U212&lt;14,"Too late","")),"")</t>
  </si>
  <si>
    <t>=IF(OFFSET(X212,1,0)="",R212,OFFSET(X212,1,0))</t>
  </si>
  <si>
    <t>=IFERROR(IF(J212*Z212&lt;&gt;0,J212-Z212,""),"")</t>
  </si>
  <si>
    <t>=IF(AA212&lt;&gt;"",IF(AA212&gt;28,"Too early",IF(AA212&lt;14,"Too late","")),"")</t>
  </si>
  <si>
    <t>=IF(AI212="","",AI212*AJ212*AK212/1000/1000/1000)</t>
  </si>
  <si>
    <t>=COUNTIF(J$3:OFFSET(J213,-1,0),"Subtotal:")+1</t>
  </si>
  <si>
    <t>=R213-7</t>
  </si>
  <si>
    <t>=IFERROR(IF(J213*T213&lt;&gt;0,J213-T213,""),"")</t>
  </si>
  <si>
    <t>=IF(U213&lt;&gt;"",IF(U213&gt;28,"Too early",IF(U213&lt;14,"Too late","")),"")</t>
  </si>
  <si>
    <t>=IFERROR(IF(J213*Z213&lt;&gt;0,J213-Z213,""),"")</t>
  </si>
  <si>
    <t>=IF(AA213&lt;&gt;"",IF(AA213&gt;28,"Too early",IF(AA213&lt;14,"Too late","")),"")</t>
  </si>
  <si>
    <t>=COUNTIF(J$3:OFFSET(J214,-1,0),"Subtotal:")+1</t>
  </si>
  <si>
    <t>=IF(OFFSET(B214,1,0)&lt;&gt;"",OFFSET(B214,1,0),"")</t>
  </si>
  <si>
    <t>=LEFT(F214,3)</t>
  </si>
  <si>
    <t>=IF(SUM(M214:N214)=0,"",SUM(M214:N214))</t>
  </si>
  <si>
    <t>=O214</t>
  </si>
  <si>
    <t>=R214-7</t>
  </si>
  <si>
    <t>=IFERROR(IF(J214*T214&lt;&gt;0,J214-T214,""),"")</t>
  </si>
  <si>
    <t>=IF(U214&lt;&gt;"",IF(U214&gt;28,"Too early",IF(U214&lt;14,"Too late","")),"")</t>
  </si>
  <si>
    <t>=IF(OFFSET(X214,1,0)="",R214,OFFSET(X214,1,0))</t>
  </si>
  <si>
    <t>=IFERROR(IF(J214*Z214&lt;&gt;0,J214-Z214,""),"")</t>
  </si>
  <si>
    <t>=IF(AA214&lt;&gt;"",IF(AA214&gt;28,"Too early",IF(AA214&lt;14,"Too late","")),"")</t>
  </si>
  <si>
    <t>=IF(AI214="","",AI214*AJ214*AK214/1000/1000/1000)</t>
  </si>
  <si>
    <t>=COUNTIF(J$3:OFFSET(J215,-1,0),"Subtotal:")+1</t>
  </si>
  <si>
    <t>=IF(OFFSET(B215,1,0)&lt;&gt;"",OFFSET(B215,1,0),"")</t>
  </si>
  <si>
    <t>=LEFT(F215,3)</t>
  </si>
  <si>
    <t>=IF(SUM(M215:N215)=0,"",SUM(M215:N215))</t>
  </si>
  <si>
    <t>=O215</t>
  </si>
  <si>
    <t>=R215-7</t>
  </si>
  <si>
    <t>=IFERROR(IF(J215*T215&lt;&gt;0,J215-T215,""),"")</t>
  </si>
  <si>
    <t>=IF(U215&lt;&gt;"",IF(U215&gt;28,"Too early",IF(U215&lt;14,"Too late","")),"")</t>
  </si>
  <si>
    <t>=IF(OFFSET(X215,1,0)="",R215,OFFSET(X215,1,0))</t>
  </si>
  <si>
    <t>=IFERROR(IF(J215*Z215&lt;&gt;0,J215-Z215,""),"")</t>
  </si>
  <si>
    <t>=IF(AA215&lt;&gt;"",IF(AA215&gt;28,"Too early",IF(AA215&lt;14,"Too late","")),"")</t>
  </si>
  <si>
    <t>=IF(AI215="","",AI215*AJ215*AK215/1000/1000/1000)</t>
  </si>
  <si>
    <t>=COUNTIF(J$3:OFFSET(J216,-1,0),"Subtotal:")+1</t>
  </si>
  <si>
    <t>=R216-7</t>
  </si>
  <si>
    <t>=IFERROR(IF(J216*T216&lt;&gt;0,J216-T216,""),"")</t>
  </si>
  <si>
    <t>=IF(U216&lt;&gt;"",IF(U216&gt;28,"Too early",IF(U216&lt;14,"Too late","")),"")</t>
  </si>
  <si>
    <t>=IFERROR(IF(J216*Z216&lt;&gt;0,J216-Z216,""),"")</t>
  </si>
  <si>
    <t>=IF(AA216&lt;&gt;"",IF(AA216&gt;28,"Too early",IF(AA216&lt;14,"Too late","")),"")</t>
  </si>
  <si>
    <t>=COUNTIF(J$3:OFFSET(J218,-1,0),"Subtotal:")+1</t>
  </si>
  <si>
    <t>=IF(OFFSET(B218,1,0)&lt;&gt;"",OFFSET(B218,1,0),"")</t>
  </si>
  <si>
    <t>=LEFT(F218,3)</t>
  </si>
  <si>
    <t>=IF(SUM(M218:N218)=0,"",SUM(M218:N218))</t>
  </si>
  <si>
    <t>=O218</t>
  </si>
  <si>
    <t>=R218-7</t>
  </si>
  <si>
    <t>=IFERROR(IF(J218*T218&lt;&gt;0,J218-T218,""),"")</t>
  </si>
  <si>
    <t>=IF(U218&lt;&gt;"",IF(U218&gt;28,"Too early",IF(U218&lt;14,"Too late","")),"")</t>
  </si>
  <si>
    <t>=IF(OFFSET(X218,1,0)="",R218,OFFSET(X218,1,0))</t>
  </si>
  <si>
    <t>=IFERROR(IF(J218*Z218&lt;&gt;0,J218-Z218,""),"")</t>
  </si>
  <si>
    <t>=IF(AA218&lt;&gt;"",IF(AA218&gt;28,"Too early",IF(AA218&lt;14,"Too late","")),"")</t>
  </si>
  <si>
    <t>=IF(AI218="","",AI218*AJ218*AK218/1000/1000/1000)</t>
  </si>
  <si>
    <t>=COUNTIF(J$3:OFFSET(J219,-1,0),"Subtotal:")+1</t>
  </si>
  <si>
    <t>=IF(OFFSET(B219,1,0)&lt;&gt;"",OFFSET(B219,1,0),"")</t>
  </si>
  <si>
    <t>=LEFT(F219,3)</t>
  </si>
  <si>
    <t>46577</t>
  </si>
  <si>
    <t>=IF(SUM(M219:N219)=0,"",SUM(M219:N219))</t>
  </si>
  <si>
    <t>=O219</t>
  </si>
  <si>
    <t>=R219-7</t>
  </si>
  <si>
    <t>=IFERROR(IF(J219*T219&lt;&gt;0,J219-T219,""),"")</t>
  </si>
  <si>
    <t>=IF(U219&lt;&gt;"",IF(U219&gt;28,"Too early",IF(U219&lt;14,"Too late","")),"")</t>
  </si>
  <si>
    <t>=IF(OFFSET(X219,1,0)="",R219,OFFSET(X219,1,0))</t>
  </si>
  <si>
    <t>=IFERROR(IF(J219*Z219&lt;&gt;0,J219-Z219,""),"")</t>
  </si>
  <si>
    <t>=IF(AA219&lt;&gt;"",IF(AA219&gt;28,"Too early",IF(AA219&lt;14,"Too late","")),"")</t>
  </si>
  <si>
    <t>=IF(AI219="","",AI219*AJ219*AK219/1000/1000/1000)</t>
  </si>
  <si>
    <t>=COUNTIF(J$3:OFFSET(J220,-1,0),"Subtotal:")+1</t>
  </si>
  <si>
    <t>=IF(OFFSET(B220,1,0)&lt;&gt;"",OFFSET(B220,1,0),"")</t>
  </si>
  <si>
    <t>=LEFT(F220,3)</t>
  </si>
  <si>
    <t>=IF(SUM(M220:N220)=0,"",SUM(M220:N220))</t>
  </si>
  <si>
    <t>=O220</t>
  </si>
  <si>
    <t>=R220-7</t>
  </si>
  <si>
    <t>=IFERROR(IF(J220*T220&lt;&gt;0,J220-T220,""),"")</t>
  </si>
  <si>
    <t>=IF(U220&lt;&gt;"",IF(U220&gt;28,"Too early",IF(U220&lt;14,"Too late","")),"")</t>
  </si>
  <si>
    <t>=IF(OFFSET(X220,1,0)="",R220,OFFSET(X220,1,0))</t>
  </si>
  <si>
    <t>=IFERROR(IF(J220*Z220&lt;&gt;0,J220-Z220,""),"")</t>
  </si>
  <si>
    <t>=IF(AA220&lt;&gt;"",IF(AA220&gt;28,"Too early",IF(AA220&lt;14,"Too late","")),"")</t>
  </si>
  <si>
    <t>=IF(AI220="","",AI220*AJ220*AK220/1000/1000/1000)</t>
  </si>
  <si>
    <t>=COUNTIF(J$3:OFFSET(J221,-1,0),"Subtotal:")+1</t>
  </si>
  <si>
    <t>=R221-7</t>
  </si>
  <si>
    <t>=IFERROR(IF(J221*T221&lt;&gt;0,J221-T221,""),"")</t>
  </si>
  <si>
    <t>=IF(U221&lt;&gt;"",IF(U221&gt;28,"Too early",IF(U221&lt;14,"Too late","")),"")</t>
  </si>
  <si>
    <t>=IFERROR(IF(J221*Z221&lt;&gt;0,J221-Z221,""),"")</t>
  </si>
  <si>
    <t>=IF(AA221&lt;&gt;"",IF(AA221&gt;28,"Too early",IF(AA221&lt;14,"Too late","")),"")</t>
  </si>
  <si>
    <t>=COUNTIF(J$3:OFFSET(J222,-1,0),"Subtotal:")+1</t>
  </si>
  <si>
    <t>=IF(OFFSET(B222,1,0)&lt;&gt;"",OFFSET(B222,1,0),"")</t>
  </si>
  <si>
    <t>=LEFT(F222,3)</t>
  </si>
  <si>
    <t>46586</t>
  </si>
  <si>
    <t>=IF(SUM(M222:N222)=0,"",SUM(M222:N222))</t>
  </si>
  <si>
    <t>=O222</t>
  </si>
  <si>
    <t>=R222-7</t>
  </si>
  <si>
    <t>=IFERROR(IF(J222*T222&lt;&gt;0,J222-T222,""),"")</t>
  </si>
  <si>
    <t>=IF(U222&lt;&gt;"",IF(U222&gt;28,"Too early",IF(U222&lt;14,"Too late","")),"")</t>
  </si>
  <si>
    <t>=IF(OFFSET(X222,1,0)="",R222,OFFSET(X222,1,0))</t>
  </si>
  <si>
    <t>=IFERROR(IF(J222*Z222&lt;&gt;0,J222-Z222,""),"")</t>
  </si>
  <si>
    <t>=IF(AA222&lt;&gt;"",IF(AA222&gt;28,"Too early",IF(AA222&lt;14,"Too late","")),"")</t>
  </si>
  <si>
    <t>=IF(AI222="","",AI222*AJ222*AK222/1000/1000/1000)</t>
  </si>
  <si>
    <t>=COUNTIF(J$3:OFFSET(J224,-1,0),"Subtotal:")+1</t>
  </si>
  <si>
    <t>=IF(OFFSET(B224,1,0)&lt;&gt;"",OFFSET(B224,1,0),"")</t>
  </si>
  <si>
    <t>=LEFT(F224,3)</t>
  </si>
  <si>
    <t>=IF(SUM(M224:N224)=0,"",SUM(M224:N224))</t>
  </si>
  <si>
    <t>=O224</t>
  </si>
  <si>
    <t>=R224-7</t>
  </si>
  <si>
    <t>=IFERROR(IF(J224*T224&lt;&gt;0,J224-T224,""),"")</t>
  </si>
  <si>
    <t>=IF(U224&lt;&gt;"",IF(U224&gt;28,"Too early",IF(U224&lt;14,"Too late","")),"")</t>
  </si>
  <si>
    <t>=IF(OFFSET(X224,1,0)="",R224,OFFSET(X224,1,0))</t>
  </si>
  <si>
    <t>=IFERROR(IF(J224*Z224&lt;&gt;0,J224-Z224,""),"")</t>
  </si>
  <si>
    <t>=IF(AA224&lt;&gt;"",IF(AA224&gt;28,"Too early",IF(AA224&lt;14,"Too late","")),"")</t>
  </si>
  <si>
    <t>=IF(AI224="","",AI224*AJ224*AK224/1000/1000/1000)</t>
  </si>
  <si>
    <t>=COUNTIF(J$3:OFFSET(J226,-1,0),"Subtotal:")+1</t>
  </si>
  <si>
    <t>=IF(OFFSET(B226,1,0)&lt;&gt;"",OFFSET(B226,1,0),"")</t>
  </si>
  <si>
    <t>=LEFT(F226,3)</t>
  </si>
  <si>
    <t>=O226</t>
  </si>
  <si>
    <t>=R226-7</t>
  </si>
  <si>
    <t>=IFERROR(IF(J226*T226&lt;&gt;0,J226-T226,""),"")</t>
  </si>
  <si>
    <t>=IF(U226&lt;&gt;"",IF(U226&gt;28,"Too early",IF(U226&lt;14,"Too late","")),"")</t>
  </si>
  <si>
    <t>=IF(OFFSET(X226,1,0)="",R226,OFFSET(X226,1,0))</t>
  </si>
  <si>
    <t>=IFERROR(IF(J226*Z226&lt;&gt;0,J226-Z226,""),"")</t>
  </si>
  <si>
    <t>=IF(AA226&lt;&gt;"",IF(AA226&gt;28,"Too early",IF(AA226&lt;14,"Too late","")),"")</t>
  </si>
  <si>
    <t>=IF(AI226="","",AI226*AJ226*AK226/1000/1000/1000)</t>
  </si>
  <si>
    <t>=COUNTIF(J$3:OFFSET(J228,-1,0),"Subtotal:")+1</t>
  </si>
  <si>
    <t>=IF(OFFSET(B228,1,0)&lt;&gt;"",OFFSET(B228,1,0),"")</t>
  </si>
  <si>
    <t>=LEFT(F228,3)</t>
  </si>
  <si>
    <t>=IF(SUM(M228:N228)=0,"",SUM(M228:N228))</t>
  </si>
  <si>
    <t>=O228</t>
  </si>
  <si>
    <t>=R228-7</t>
  </si>
  <si>
    <t>=IFERROR(IF(J228*T228&lt;&gt;0,J228-T228,""),"")</t>
  </si>
  <si>
    <t>=IF(U228&lt;&gt;"",IF(U228&gt;28,"Too early",IF(U228&lt;14,"Too late","")),"")</t>
  </si>
  <si>
    <t>=IF(OFFSET(X228,1,0)="",R228,OFFSET(X228,1,0))</t>
  </si>
  <si>
    <t>=IFERROR(IF(J228*Z228&lt;&gt;0,J228-Z228,""),"")</t>
  </si>
  <si>
    <t>=IF(AA228&lt;&gt;"",IF(AA228&gt;28,"Too early",IF(AA228&lt;14,"Too late","")),"")</t>
  </si>
  <si>
    <t>=IF(AI228="","",AI228*AJ228*AK228/1000/1000/1000)</t>
  </si>
  <si>
    <t>=IF(SUM(M229:N229)=0,"",SUM(M229:N229))</t>
  </si>
  <si>
    <t>=IF(AI229="","",AI229*AJ229*AK229/1000/1000/1000)</t>
  </si>
  <si>
    <t>=COUNTIF(J$3:OFFSET(J230,-1,0),"Subtotal:")+1</t>
  </si>
  <si>
    <t>=IF(OFFSET(B230,1,0)&lt;&gt;"",OFFSET(B230,1,0),"")</t>
  </si>
  <si>
    <t>=LEFT(F230,3)</t>
  </si>
  <si>
    <t>46555</t>
  </si>
  <si>
    <t>=IF(SUM(M230:N230)=0,"",SUM(M230:N230))</t>
  </si>
  <si>
    <t>=O230</t>
  </si>
  <si>
    <t>=R230-7</t>
  </si>
  <si>
    <t>=IFERROR(IF(J230*T230&lt;&gt;0,J230-T230,""),"")</t>
  </si>
  <si>
    <t>=IF(U230&lt;&gt;"",IF(U230&gt;28,"Too early",IF(U230&lt;14,"Too late","")),"")</t>
  </si>
  <si>
    <t>=IF(OFFSET(X230,1,0)="",R230,OFFSET(X230,1,0))</t>
  </si>
  <si>
    <t>=IFERROR(IF(J230*Z230&lt;&gt;0,J230-Z230,""),"")</t>
  </si>
  <si>
    <t>=IF(AA230&lt;&gt;"",IF(AA230&gt;28,"Too early",IF(AA230&lt;14,"Too late","")),"")</t>
  </si>
  <si>
    <t>=IF(AI230="","",AI230*AJ230*AK230/1000/1000/1000)</t>
  </si>
  <si>
    <t>=COUNTIF(J$3:OFFSET(J231,-1,0),"Subtotal:")+1</t>
  </si>
  <si>
    <t>=IF(OFFSET(B231,1,0)&lt;&gt;"",OFFSET(B231,1,0),"")</t>
  </si>
  <si>
    <t>=LEFT(F231,3)</t>
  </si>
  <si>
    <t>=IF(SUM(M231:N231)=0,"",SUM(M231:N231))</t>
  </si>
  <si>
    <t>=O231</t>
  </si>
  <si>
    <t>=R231-7</t>
  </si>
  <si>
    <t>=IFERROR(IF(J231*T231&lt;&gt;0,J231-T231,""),"")</t>
  </si>
  <si>
    <t>=IF(U231&lt;&gt;"",IF(U231&gt;28,"Too early",IF(U231&lt;14,"Too late","")),"")</t>
  </si>
  <si>
    <t>=IF(OFFSET(X231,1,0)="",R231,OFFSET(X231,1,0))</t>
  </si>
  <si>
    <t>=IFERROR(IF(J231*Z231&lt;&gt;0,J231-Z231,""),"")</t>
  </si>
  <si>
    <t>=IF(AA231&lt;&gt;"",IF(AA231&gt;28,"Too early",IF(AA231&lt;14,"Too late","")),"")</t>
  </si>
  <si>
    <t>=IF(AI231="","",AI231*AJ231*AK231/1000/1000/1000)</t>
  </si>
  <si>
    <t>=COUNTIF(J$3:OFFSET(J232,-1,0),"Subtotal:")+1</t>
  </si>
  <si>
    <t>=IF(OFFSET(B232,1,0)&lt;&gt;"",OFFSET(B232,1,0),"")</t>
  </si>
  <si>
    <t>=LEFT(F232,3)</t>
  </si>
  <si>
    <t>=IF(SUM(M232:N232)=0,"",SUM(M232:N232))</t>
  </si>
  <si>
    <t>=O232</t>
  </si>
  <si>
    <t>=R232-7</t>
  </si>
  <si>
    <t>=IFERROR(IF(J232*T232&lt;&gt;0,J232-T232,""),"")</t>
  </si>
  <si>
    <t>=IF(U232&lt;&gt;"",IF(U232&gt;28,"Too early",IF(U232&lt;14,"Too late","")),"")</t>
  </si>
  <si>
    <t>=IF(OFFSET(X232,1,0)="",R232,OFFSET(X232,1,0))</t>
  </si>
  <si>
    <t>=IFERROR(IF(J232*Z232&lt;&gt;0,J232-Z232,""),"")</t>
  </si>
  <si>
    <t>=IF(AA232&lt;&gt;"",IF(AA232&gt;28,"Too early",IF(AA232&lt;14,"Too late","")),"")</t>
  </si>
  <si>
    <t>=IF(AI232="","",AI232*AJ232*AK232/1000/1000/1000)</t>
  </si>
  <si>
    <t>=COUNTIF(J$3:OFFSET(J233,-1,0),"Subtotal:")+1</t>
  </si>
  <si>
    <t>=IF(OFFSET(B233,1,0)&lt;&gt;"",OFFSET(B233,1,0),"")</t>
  </si>
  <si>
    <t>=LEFT(F233,3)</t>
  </si>
  <si>
    <t>=IF(SUM(M233:N233)=0,"",SUM(M233:N233))</t>
  </si>
  <si>
    <t>=O233</t>
  </si>
  <si>
    <t>=R233-7</t>
  </si>
  <si>
    <t>=IFERROR(IF(J233*T233&lt;&gt;0,J233-T233,""),"")</t>
  </si>
  <si>
    <t>=IF(U233&lt;&gt;"",IF(U233&gt;28,"Too early",IF(U233&lt;14,"Too late","")),"")</t>
  </si>
  <si>
    <t>=IF(OFFSET(X233,1,0)="",R233,OFFSET(X233,1,0))</t>
  </si>
  <si>
    <t>=IFERROR(IF(J233*Z233&lt;&gt;0,J233-Z233,""),"")</t>
  </si>
  <si>
    <t>=IF(AA233&lt;&gt;"",IF(AA233&gt;28,"Too early",IF(AA233&lt;14,"Too late","")),"")</t>
  </si>
  <si>
    <t>=IF(AI233="","",AI233*AJ233*AK233/1000/1000/1000)</t>
  </si>
  <si>
    <t>=COUNTIF(J$3:OFFSET(J234,-1,0),"Subtotal:")+1</t>
  </si>
  <si>
    <t>=IF(OFFSET(B234,1,0)&lt;&gt;"",OFFSET(B234,1,0),"")</t>
  </si>
  <si>
    <t>=LEFT(F234,3)</t>
  </si>
  <si>
    <t>=IF(SUM(M234:N234)=0,"",SUM(M234:N234))</t>
  </si>
  <si>
    <t>=O234</t>
  </si>
  <si>
    <t>=R234-7</t>
  </si>
  <si>
    <t>=IFERROR(IF(J234*T234&lt;&gt;0,J234-T234,""),"")</t>
  </si>
  <si>
    <t>=IF(U234&lt;&gt;"",IF(U234&gt;28,"Too early",IF(U234&lt;14,"Too late","")),"")</t>
  </si>
  <si>
    <t>=IF(OFFSET(X234,1,0)="",R234,OFFSET(X234,1,0))</t>
  </si>
  <si>
    <t>=IFERROR(IF(J234*Z234&lt;&gt;0,J234-Z234,""),"")</t>
  </si>
  <si>
    <t>=IF(AA234&lt;&gt;"",IF(AA234&gt;28,"Too early",IF(AA234&lt;14,"Too late","")),"")</t>
  </si>
  <si>
    <t>=IF(AI234="","",AI234*AJ234*AK234/1000/1000/1000)</t>
  </si>
  <si>
    <t>=COUNTIF(J$3:OFFSET(J235,-1,0),"Subtotal:")+1</t>
  </si>
  <si>
    <t>=IF(OFFSET(B235,1,0)&lt;&gt;"",OFFSET(B235,1,0),"")</t>
  </si>
  <si>
    <t>=LEFT(F235,3)</t>
  </si>
  <si>
    <t>=IF(SUM(M235:N235)=0,"",SUM(M235:N235))</t>
  </si>
  <si>
    <t>=O235</t>
  </si>
  <si>
    <t>=R235-7</t>
  </si>
  <si>
    <t>=IFERROR(IF(J235*T235&lt;&gt;0,J235-T235,""),"")</t>
  </si>
  <si>
    <t>=IF(U235&lt;&gt;"",IF(U235&gt;28,"Too early",IF(U235&lt;14,"Too late","")),"")</t>
  </si>
  <si>
    <t>=IF(OFFSET(X235,1,0)="",R235,OFFSET(X235,1,0))</t>
  </si>
  <si>
    <t>=IFERROR(IF(J235*Z235&lt;&gt;0,J235-Z235,""),"")</t>
  </si>
  <si>
    <t>=IF(AA235&lt;&gt;"",IF(AA235&gt;28,"Too early",IF(AA235&lt;14,"Too late","")),"")</t>
  </si>
  <si>
    <t>=IF(AI235="","",AI235*AJ235*AK235/1000/1000/1000)</t>
  </si>
  <si>
    <t>=COUNTIF(J$3:OFFSET(J236,-1,0),"Subtotal:")+1</t>
  </si>
  <si>
    <t>=IF(OFFSET(B236,1,0)&lt;&gt;"",OFFSET(B236,1,0),"")</t>
  </si>
  <si>
    <t>=LEFT(F236,3)</t>
  </si>
  <si>
    <t>=IF(SUM(M236:N236)=0,"",SUM(M236:N236))</t>
  </si>
  <si>
    <t>=O236</t>
  </si>
  <si>
    <t>=R236-7</t>
  </si>
  <si>
    <t>=IFERROR(IF(J236*T236&lt;&gt;0,J236-T236,""),"")</t>
  </si>
  <si>
    <t>=IF(U236&lt;&gt;"",IF(U236&gt;28,"Too early",IF(U236&lt;14,"Too late","")),"")</t>
  </si>
  <si>
    <t>=IF(OFFSET(X236,1,0)="",R236,OFFSET(X236,1,0))</t>
  </si>
  <si>
    <t>=IFERROR(IF(J236*Z236&lt;&gt;0,J236-Z236,""),"")</t>
  </si>
  <si>
    <t>=IF(AA236&lt;&gt;"",IF(AA236&gt;28,"Too early",IF(AA236&lt;14,"Too late","")),"")</t>
  </si>
  <si>
    <t>=IF(AI236="","",AI236*AJ236*AK236/1000/1000/1000)</t>
  </si>
  <si>
    <t>=COUNTIF(J$3:OFFSET(J237,-1,0),"Subtotal:")+1</t>
  </si>
  <si>
    <t>=IF(OFFSET(B237,1,0)&lt;&gt;"",OFFSET(B237,1,0),"")</t>
  </si>
  <si>
    <t>=LEFT(F237,3)</t>
  </si>
  <si>
    <t>=IF(SUM(M237:N237)=0,"",SUM(M237:N237))</t>
  </si>
  <si>
    <t>=O237</t>
  </si>
  <si>
    <t>=R237-7</t>
  </si>
  <si>
    <t>=IFERROR(IF(J237*T237&lt;&gt;0,J237-T237,""),"")</t>
  </si>
  <si>
    <t>=IF(U237&lt;&gt;"",IF(U237&gt;28,"Too early",IF(U237&lt;14,"Too late","")),"")</t>
  </si>
  <si>
    <t>=IF(OFFSET(X237,1,0)="",R237,OFFSET(X237,1,0))</t>
  </si>
  <si>
    <t>=IFERROR(IF(J237*Z237&lt;&gt;0,J237-Z237,""),"")</t>
  </si>
  <si>
    <t>=IF(AA237&lt;&gt;"",IF(AA237&gt;28,"Too early",IF(AA237&lt;14,"Too late","")),"")</t>
  </si>
  <si>
    <t>=IF(AI237="","",AI237*AJ237*AK237/1000/1000/1000)</t>
  </si>
  <si>
    <t>=COUNTIF(J$3:OFFSET(J238,-1,0),"Subtotal:")+1</t>
  </si>
  <si>
    <t>=IF(OFFSET(B238,1,0)&lt;&gt;"",OFFSET(B238,1,0),"")</t>
  </si>
  <si>
    <t>=LEFT(F238,3)</t>
  </si>
  <si>
    <t>=IF(SUM(M238:N238)=0,"",SUM(M238:N238))</t>
  </si>
  <si>
    <t>=O238</t>
  </si>
  <si>
    <t>=R238-7</t>
  </si>
  <si>
    <t>=IFERROR(IF(J238*T238&lt;&gt;0,J238-T238,""),"")</t>
  </si>
  <si>
    <t>=IF(U238&lt;&gt;"",IF(U238&gt;28,"Too early",IF(U238&lt;14,"Too late","")),"")</t>
  </si>
  <si>
    <t>=IF(OFFSET(X238,1,0)="",R238,OFFSET(X238,1,0))</t>
  </si>
  <si>
    <t>=IFERROR(IF(J238*Z238&lt;&gt;0,J238-Z238,""),"")</t>
  </si>
  <si>
    <t>=IF(AA238&lt;&gt;"",IF(AA238&gt;28,"Too early",IF(AA238&lt;14,"Too late","")),"")</t>
  </si>
  <si>
    <t>=IF(AI238="","",AI238*AJ238*AK238/1000/1000/1000)</t>
  </si>
  <si>
    <t>=COUNTIF(J$3:OFFSET(J239,-1,0),"Subtotal:")+1</t>
  </si>
  <si>
    <t>=IF(OFFSET(B239,1,0)&lt;&gt;"",OFFSET(B239,1,0),"")</t>
  </si>
  <si>
    <t>=LEFT(F239,3)</t>
  </si>
  <si>
    <t>=IF(SUM(M239:N239)=0,"",SUM(M239:N239))</t>
  </si>
  <si>
    <t>=O239</t>
  </si>
  <si>
    <t>=R239-7</t>
  </si>
  <si>
    <t>=IFERROR(IF(J239*T239&lt;&gt;0,J239-T239,""),"")</t>
  </si>
  <si>
    <t>=IF(U239&lt;&gt;"",IF(U239&gt;28,"Too early",IF(U239&lt;14,"Too late","")),"")</t>
  </si>
  <si>
    <t>=IF(OFFSET(X239,1,0)="",R239,OFFSET(X239,1,0))</t>
  </si>
  <si>
    <t>=IFERROR(IF(J239*Z239&lt;&gt;0,J239-Z239,""),"")</t>
  </si>
  <si>
    <t>=IF(AA239&lt;&gt;"",IF(AA239&gt;28,"Too early",IF(AA239&lt;14,"Too late","")),"")</t>
  </si>
  <si>
    <t>=IF(AI239="","",AI239*AJ239*AK239/1000/1000/1000)</t>
  </si>
  <si>
    <t>=COUNTIF(J$3:OFFSET(J241,-1,0),"Subtotal:")+1</t>
  </si>
  <si>
    <t>=IF(OFFSET(B241,1,0)&lt;&gt;"",OFFSET(B241,1,0),"")</t>
  </si>
  <si>
    <t>=LEFT(F241,3)</t>
  </si>
  <si>
    <t>46582</t>
  </si>
  <si>
    <t>=IF(SUM(M241:N241)=0,"",SUM(M241:N241))</t>
  </si>
  <si>
    <t>=O241</t>
  </si>
  <si>
    <t>=R241-7</t>
  </si>
  <si>
    <t>=IFERROR(IF(J241*T241&lt;&gt;0,J241-T241,""),"")</t>
  </si>
  <si>
    <t>=IF(U241&lt;&gt;"",IF(U241&gt;28,"Too early",IF(U241&lt;14,"Too late","")),"")</t>
  </si>
  <si>
    <t>=IF(OFFSET(X241,1,0)="",R241,OFFSET(X241,1,0))</t>
  </si>
  <si>
    <t>=IFERROR(IF(J241*Z241&lt;&gt;0,J241-Z241,""),"")</t>
  </si>
  <si>
    <t>=IF(AA241&lt;&gt;"",IF(AA241&gt;28,"Too early",IF(AA241&lt;14,"Too late","")),"")</t>
  </si>
  <si>
    <t>=IF(AI241="","",AI241*AJ241*AK241/1000/1000/1000)</t>
  </si>
  <si>
    <t>=COUNTIF(J$3:OFFSET(J242,-1,0),"Subtotal:")+1</t>
  </si>
  <si>
    <t>=IF(OFFSET(B242,1,0)&lt;&gt;"",OFFSET(B242,1,0),"")</t>
  </si>
  <si>
    <t>=LEFT(F242,3)</t>
  </si>
  <si>
    <t>=IF(SUM(M242:N242)=0,"",SUM(M242:N242))</t>
  </si>
  <si>
    <t>=O242</t>
  </si>
  <si>
    <t>=R242-7</t>
  </si>
  <si>
    <t>=IFERROR(IF(J242*T242&lt;&gt;0,J242-T242,""),"")</t>
  </si>
  <si>
    <t>=IF(U242&lt;&gt;"",IF(U242&gt;28,"Too early",IF(U242&lt;14,"Too late","")),"")</t>
  </si>
  <si>
    <t>=IF(OFFSET(X242,1,0)="",R242,OFFSET(X242,1,0))</t>
  </si>
  <si>
    <t>=IFERROR(IF(J242*Z242&lt;&gt;0,J242-Z242,""),"")</t>
  </si>
  <si>
    <t>=IF(AA242&lt;&gt;"",IF(AA242&gt;28,"Too early",IF(AA242&lt;14,"Too late","")),"")</t>
  </si>
  <si>
    <t>=IF(AI242="","",AI242*AJ242*AK242/1000/1000/1000)</t>
  </si>
  <si>
    <t>=COUNTIF(J$3:OFFSET(J243,-1,0),"Subtotal:")+1</t>
  </si>
  <si>
    <t>=IF(OFFSET(B243,1,0)&lt;&gt;"",OFFSET(B243,1,0),"")</t>
  </si>
  <si>
    <t>=LEFT(F243,3)</t>
  </si>
  <si>
    <t>=IF(SUM(M243:N243)=0,"",SUM(M243:N243))</t>
  </si>
  <si>
    <t>=O243</t>
  </si>
  <si>
    <t>=R243-7</t>
  </si>
  <si>
    <t>=IFERROR(IF(J243*T243&lt;&gt;0,J243-T243,""),"")</t>
  </si>
  <si>
    <t>=IF(U243&lt;&gt;"",IF(U243&gt;28,"Too early",IF(U243&lt;14,"Too late","")),"")</t>
  </si>
  <si>
    <t>=IF(OFFSET(X243,1,0)="",R243,OFFSET(X243,1,0))</t>
  </si>
  <si>
    <t>=IFERROR(IF(J243*Z243&lt;&gt;0,J243-Z243,""),"")</t>
  </si>
  <si>
    <t>=IF(AA243&lt;&gt;"",IF(AA243&gt;28,"Too early",IF(AA243&lt;14,"Too late","")),"")</t>
  </si>
  <si>
    <t>=IF(AI243="","",AI243*AJ243*AK243/1000/1000/1000)</t>
  </si>
  <si>
    <t>=COUNTIF(J$3:OFFSET(J244,-1,0),"Subtotal:")+1</t>
  </si>
  <si>
    <t>=IF(OFFSET(B244,1,0)&lt;&gt;"",OFFSET(B244,1,0),"")</t>
  </si>
  <si>
    <t>=LEFT(F244,3)</t>
  </si>
  <si>
    <t>=IF(SUM(M244:N244)=0,"",SUM(M244:N244))</t>
  </si>
  <si>
    <t>=O244</t>
  </si>
  <si>
    <t>=R244-7</t>
  </si>
  <si>
    <t>=IFERROR(IF(J244*T244&lt;&gt;0,J244-T244,""),"")</t>
  </si>
  <si>
    <t>=IF(U244&lt;&gt;"",IF(U244&gt;28,"Too early",IF(U244&lt;14,"Too late","")),"")</t>
  </si>
  <si>
    <t>=IF(OFFSET(X244,1,0)="",R244,OFFSET(X244,1,0))</t>
  </si>
  <si>
    <t>=IFERROR(IF(J244*Z244&lt;&gt;0,J244-Z244,""),"")</t>
  </si>
  <si>
    <t>=IF(AA244&lt;&gt;"",IF(AA244&gt;28,"Too early",IF(AA244&lt;14,"Too late","")),"")</t>
  </si>
  <si>
    <t>=IF(AI244="","",AI244*AJ244*AK244/1000/1000/1000)</t>
  </si>
  <si>
    <t>=COUNTIF(J$3:OFFSET(J245,-1,0),"Subtotal:")+1</t>
  </si>
  <si>
    <t>=IF(OFFSET(B245,1,0)&lt;&gt;"",OFFSET(B245,1,0),"")</t>
  </si>
  <si>
    <t>=LEFT(F245,3)</t>
  </si>
  <si>
    <t>46553</t>
  </si>
  <si>
    <t>=IF(SUM(M245:N245)=0,"",SUM(M245:N245))</t>
  </si>
  <si>
    <t>=O245</t>
  </si>
  <si>
    <t>=R245-7</t>
  </si>
  <si>
    <t>=IFERROR(IF(J245*T245&lt;&gt;0,J245-T245,""),"")</t>
  </si>
  <si>
    <t>=IF(U245&lt;&gt;"",IF(U245&gt;28,"Too early",IF(U245&lt;14,"Too late","")),"")</t>
  </si>
  <si>
    <t>=IF(OFFSET(X245,1,0)="",R245,OFFSET(X245,1,0))</t>
  </si>
  <si>
    <t>=IFERROR(IF(J245*Z245&lt;&gt;0,J245-Z245,""),"")</t>
  </si>
  <si>
    <t>=IF(AA245&lt;&gt;"",IF(AA245&gt;28,"Too early",IF(AA245&lt;14,"Too late","")),"")</t>
  </si>
  <si>
    <t>=IF(AI245="","",AI245*AJ245*AK245/1000/1000/1000)</t>
  </si>
  <si>
    <t>=COUNTIF(J$3:OFFSET(J246,-1,0),"Subtotal:")+1</t>
  </si>
  <si>
    <t>=IF(OFFSET(B246,1,0)&lt;&gt;"",OFFSET(B246,1,0),"")</t>
  </si>
  <si>
    <t>=LEFT(F246,3)</t>
  </si>
  <si>
    <t>=IF(SUM(M246:N246)=0,"",SUM(M246:N246))</t>
  </si>
  <si>
    <t>=O246</t>
  </si>
  <si>
    <t>=R246-7</t>
  </si>
  <si>
    <t>=IFERROR(IF(J246*T246&lt;&gt;0,J246-T246,""),"")</t>
  </si>
  <si>
    <t>=IF(U246&lt;&gt;"",IF(U246&gt;28,"Too early",IF(U246&lt;14,"Too late","")),"")</t>
  </si>
  <si>
    <t>=IF(OFFSET(X246,1,0)="",R246,OFFSET(X246,1,0))</t>
  </si>
  <si>
    <t>=IFERROR(IF(J246*Z246&lt;&gt;0,J246-Z246,""),"")</t>
  </si>
  <si>
    <t>=IF(AA246&lt;&gt;"",IF(AA246&gt;28,"Too early",IF(AA246&lt;14,"Too late","")),"")</t>
  </si>
  <si>
    <t>=IF(AI246="","",AI246*AJ246*AK246/1000/1000/1000)</t>
  </si>
  <si>
    <t>=COUNTIF(J$3:OFFSET(J247,-1,0),"Subtotal:")+1</t>
  </si>
  <si>
    <t>=IF(OFFSET(B247,1,0)&lt;&gt;"",OFFSET(B247,1,0),"")</t>
  </si>
  <si>
    <t>=LEFT(F247,3)</t>
  </si>
  <si>
    <t>=IF(SUM(M247:N247)=0,"",SUM(M247:N247))</t>
  </si>
  <si>
    <t>=O247</t>
  </si>
  <si>
    <t>=R247-7</t>
  </si>
  <si>
    <t>=IFERROR(IF(J247*T247&lt;&gt;0,J247-T247,""),"")</t>
  </si>
  <si>
    <t>=IF(U247&lt;&gt;"",IF(U247&gt;28,"Too early",IF(U247&lt;14,"Too late","")),"")</t>
  </si>
  <si>
    <t>=IF(OFFSET(X247,1,0)="",R247,OFFSET(X247,1,0))</t>
  </si>
  <si>
    <t>=IFERROR(IF(J247*Z247&lt;&gt;0,J247-Z247,""),"")</t>
  </si>
  <si>
    <t>=IF(AA247&lt;&gt;"",IF(AA247&gt;28,"Too early",IF(AA247&lt;14,"Too late","")),"")</t>
  </si>
  <si>
    <t>=IF(AI247="","",AI247*AJ247*AK247/1000/1000/1000)</t>
  </si>
  <si>
    <t>=COUNTIF(J$3:OFFSET(J249,-1,0),"Subtotal:")+1</t>
  </si>
  <si>
    <t>=IF(OFFSET(B249,1,0)&lt;&gt;"",OFFSET(B249,1,0),"")</t>
  </si>
  <si>
    <t>=LEFT(F249,3)</t>
  </si>
  <si>
    <t>46537</t>
  </si>
  <si>
    <t>=IF(SUM(M249:N249)=0,"",SUM(M249:N249))</t>
  </si>
  <si>
    <t>=O249</t>
  </si>
  <si>
    <t>=R249-7</t>
  </si>
  <si>
    <t>=IFERROR(IF(J249*T249&lt;&gt;0,J249-T249,""),"")</t>
  </si>
  <si>
    <t>=IF(U249&lt;&gt;"",IF(U249&gt;28,"Too early",IF(U249&lt;14,"Too late","")),"")</t>
  </si>
  <si>
    <t>=IF(OFFSET(X249,1,0)="",R249,OFFSET(X249,1,0))</t>
  </si>
  <si>
    <t>=IFERROR(IF(J249*Z249&lt;&gt;0,J249-Z249,""),"")</t>
  </si>
  <si>
    <t>=IF(AA249&lt;&gt;"",IF(AA249&gt;28,"Too early",IF(AA249&lt;14,"Too late","")),"")</t>
  </si>
  <si>
    <t>=IF(AI249="","",AI249*AJ249*AK249/1000/1000/1000)</t>
  </si>
  <si>
    <t>=COUNTIF(J$3:OFFSET(J250,-1,0),"Subtotal:")+1</t>
  </si>
  <si>
    <t>=IF(OFFSET(B250,1,0)&lt;&gt;"",OFFSET(B250,1,0),"")</t>
  </si>
  <si>
    <t>=LEFT(F250,3)</t>
  </si>
  <si>
    <t>46551</t>
  </si>
  <si>
    <t>=IF(SUM(M250:N250)=0,"",SUM(M250:N250))</t>
  </si>
  <si>
    <t>=O250</t>
  </si>
  <si>
    <t>=R250-7</t>
  </si>
  <si>
    <t>=IFERROR(IF(J250*T250&lt;&gt;0,J250-T250,""),"")</t>
  </si>
  <si>
    <t>=IF(U250&lt;&gt;"",IF(U250&gt;28,"Too early",IF(U250&lt;14,"Too late","")),"")</t>
  </si>
  <si>
    <t>=IF(OFFSET(X250,1,0)="",R250,OFFSET(X250,1,0))</t>
  </si>
  <si>
    <t>=IFERROR(IF(J250*Z250&lt;&gt;0,J250-Z250,""),"")</t>
  </si>
  <si>
    <t>=IF(AA250&lt;&gt;"",IF(AA250&gt;28,"Too early",IF(AA250&lt;14,"Too late","")),"")</t>
  </si>
  <si>
    <t>=IF(AI250="","",AI250*AJ250*AK250/1000/1000/1000)</t>
  </si>
  <si>
    <t>=COUNTIF(J$3:OFFSET(J251,-1,0),"Subtotal:")+1</t>
  </si>
  <si>
    <t>=IF(OFFSET(B251,1,0)&lt;&gt;"",OFFSET(B251,1,0),"")</t>
  </si>
  <si>
    <t>=LEFT(F251,3)</t>
  </si>
  <si>
    <t>=IF(SUM(M251:N251)=0,"",SUM(M251:N251))</t>
  </si>
  <si>
    <t>=O251</t>
  </si>
  <si>
    <t>=R251-7</t>
  </si>
  <si>
    <t>=IFERROR(IF(J251*T251&lt;&gt;0,J251-T251,""),"")</t>
  </si>
  <si>
    <t>=IF(U251&lt;&gt;"",IF(U251&gt;28,"Too early",IF(U251&lt;14,"Too late","")),"")</t>
  </si>
  <si>
    <t>=IF(OFFSET(X251,1,0)="",R251,OFFSET(X251,1,0))</t>
  </si>
  <si>
    <t>=IFERROR(IF(J251*Z251&lt;&gt;0,J251-Z251,""),"")</t>
  </si>
  <si>
    <t>=IF(AA251&lt;&gt;"",IF(AA251&gt;28,"Too early",IF(AA251&lt;14,"Too late","")),"")</t>
  </si>
  <si>
    <t>=IF(AI251="","",AI251*AJ251*AK251/1000/1000/1000)</t>
  </si>
  <si>
    <t>=COUNTIF(J$3:OFFSET(J252,-1,0),"Subtotal:")+1</t>
  </si>
  <si>
    <t>=IF(OFFSET(B252,1,0)&lt;&gt;"",OFFSET(B252,1,0),"")</t>
  </si>
  <si>
    <t>=LEFT(F252,3)</t>
  </si>
  <si>
    <t>=IF(SUM(M252:N252)=0,"",SUM(M252:N252))</t>
  </si>
  <si>
    <t>=O252</t>
  </si>
  <si>
    <t>=R252-7</t>
  </si>
  <si>
    <t>=IFERROR(IF(J252*T252&lt;&gt;0,J252-T252,""),"")</t>
  </si>
  <si>
    <t>=IF(U252&lt;&gt;"",IF(U252&gt;28,"Too early",IF(U252&lt;14,"Too late","")),"")</t>
  </si>
  <si>
    <t>=IF(OFFSET(X252,1,0)="",R252,OFFSET(X252,1,0))</t>
  </si>
  <si>
    <t>=IFERROR(IF(J252*Z252&lt;&gt;0,J252-Z252,""),"")</t>
  </si>
  <si>
    <t>=IF(AA252&lt;&gt;"",IF(AA252&gt;28,"Too early",IF(AA252&lt;14,"Too late","")),"")</t>
  </si>
  <si>
    <t>=IF(AI252="","",AI252*AJ252*AK252/1000/1000/1000)</t>
  </si>
  <si>
    <t>=COUNTIF(J$3:OFFSET(J253,-1,0),"Subtotal:")+1</t>
  </si>
  <si>
    <t>=IF(OFFSET(B253,1,0)&lt;&gt;"",OFFSET(B253,1,0),"")</t>
  </si>
  <si>
    <t>=LEFT(F253,3)</t>
  </si>
  <si>
    <t>=IF(SUM(M253:N253)=0,"",SUM(M253:N253))</t>
  </si>
  <si>
    <t>=O253</t>
  </si>
  <si>
    <t>=R253-7</t>
  </si>
  <si>
    <t>=IFERROR(IF(J253*T253&lt;&gt;0,J253-T253,""),"")</t>
  </si>
  <si>
    <t>=IF(U253&lt;&gt;"",IF(U253&gt;28,"Too early",IF(U253&lt;14,"Too late","")),"")</t>
  </si>
  <si>
    <t>=IF(OFFSET(X253,1,0)="",R253,OFFSET(X253,1,0))</t>
  </si>
  <si>
    <t>=IFERROR(IF(J253*Z253&lt;&gt;0,J253-Z253,""),"")</t>
  </si>
  <si>
    <t>=IF(AA253&lt;&gt;"",IF(AA253&gt;28,"Too early",IF(AA253&lt;14,"Too late","")),"")</t>
  </si>
  <si>
    <t>=IF(AI253="","",AI253*AJ253*AK253/1000/1000/1000)</t>
  </si>
  <si>
    <t>=COUNTIF(J$3:OFFSET(J254,-1,0),"Subtotal:")+1</t>
  </si>
  <si>
    <t>=IF(OFFSET(B254,1,0)&lt;&gt;"",OFFSET(B254,1,0),"")</t>
  </si>
  <si>
    <t>=LEFT(F254,3)</t>
  </si>
  <si>
    <t>=IF(SUM(M254:N254)=0,"",SUM(M254:N254))</t>
  </si>
  <si>
    <t>=O254</t>
  </si>
  <si>
    <t>=R254-7</t>
  </si>
  <si>
    <t>=IFERROR(IF(J254*T254&lt;&gt;0,J254-T254,""),"")</t>
  </si>
  <si>
    <t>=IF(U254&lt;&gt;"",IF(U254&gt;28,"Too early",IF(U254&lt;14,"Too late","")),"")</t>
  </si>
  <si>
    <t>=IF(OFFSET(X254,1,0)="",R254,OFFSET(X254,1,0))</t>
  </si>
  <si>
    <t>=IFERROR(IF(J254*Z254&lt;&gt;0,J254-Z254,""),"")</t>
  </si>
  <si>
    <t>=IF(AA254&lt;&gt;"",IF(AA254&gt;28,"Too early",IF(AA254&lt;14,"Too late","")),"")</t>
  </si>
  <si>
    <t>=IF(AI254="","",AI254*AJ254*AK254/1000/1000/1000)</t>
  </si>
  <si>
    <t>=COUNTIF(J$3:OFFSET(J255,-1,0),"Subtotal:")+1</t>
  </si>
  <si>
    <t>=IF(OFFSET(B255,1,0)&lt;&gt;"",OFFSET(B255,1,0),"")</t>
  </si>
  <si>
    <t>=LEFT(F255,3)</t>
  </si>
  <si>
    <t>=IF(SUM(M255:N255)=0,"",SUM(M255:N255))</t>
  </si>
  <si>
    <t>=O255</t>
  </si>
  <si>
    <t>=R255-7</t>
  </si>
  <si>
    <t>=IFERROR(IF(J255*T255&lt;&gt;0,J255-T255,""),"")</t>
  </si>
  <si>
    <t>=IF(U255&lt;&gt;"",IF(U255&gt;28,"Too early",IF(U255&lt;14,"Too late","")),"")</t>
  </si>
  <si>
    <t>=IF(OFFSET(X255,1,0)="",R255,OFFSET(X255,1,0))</t>
  </si>
  <si>
    <t>=IFERROR(IF(J255*Z255&lt;&gt;0,J255-Z255,""),"")</t>
  </si>
  <si>
    <t>=IF(AA255&lt;&gt;"",IF(AA255&gt;28,"Too early",IF(AA255&lt;14,"Too late","")),"")</t>
  </si>
  <si>
    <t>=IF(AI255="","",AI255*AJ255*AK255/1000/1000/1000)</t>
  </si>
  <si>
    <t>=COUNTIF(J$3:OFFSET(J256,-1,0),"Subtotal:")+1</t>
  </si>
  <si>
    <t>=IF(OFFSET(B256,1,0)&lt;&gt;"",OFFSET(B256,1,0),"")</t>
  </si>
  <si>
    <t>=LEFT(F256,3)</t>
  </si>
  <si>
    <t>=IF(SUM(M256:N256)=0,"",SUM(M256:N256))</t>
  </si>
  <si>
    <t>=O256</t>
  </si>
  <si>
    <t>=R256-7</t>
  </si>
  <si>
    <t>=IFERROR(IF(J256*T256&lt;&gt;0,J256-T256,""),"")</t>
  </si>
  <si>
    <t>=IF(U256&lt;&gt;"",IF(U256&gt;28,"Too early",IF(U256&lt;14,"Too late","")),"")</t>
  </si>
  <si>
    <t>=IF(OFFSET(X256,1,0)="",R256,OFFSET(X256,1,0))</t>
  </si>
  <si>
    <t>=IFERROR(IF(J256*Z256&lt;&gt;0,J256-Z256,""),"")</t>
  </si>
  <si>
    <t>=IF(AA256&lt;&gt;"",IF(AA256&gt;28,"Too early",IF(AA256&lt;14,"Too late","")),"")</t>
  </si>
  <si>
    <t>=IF(AI256="","",AI256*AJ256*AK256/1000/1000/1000)</t>
  </si>
  <si>
    <t>=COUNTIF(J$3:OFFSET(J257,-1,0),"Subtotal:")+1</t>
  </si>
  <si>
    <t>=IF(OFFSET(B257,1,0)&lt;&gt;"",OFFSET(B257,1,0),"")</t>
  </si>
  <si>
    <t>=LEFT(F257,3)</t>
  </si>
  <si>
    <t>=IF(SUM(M257:N257)=0,"",SUM(M257:N257))</t>
  </si>
  <si>
    <t>=O257</t>
  </si>
  <si>
    <t>=R257-7</t>
  </si>
  <si>
    <t>=IFERROR(IF(J257*T257&lt;&gt;0,J257-T257,""),"")</t>
  </si>
  <si>
    <t>=IF(U257&lt;&gt;"",IF(U257&gt;28,"Too early",IF(U257&lt;14,"Too late","")),"")</t>
  </si>
  <si>
    <t>=IF(OFFSET(X257,1,0)="",R257,OFFSET(X257,1,0))</t>
  </si>
  <si>
    <t>=IFERROR(IF(J257*Z257&lt;&gt;0,J257-Z257,""),"")</t>
  </si>
  <si>
    <t>=IF(AA257&lt;&gt;"",IF(AA257&gt;28,"Too early",IF(AA257&lt;14,"Too late","")),"")</t>
  </si>
  <si>
    <t>=IF(AI257="","",AI257*AJ257*AK257/1000/1000/1000)</t>
  </si>
  <si>
    <t>=COUNTIF(J$3:OFFSET(J259,-1,0),"Subtotal:")+1</t>
  </si>
  <si>
    <t>=IF(OFFSET(B259,1,0)&lt;&gt;"",OFFSET(B259,1,0),"")</t>
  </si>
  <si>
    <t>=LEFT(F259,3)</t>
  </si>
  <si>
    <t>=IF(SUM(M259:N259)=0,"",SUM(M259:N259))</t>
  </si>
  <si>
    <t>=O259</t>
  </si>
  <si>
    <t>=R259-7</t>
  </si>
  <si>
    <t>=IFERROR(IF(J259*T259&lt;&gt;0,J259-T259,""),"")</t>
  </si>
  <si>
    <t>=IF(U259&lt;&gt;"",IF(U259&gt;28,"Too early",IF(U259&lt;14,"Too late","")),"")</t>
  </si>
  <si>
    <t>=IF(OFFSET(X259,1,0)="",R259,OFFSET(X259,1,0))</t>
  </si>
  <si>
    <t>=IFERROR(IF(J259*Z259&lt;&gt;0,J259-Z259,""),"")</t>
  </si>
  <si>
    <t>=IF(AA259&lt;&gt;"",IF(AA259&gt;28,"Too early",IF(AA259&lt;14,"Too late","")),"")</t>
  </si>
  <si>
    <t>=IF(AI259="","",AI259*AJ259*AK259/1000/1000/1000)</t>
  </si>
  <si>
    <t>=COUNTIF(J$3:OFFSET(J260,-1,0),"Subtotal:")+1</t>
  </si>
  <si>
    <t>=IF(OFFSET(B260,1,0)&lt;&gt;"",OFFSET(B260,1,0),"")</t>
  </si>
  <si>
    <t>=LEFT(F260,3)</t>
  </si>
  <si>
    <t>=IF(SUM(M260:N260)=0,"",SUM(M260:N260))</t>
  </si>
  <si>
    <t>=O260</t>
  </si>
  <si>
    <t>=R260-7</t>
  </si>
  <si>
    <t>=IFERROR(IF(J260*T260&lt;&gt;0,J260-T260,""),"")</t>
  </si>
  <si>
    <t>=IF(U260&lt;&gt;"",IF(U260&gt;28,"Too early",IF(U260&lt;14,"Too late","")),"")</t>
  </si>
  <si>
    <t>=IF(OFFSET(X260,1,0)="",R260,OFFSET(X260,1,0))</t>
  </si>
  <si>
    <t>=IFERROR(IF(J260*Z260&lt;&gt;0,J260-Z260,""),"")</t>
  </si>
  <si>
    <t>=IF(AA260&lt;&gt;"",IF(AA260&gt;28,"Too early",IF(AA260&lt;14,"Too late","")),"")</t>
  </si>
  <si>
    <t>=IF(AI260="","",AI260*AJ260*AK260/1000/1000/1000)</t>
  </si>
  <si>
    <t>=COUNTIF(J$3:OFFSET(J261,-1,0),"Subtotal:")+1</t>
  </si>
  <si>
    <t>=IF(OFFSET(B261,1,0)&lt;&gt;"",OFFSET(B261,1,0),"")</t>
  </si>
  <si>
    <t>=LEFT(F261,3)</t>
  </si>
  <si>
    <t>=IF(SUM(M261:N261)=0,"",SUM(M261:N261))</t>
  </si>
  <si>
    <t>=O261</t>
  </si>
  <si>
    <t>=R261-7</t>
  </si>
  <si>
    <t>=IFERROR(IF(J261*T261&lt;&gt;0,J261-T261,""),"")</t>
  </si>
  <si>
    <t>=IF(U261&lt;&gt;"",IF(U261&gt;28,"Too early",IF(U261&lt;14,"Too late","")),"")</t>
  </si>
  <si>
    <t>=IF(OFFSET(X261,1,0)="",R261,OFFSET(X261,1,0))</t>
  </si>
  <si>
    <t>=IFERROR(IF(J261*Z261&lt;&gt;0,J261-Z261,""),"")</t>
  </si>
  <si>
    <t>=IF(AA261&lt;&gt;"",IF(AA261&gt;28,"Too early",IF(AA261&lt;14,"Too late","")),"")</t>
  </si>
  <si>
    <t>=IF(AI261="","",AI261*AJ261*AK261/1000/1000/1000)</t>
  </si>
  <si>
    <t>=COUNTIF(J$3:OFFSET(J263,-1,0),"Subtotal:")+1</t>
  </si>
  <si>
    <t>=IF(OFFSET(B263,1,0)&lt;&gt;"",OFFSET(B263,1,0),"")</t>
  </si>
  <si>
    <t>=LEFT(F263,3)</t>
  </si>
  <si>
    <t>=IF(SUM(M263:N263)=0,"",SUM(M263:N263))</t>
  </si>
  <si>
    <t>=O263</t>
  </si>
  <si>
    <t>=R263-7</t>
  </si>
  <si>
    <t>=IFERROR(IF(J263*T263&lt;&gt;0,J263-T263,""),"")</t>
  </si>
  <si>
    <t>=IF(U263&lt;&gt;"",IF(U263&gt;28,"Too early",IF(U263&lt;14,"Too late","")),"")</t>
  </si>
  <si>
    <t>=IF(OFFSET(X263,1,0)="",R263,OFFSET(X263,1,0))</t>
  </si>
  <si>
    <t>=IFERROR(IF(J263*Z263&lt;&gt;0,J263-Z263,""),"")</t>
  </si>
  <si>
    <t>=IF(AA263&lt;&gt;"",IF(AA263&gt;28,"Too early",IF(AA263&lt;14,"Too late","")),"")</t>
  </si>
  <si>
    <t>=IF(AI263="","",AI263*AJ263*AK263/1000/1000/1000)</t>
  </si>
  <si>
    <t>=COUNTIF(J$3:OFFSET(J264,-1,0),"Subtotal:")+1</t>
  </si>
  <si>
    <t>=IF(OFFSET(B264,1,0)&lt;&gt;"",OFFSET(B264,1,0),"")</t>
  </si>
  <si>
    <t>=LEFT(F264,3)</t>
  </si>
  <si>
    <t>46558</t>
  </si>
  <si>
    <t>=IF(SUM(M264:N264)=0,"",SUM(M264:N264))</t>
  </si>
  <si>
    <t>=O264</t>
  </si>
  <si>
    <t>=R264-7</t>
  </si>
  <si>
    <t>=IFERROR(IF(J264*T264&lt;&gt;0,J264-T264,""),"")</t>
  </si>
  <si>
    <t>=IF(U264&lt;&gt;"",IF(U264&gt;28,"Too early",IF(U264&lt;14,"Too late","")),"")</t>
  </si>
  <si>
    <t>=IF(OFFSET(X264,1,0)="",R264,OFFSET(X264,1,0))</t>
  </si>
  <si>
    <t>=IFERROR(IF(J264*Z264&lt;&gt;0,J264-Z264,""),"")</t>
  </si>
  <si>
    <t>=IF(AA264&lt;&gt;"",IF(AA264&gt;28,"Too early",IF(AA264&lt;14,"Too late","")),"")</t>
  </si>
  <si>
    <t>=IF(AI264="","",AI264*AJ264*AK264/1000/1000/1000)</t>
  </si>
  <si>
    <t>=COUNTIF(J$3:OFFSET(J265,-1,0),"Subtotal:")+1</t>
  </si>
  <si>
    <t>=IF(OFFSET(B265,1,0)&lt;&gt;"",OFFSET(B265,1,0),"")</t>
  </si>
  <si>
    <t>=LEFT(F265,3)</t>
  </si>
  <si>
    <t>=IF(SUM(M265:N265)=0,"",SUM(M265:N265))</t>
  </si>
  <si>
    <t>=O265</t>
  </si>
  <si>
    <t>=R265-7</t>
  </si>
  <si>
    <t>=IFERROR(IF(J265*T265&lt;&gt;0,J265-T265,""),"")</t>
  </si>
  <si>
    <t>=IF(U265&lt;&gt;"",IF(U265&gt;28,"Too early",IF(U265&lt;14,"Too late","")),"")</t>
  </si>
  <si>
    <t>=IF(OFFSET(X265,1,0)="",R265,OFFSET(X265,1,0))</t>
  </si>
  <si>
    <t>=IFERROR(IF(J265*Z265&lt;&gt;0,J265-Z265,""),"")</t>
  </si>
  <si>
    <t>=IF(AA265&lt;&gt;"",IF(AA265&gt;28,"Too early",IF(AA265&lt;14,"Too late","")),"")</t>
  </si>
  <si>
    <t>=IF(AI265="","",AI265*AJ265*AK265/1000/1000/1000)</t>
  </si>
  <si>
    <t>=COUNTIF(J$3:OFFSET(J266,-1,0),"Subtotal:")+1</t>
  </si>
  <si>
    <t>=IF(OFFSET(B266,1,0)&lt;&gt;"",OFFSET(B266,1,0),"")</t>
  </si>
  <si>
    <t>=LEFT(F266,3)</t>
  </si>
  <si>
    <t>=IF(SUM(M266:N266)=0,"",SUM(M266:N266))</t>
  </si>
  <si>
    <t>=O266</t>
  </si>
  <si>
    <t>=R266-7</t>
  </si>
  <si>
    <t>=IFERROR(IF(J266*T266&lt;&gt;0,J266-T266,""),"")</t>
  </si>
  <si>
    <t>=IF(U266&lt;&gt;"",IF(U266&gt;28,"Too early",IF(U266&lt;14,"Too late","")),"")</t>
  </si>
  <si>
    <t>=IF(OFFSET(X266,1,0)="",R266,OFFSET(X266,1,0))</t>
  </si>
  <si>
    <t>=IFERROR(IF(J266*Z266&lt;&gt;0,J266-Z266,""),"")</t>
  </si>
  <si>
    <t>=IF(AA266&lt;&gt;"",IF(AA266&gt;28,"Too early",IF(AA266&lt;14,"Too late","")),"")</t>
  </si>
  <si>
    <t>=IF(AI266="","",AI266*AJ266*AK266/1000/1000/1000)</t>
  </si>
  <si>
    <t>=COUNTIF(J$3:OFFSET(J268,-1,0),"Subtotal:")+1</t>
  </si>
  <si>
    <t>=IF(OFFSET(B268,1,0)&lt;&gt;"",OFFSET(B268,1,0),"")</t>
  </si>
  <si>
    <t>=LEFT(F268,3)</t>
  </si>
  <si>
    <t>=IF(SUM(M268:N268)=0,"",SUM(M268:N268))</t>
  </si>
  <si>
    <t>=O268</t>
  </si>
  <si>
    <t>=R268-7</t>
  </si>
  <si>
    <t>=IFERROR(IF(J268*T268&lt;&gt;0,J268-T268,""),"")</t>
  </si>
  <si>
    <t>=IF(U268&lt;&gt;"",IF(U268&gt;28,"Too early",IF(U268&lt;14,"Too late","")),"")</t>
  </si>
  <si>
    <t>=IF(OFFSET(X268,1,0)="",R268,OFFSET(X268,1,0))</t>
  </si>
  <si>
    <t>=IFERROR(IF(J268*Z268&lt;&gt;0,J268-Z268,""),"")</t>
  </si>
  <si>
    <t>=IF(AA268&lt;&gt;"",IF(AA268&gt;28,"Too early",IF(AA268&lt;14,"Too late","")),"")</t>
  </si>
  <si>
    <t>=IF(AI268="","",AI268*AJ268*AK268/1000/1000/1000)</t>
  </si>
  <si>
    <t>=COUNTIF(J$3:OFFSET(J269,-1,0),"Subtotal:")+1</t>
  </si>
  <si>
    <t>=IF(OFFSET(B269,1,0)&lt;&gt;"",OFFSET(B269,1,0),"")</t>
  </si>
  <si>
    <t>=LEFT(F269,3)</t>
  </si>
  <si>
    <t>=IF(SUM(M269:N269)=0,"",SUM(M269:N269))</t>
  </si>
  <si>
    <t>=O269</t>
  </si>
  <si>
    <t>=R269-7</t>
  </si>
  <si>
    <t>=IFERROR(IF(J269*T269&lt;&gt;0,J269-T269,""),"")</t>
  </si>
  <si>
    <t>=IF(U269&lt;&gt;"",IF(U269&gt;28,"Too early",IF(U269&lt;14,"Too late","")),"")</t>
  </si>
  <si>
    <t>=IF(OFFSET(X269,1,0)="",R269,OFFSET(X269,1,0))</t>
  </si>
  <si>
    <t>=IFERROR(IF(J269*Z269&lt;&gt;0,J269-Z269,""),"")</t>
  </si>
  <si>
    <t>=IF(AA269&lt;&gt;"",IF(AA269&gt;28,"Too early",IF(AA269&lt;14,"Too late","")),"")</t>
  </si>
  <si>
    <t>=IF(AI269="","",AI269*AJ269*AK269/1000/1000/1000)</t>
  </si>
  <si>
    <t>=COUNTIF(J$3:OFFSET(J270,-1,0),"Subtotal:")+1</t>
  </si>
  <si>
    <t>=IF(OFFSET(B270,1,0)&lt;&gt;"",OFFSET(B270,1,0),"")</t>
  </si>
  <si>
    <t>=LEFT(F270,3)</t>
  </si>
  <si>
    <t>=IF(SUM(M270:N270)=0,"",SUM(M270:N270))</t>
  </si>
  <si>
    <t>=O270</t>
  </si>
  <si>
    <t>=R270-7</t>
  </si>
  <si>
    <t>=IFERROR(IF(J270*T270&lt;&gt;0,J270-T270,""),"")</t>
  </si>
  <si>
    <t>=IF(U270&lt;&gt;"",IF(U270&gt;28,"Too early",IF(U270&lt;14,"Too late","")),"")</t>
  </si>
  <si>
    <t>=IF(OFFSET(X270,1,0)="",R270,OFFSET(X270,1,0))</t>
  </si>
  <si>
    <t>=IFERROR(IF(J270*Z270&lt;&gt;0,J270-Z270,""),"")</t>
  </si>
  <si>
    <t>=IF(AA270&lt;&gt;"",IF(AA270&gt;28,"Too early",IF(AA270&lt;14,"Too late","")),"")</t>
  </si>
  <si>
    <t>=IF(AI270="","",AI270*AJ270*AK270/1000/1000/1000)</t>
  </si>
  <si>
    <t>=COUNTIF(J$3:OFFSET(J271,-1,0),"Subtotal:")+1</t>
  </si>
  <si>
    <t>=IF(OFFSET(B271,1,0)&lt;&gt;"",OFFSET(B271,1,0),"")</t>
  </si>
  <si>
    <t>=LEFT(F271,3)</t>
  </si>
  <si>
    <t>=IF(SUM(M271:N271)=0,"",SUM(M271:N271))</t>
  </si>
  <si>
    <t>=O271</t>
  </si>
  <si>
    <t>=R271-7</t>
  </si>
  <si>
    <t>=IFERROR(IF(J271*T271&lt;&gt;0,J271-T271,""),"")</t>
  </si>
  <si>
    <t>=IF(U271&lt;&gt;"",IF(U271&gt;28,"Too early",IF(U271&lt;14,"Too late","")),"")</t>
  </si>
  <si>
    <t>=IF(OFFSET(X271,1,0)="",R271,OFFSET(X271,1,0))</t>
  </si>
  <si>
    <t>=IFERROR(IF(J271*Z271&lt;&gt;0,J271-Z271,""),"")</t>
  </si>
  <si>
    <t>=IF(AA271&lt;&gt;"",IF(AA271&gt;28,"Too early",IF(AA271&lt;14,"Too late","")),"")</t>
  </si>
  <si>
    <t>=IF(AI271="","",AI271*AJ271*AK271/1000/1000/1000)</t>
  </si>
  <si>
    <t>=COUNTIF(J$3:OFFSET(J272,-1,0),"Subtotal:")+1</t>
  </si>
  <si>
    <t>=IF(OFFSET(B272,1,0)&lt;&gt;"",OFFSET(B272,1,0),"")</t>
  </si>
  <si>
    <t>=LEFT(F272,3)</t>
  </si>
  <si>
    <t>=IF(SUM(M272:N272)=0,"",SUM(M272:N272))</t>
  </si>
  <si>
    <t>=O272</t>
  </si>
  <si>
    <t>=R272-7</t>
  </si>
  <si>
    <t>=IFERROR(IF(J272*T272&lt;&gt;0,J272-T272,""),"")</t>
  </si>
  <si>
    <t>=IF(U272&lt;&gt;"",IF(U272&gt;28,"Too early",IF(U272&lt;14,"Too late","")),"")</t>
  </si>
  <si>
    <t>=IF(OFFSET(X272,1,0)="",R272,OFFSET(X272,1,0))</t>
  </si>
  <si>
    <t>=IFERROR(IF(J272*Z272&lt;&gt;0,J272-Z272,""),"")</t>
  </si>
  <si>
    <t>=IF(AA272&lt;&gt;"",IF(AA272&gt;28,"Too early",IF(AA272&lt;14,"Too late","")),"")</t>
  </si>
  <si>
    <t>=IF(AI272="","",AI272*AJ272*AK272/1000/1000/1000)</t>
  </si>
  <si>
    <t>=COUNTIF(J$3:OFFSET(J273,-1,0),"Subtotal:")+1</t>
  </si>
  <si>
    <t>=IF(OFFSET(B273,1,0)&lt;&gt;"",OFFSET(B273,1,0),"")</t>
  </si>
  <si>
    <t>=LEFT(F273,3)</t>
  </si>
  <si>
    <t>=IF(SUM(M273:N273)=0,"",SUM(M273:N273))</t>
  </si>
  <si>
    <t>=O273</t>
  </si>
  <si>
    <t>=R273-7</t>
  </si>
  <si>
    <t>=IFERROR(IF(J273*T273&lt;&gt;0,J273-T273,""),"")</t>
  </si>
  <si>
    <t>=IF(U273&lt;&gt;"",IF(U273&gt;28,"Too early",IF(U273&lt;14,"Too late","")),"")</t>
  </si>
  <si>
    <t>=IF(OFFSET(X273,1,0)="",R273,OFFSET(X273,1,0))</t>
  </si>
  <si>
    <t>=IFERROR(IF(J273*Z273&lt;&gt;0,J273-Z273,""),"")</t>
  </si>
  <si>
    <t>=IF(AA273&lt;&gt;"",IF(AA273&gt;28,"Too early",IF(AA273&lt;14,"Too late","")),"")</t>
  </si>
  <si>
    <t>=IF(AI273="","",AI273*AJ273*AK273/1000/1000/1000)</t>
  </si>
  <si>
    <t>=COUNTIF(J$3:OFFSET(J274,-1,0),"Subtotal:")+1</t>
  </si>
  <si>
    <t>=IF(OFFSET(B274,1,0)&lt;&gt;"",OFFSET(B274,1,0),"")</t>
  </si>
  <si>
    <t>=LEFT(F274,3)</t>
  </si>
  <si>
    <t>=IF(SUM(M274:N274)=0,"",SUM(M274:N274))</t>
  </si>
  <si>
    <t>=O274</t>
  </si>
  <si>
    <t>=R274-7</t>
  </si>
  <si>
    <t>=IFERROR(IF(J274*T274&lt;&gt;0,J274-T274,""),"")</t>
  </si>
  <si>
    <t>=IF(U274&lt;&gt;"",IF(U274&gt;28,"Too early",IF(U274&lt;14,"Too late","")),"")</t>
  </si>
  <si>
    <t>=IF(OFFSET(X274,1,0)="",R274,OFFSET(X274,1,0))</t>
  </si>
  <si>
    <t>=IFERROR(IF(J274*Z274&lt;&gt;0,J274-Z274,""),"")</t>
  </si>
  <si>
    <t>=IF(AA274&lt;&gt;"",IF(AA274&gt;28,"Too early",IF(AA274&lt;14,"Too late","")),"")</t>
  </si>
  <si>
    <t>=IF(AI274="","",AI274*AJ274*AK274/1000/1000/1000)</t>
  </si>
  <si>
    <t>=COUNTIF(J$3:OFFSET(J275,-1,0),"Subtotal:")+1</t>
  </si>
  <si>
    <t>=IF(OFFSET(B275,1,0)&lt;&gt;"",OFFSET(B275,1,0),"")</t>
  </si>
  <si>
    <t>=IF(SUM(M275:N275)=0,"",SUM(M275:N275))</t>
  </si>
  <si>
    <t>=O275</t>
  </si>
  <si>
    <t>=R275-7</t>
  </si>
  <si>
    <t>=IFERROR(IF(J275*T275&lt;&gt;0,J275-T275,""),"")</t>
  </si>
  <si>
    <t>=IF(U275&lt;&gt;"",IF(U275&gt;28,"Too early",IF(U275&lt;14,"Too late","")),"")</t>
  </si>
  <si>
    <t>=IF(OFFSET(X275,1,0)="",R275,OFFSET(X275,1,0))</t>
  </si>
  <si>
    <t>=IFERROR(IF(J275*Z275&lt;&gt;0,J275-Z275,""),"")</t>
  </si>
  <si>
    <t>=IF(AA275&lt;&gt;"",IF(AA275&gt;28,"Too early",IF(AA275&lt;14,"Too late","")),"")</t>
  </si>
  <si>
    <t>=IF(AI275="","",AI275*AJ275*AK275/1000/1000/1000)</t>
  </si>
  <si>
    <t>=COUNTIF(J$3:OFFSET(J276,-1,0),"Subtotal:")+1</t>
  </si>
  <si>
    <t>=IF(OFFSET(B276,1,0)&lt;&gt;"",OFFSET(B276,1,0),"")</t>
  </si>
  <si>
    <t>=LEFT(F276,3)</t>
  </si>
  <si>
    <t>=IF(SUM(M276:N276)=0,"",SUM(M276:N276))</t>
  </si>
  <si>
    <t>=O276</t>
  </si>
  <si>
    <t>=R276-7</t>
  </si>
  <si>
    <t>=IFERROR(IF(J276*T276&lt;&gt;0,J276-T276,""),"")</t>
  </si>
  <si>
    <t>=IF(U276&lt;&gt;"",IF(U276&gt;28,"Too early",IF(U276&lt;14,"Too late","")),"")</t>
  </si>
  <si>
    <t>=IF(OFFSET(X276,1,0)="",R276,OFFSET(X276,1,0))</t>
  </si>
  <si>
    <t>=IFERROR(IF(J276*Z276&lt;&gt;0,J276-Z276,""),"")</t>
  </si>
  <si>
    <t>=IF(AA276&lt;&gt;"",IF(AA276&gt;28,"Too early",IF(AA276&lt;14,"Too late","")),"")</t>
  </si>
  <si>
    <t>=IF(AI276="","",AI276*AJ276*AK276/1000/1000/1000)</t>
  </si>
  <si>
    <t>=COUNTIF(J$3:OFFSET(J277,-1,0),"Subtotal:")+1</t>
  </si>
  <si>
    <t>=IF(OFFSET(B277,1,0)&lt;&gt;"",OFFSET(B277,1,0),"")</t>
  </si>
  <si>
    <t>=LEFT(F277,3)</t>
  </si>
  <si>
    <t>=IF(SUM(M277:N277)=0,"",SUM(M277:N277))</t>
  </si>
  <si>
    <t>=O277</t>
  </si>
  <si>
    <t>=R277-7</t>
  </si>
  <si>
    <t>=IFERROR(IF(J277*T277&lt;&gt;0,J277-T277,""),"")</t>
  </si>
  <si>
    <t>=IF(U277&lt;&gt;"",IF(U277&gt;28,"Too early",IF(U277&lt;14,"Too late","")),"")</t>
  </si>
  <si>
    <t>=IF(OFFSET(X277,1,0)="",R277,OFFSET(X277,1,0))</t>
  </si>
  <si>
    <t>=IFERROR(IF(J277*Z277&lt;&gt;0,J277-Z277,""),"")</t>
  </si>
  <si>
    <t>=IF(AA277&lt;&gt;"",IF(AA277&gt;28,"Too early",IF(AA277&lt;14,"Too late","")),"")</t>
  </si>
  <si>
    <t>=IF(AI277="","",AI277*AJ277*AK277/1000/1000/1000)</t>
  </si>
  <si>
    <t>=COUNTIF(J$3:OFFSET(J278,-1,0),"Subtotal:")+1</t>
  </si>
  <si>
    <t>=IF(OFFSET(B278,1,0)&lt;&gt;"",OFFSET(B278,1,0),"")</t>
  </si>
  <si>
    <t>=LEFT(F278,3)</t>
  </si>
  <si>
    <t>=IF(SUM(M278:N278)=0,"",SUM(M278:N278))</t>
  </si>
  <si>
    <t>=O278</t>
  </si>
  <si>
    <t>=R278-7</t>
  </si>
  <si>
    <t>=IFERROR(IF(J278*T278&lt;&gt;0,J278-T278,""),"")</t>
  </si>
  <si>
    <t>=IF(U278&lt;&gt;"",IF(U278&gt;28,"Too early",IF(U278&lt;14,"Too late","")),"")</t>
  </si>
  <si>
    <t>=IF(OFFSET(X278,1,0)="",R278,OFFSET(X278,1,0))</t>
  </si>
  <si>
    <t>=IFERROR(IF(J278*Z278&lt;&gt;0,J278-Z278,""),"")</t>
  </si>
  <si>
    <t>=IF(AA278&lt;&gt;"",IF(AA278&gt;28,"Too early",IF(AA278&lt;14,"Too late","")),"")</t>
  </si>
  <si>
    <t>=IF(AI278="","",AI278*AJ278*AK278/1000/1000/1000)</t>
  </si>
  <si>
    <t>=COUNTIF(J$3:OFFSET(J279,-1,0),"Subtotal:")+1</t>
  </si>
  <si>
    <t>=IF(OFFSET(B279,1,0)&lt;&gt;"",OFFSET(B279,1,0),"")</t>
  </si>
  <si>
    <t>=LEFT(F279,3)</t>
  </si>
  <si>
    <t>=IF(SUM(M279:N279)=0,"",SUM(M279:N279))</t>
  </si>
  <si>
    <t>=O279</t>
  </si>
  <si>
    <t>=R279-7</t>
  </si>
  <si>
    <t>=IFERROR(IF(J279*T279&lt;&gt;0,J279-T279,""),"")</t>
  </si>
  <si>
    <t>=IF(U279&lt;&gt;"",IF(U279&gt;28,"Too early",IF(U279&lt;14,"Too late","")),"")</t>
  </si>
  <si>
    <t>=IF(OFFSET(X279,1,0)="",R279,OFFSET(X279,1,0))</t>
  </si>
  <si>
    <t>=IFERROR(IF(J279*Z279&lt;&gt;0,J279-Z279,""),"")</t>
  </si>
  <si>
    <t>=IF(AA279&lt;&gt;"",IF(AA279&gt;28,"Too early",IF(AA279&lt;14,"Too late","")),"")</t>
  </si>
  <si>
    <t>=IF(AI279="","",AI279*AJ279*AK279/1000/1000/1000)</t>
  </si>
  <si>
    <t>=COUNTIF(J$3:OFFSET(J280,-1,0),"Subtotal:")+1</t>
  </si>
  <si>
    <t>=IF(OFFSET(B280,1,0)&lt;&gt;"",OFFSET(B280,1,0),"")</t>
  </si>
  <si>
    <t>=LEFT(F280,3)</t>
  </si>
  <si>
    <t>=IF(SUM(M280:N280)=0,"",SUM(M280:N280))</t>
  </si>
  <si>
    <t>=O280</t>
  </si>
  <si>
    <t>=R280-7</t>
  </si>
  <si>
    <t>=IFERROR(IF(J280*T280&lt;&gt;0,J280-T280,""),"")</t>
  </si>
  <si>
    <t>=IF(U280&lt;&gt;"",IF(U280&gt;28,"Too early",IF(U280&lt;14,"Too late","")),"")</t>
  </si>
  <si>
    <t>=IF(OFFSET(X280,1,0)="",R280,OFFSET(X280,1,0))</t>
  </si>
  <si>
    <t>=IFERROR(IF(J280*Z280&lt;&gt;0,J280-Z280,""),"")</t>
  </si>
  <si>
    <t>=IF(AA280&lt;&gt;"",IF(AA280&gt;28,"Too early",IF(AA280&lt;14,"Too late","")),"")</t>
  </si>
  <si>
    <t>=IF(AI280="","",AI280*AJ280*AK280/1000/1000/1000)</t>
  </si>
  <si>
    <t>=COUNTIF(J$3:OFFSET(J281,-1,0),"Subtotal:")+1</t>
  </si>
  <si>
    <t>=IF(OFFSET(B281,1,0)&lt;&gt;"",OFFSET(B281,1,0),"")</t>
  </si>
  <si>
    <t>=LEFT(F281,3)</t>
  </si>
  <si>
    <t>=IF(SUM(M281:N281)=0,"",SUM(M281:N281))</t>
  </si>
  <si>
    <t>=O281</t>
  </si>
  <si>
    <t>=R281-7</t>
  </si>
  <si>
    <t>=IFERROR(IF(J281*T281&lt;&gt;0,J281-T281,""),"")</t>
  </si>
  <si>
    <t>=IF(U281&lt;&gt;"",IF(U281&gt;28,"Too early",IF(U281&lt;14,"Too late","")),"")</t>
  </si>
  <si>
    <t>=IF(OFFSET(X281,1,0)="",R281,OFFSET(X281,1,0))</t>
  </si>
  <si>
    <t>=IFERROR(IF(J281*Z281&lt;&gt;0,J281-Z281,""),"")</t>
  </si>
  <si>
    <t>=IF(AA281&lt;&gt;"",IF(AA281&gt;28,"Too early",IF(AA281&lt;14,"Too late","")),"")</t>
  </si>
  <si>
    <t>=IF(AI281="","",AI281*AJ281*AK281/1000/1000/1000)</t>
  </si>
  <si>
    <t>=COUNTIF(J$3:OFFSET(J282,-1,0),"Subtotal:")+1</t>
  </si>
  <si>
    <t>=IF(OFFSET(B282,1,0)&lt;&gt;"",OFFSET(B282,1,0),"")</t>
  </si>
  <si>
    <t>=LEFT(F282,3)</t>
  </si>
  <si>
    <t>=IF(SUM(M282:N282)=0,"",SUM(M282:N282))</t>
  </si>
  <si>
    <t>=O282</t>
  </si>
  <si>
    <t>=R282-7</t>
  </si>
  <si>
    <t>=IFERROR(IF(J282*T282&lt;&gt;0,J282-T282,""),"")</t>
  </si>
  <si>
    <t>=IF(U282&lt;&gt;"",IF(U282&gt;28,"Too early",IF(U282&lt;14,"Too late","")),"")</t>
  </si>
  <si>
    <t>=IF(OFFSET(X282,1,0)="",R282,OFFSET(X282,1,0))</t>
  </si>
  <si>
    <t>=IFERROR(IF(J282*Z282&lt;&gt;0,J282-Z282,""),"")</t>
  </si>
  <si>
    <t>=IF(AA282&lt;&gt;"",IF(AA282&gt;28,"Too early",IF(AA282&lt;14,"Too late","")),"")</t>
  </si>
  <si>
    <t>=IF(AI282="","",AI282*AJ282*AK282/1000/1000/1000)</t>
  </si>
  <si>
    <t>=COUNTIF(J$3:OFFSET(J283,-1,0),"Subtotal:")+1</t>
  </si>
  <si>
    <t>=IF(OFFSET(B283,1,0)&lt;&gt;"",OFFSET(B283,1,0),"")</t>
  </si>
  <si>
    <t>=LEFT(F283,3)</t>
  </si>
  <si>
    <t>=IF(SUM(M283:N283)=0,"",SUM(M283:N283))</t>
  </si>
  <si>
    <t>=O283</t>
  </si>
  <si>
    <t>=R283-7</t>
  </si>
  <si>
    <t>=IFERROR(IF(J283*T283&lt;&gt;0,J283-T283,""),"")</t>
  </si>
  <si>
    <t>=IF(U283&lt;&gt;"",IF(U283&gt;28,"Too early",IF(U283&lt;14,"Too late","")),"")</t>
  </si>
  <si>
    <t>=IF(OFFSET(X283,1,0)="",R283,OFFSET(X283,1,0))</t>
  </si>
  <si>
    <t>=IFERROR(IF(J283*Z283&lt;&gt;0,J283-Z283,""),"")</t>
  </si>
  <si>
    <t>=IF(AA283&lt;&gt;"",IF(AA283&gt;28,"Too early",IF(AA283&lt;14,"Too late","")),"")</t>
  </si>
  <si>
    <t>=IF(AI283="","",AI283*AJ283*AK283/1000/1000/1000)</t>
  </si>
  <si>
    <t>=COUNTIF(J$3:OFFSET(J284,-1,0),"Subtotal:")+1</t>
  </si>
  <si>
    <t>=IF(OFFSET(B284,1,0)&lt;&gt;"",OFFSET(B284,1,0),"")</t>
  </si>
  <si>
    <t>765</t>
  </si>
  <si>
    <t>=IF(SUM(M284:N284)=0,"",SUM(M284:N284))</t>
  </si>
  <si>
    <t>=O284</t>
  </si>
  <si>
    <t>=R284-7</t>
  </si>
  <si>
    <t>=IFERROR(IF(J284*T284&lt;&gt;0,J284-T284,""),"")</t>
  </si>
  <si>
    <t>=IF(U284&lt;&gt;"",IF(U284&gt;28,"Too early",IF(U284&lt;14,"Too late","")),"")</t>
  </si>
  <si>
    <t>=IF(OFFSET(X284,1,0)="",R284,OFFSET(X284,1,0))</t>
  </si>
  <si>
    <t>=IFERROR(IF(J284*Z284&lt;&gt;0,J284-Z284,""),"")</t>
  </si>
  <si>
    <t>=IF(AA284&lt;&gt;"",IF(AA284&gt;28,"Too early",IF(AA284&lt;14,"Too late","")),"")</t>
  </si>
  <si>
    <t>=IF(AI284="","",AI284*AJ284*AK284/1000/1000/1000)</t>
  </si>
  <si>
    <t>=COUNTIF(J$3:OFFSET(J285,-1,0),"Subtotal:")+1</t>
  </si>
  <si>
    <t>=IF(OFFSET(B285,1,0)&lt;&gt;"",OFFSET(B285,1,0),"")</t>
  </si>
  <si>
    <t>BP7850</t>
  </si>
  <si>
    <t>=LEFT(F285,3)</t>
  </si>
  <si>
    <t>785</t>
  </si>
  <si>
    <t>=IF(SUM(M285:N285)=0,"",SUM(M285:N285))</t>
  </si>
  <si>
    <t>=O285</t>
  </si>
  <si>
    <t>=R285-7</t>
  </si>
  <si>
    <t>=IFERROR(IF(J285*T285&lt;&gt;0,J285-T285,""),"")</t>
  </si>
  <si>
    <t>=IF(U285&lt;&gt;"",IF(U285&gt;28,"Too early",IF(U285&lt;14,"Too late","")),"")</t>
  </si>
  <si>
    <t>=IF(OFFSET(X285,1,0)="",R285,OFFSET(X285,1,0))</t>
  </si>
  <si>
    <t>=IFERROR(IF(J285*Z285&lt;&gt;0,J285-Z285,""),"")</t>
  </si>
  <si>
    <t>=IF(AA285&lt;&gt;"",IF(AA285&gt;28,"Too early",IF(AA285&lt;14,"Too late","")),"")</t>
  </si>
  <si>
    <t>=IF(AI285="","",AI285*AJ285*AK285/1000/1000/1000)</t>
  </si>
  <si>
    <t>=COUNTIF(J$3:OFFSET(J286,-1,0),"Subtotal:")+1</t>
  </si>
  <si>
    <t>=IF(OFFSET(B286,1,0)&lt;&gt;"",OFFSET(B286,1,0),"")</t>
  </si>
  <si>
    <t>BP7820</t>
  </si>
  <si>
    <t>=LEFT(F286,3)</t>
  </si>
  <si>
    <t>782</t>
  </si>
  <si>
    <t>=IF(SUM(M286:N286)=0,"",SUM(M286:N286))</t>
  </si>
  <si>
    <t>=O286</t>
  </si>
  <si>
    <t>=R286-7</t>
  </si>
  <si>
    <t>=IFERROR(IF(J286*T286&lt;&gt;0,J286-T286,""),"")</t>
  </si>
  <si>
    <t>=IF(U286&lt;&gt;"",IF(U286&gt;28,"Too early",IF(U286&lt;14,"Too late","")),"")</t>
  </si>
  <si>
    <t>=IF(OFFSET(X286,1,0)="",R286,OFFSET(X286,1,0))</t>
  </si>
  <si>
    <t>=IFERROR(IF(J286*Z286&lt;&gt;0,J286-Z286,""),"")</t>
  </si>
  <si>
    <t>=IF(AA286&lt;&gt;"",IF(AA286&gt;28,"Too early",IF(AA286&lt;14,"Too late","")),"")</t>
  </si>
  <si>
    <t>=IF(AI286="","",AI286*AJ286*AK286/1000/1000/1000)</t>
  </si>
  <si>
    <t>=COUNTIF(J$3:OFFSET(J287,-1,0),"Subtotal:")+1</t>
  </si>
  <si>
    <t>=IF(OFFSET(B287,1,0)&lt;&gt;"",OFFSET(B287,1,0),"")</t>
  </si>
  <si>
    <t>=LEFT(F287,3)</t>
  </si>
  <si>
    <t>781</t>
  </si>
  <si>
    <t>=IF(SUM(M287:N287)=0,"",SUM(M287:N287))</t>
  </si>
  <si>
    <t>=O287</t>
  </si>
  <si>
    <t>=R287-7</t>
  </si>
  <si>
    <t>=IFERROR(IF(J287*T287&lt;&gt;0,J287-T287,""),"")</t>
  </si>
  <si>
    <t>=IF(U287&lt;&gt;"",IF(U287&gt;28,"Too early",IF(U287&lt;14,"Too late","")),"")</t>
  </si>
  <si>
    <t>=IF(OFFSET(X287,1,0)="",R287,OFFSET(X287,1,0))</t>
  </si>
  <si>
    <t>=IFERROR(IF(J287*Z287&lt;&gt;0,J287-Z287,""),"")</t>
  </si>
  <si>
    <t>=IF(AA287&lt;&gt;"",IF(AA287&gt;28,"Too early",IF(AA287&lt;14,"Too late","")),"")</t>
  </si>
  <si>
    <t>=IF(AI287="","",AI287*AJ287*AK287/1000/1000/1000)</t>
  </si>
  <si>
    <t>=COUNTIF(J$3:OFFSET(J288,-1,0),"Subtotal:")+1</t>
  </si>
  <si>
    <t>=IF(OFFSET(B288,1,0)&lt;&gt;"",OFFSET(B288,1,0),"")</t>
  </si>
  <si>
    <t>=LEFT(F288,3)</t>
  </si>
  <si>
    <t>784</t>
  </si>
  <si>
    <t>=IF(SUM(M288:N288)=0,"",SUM(M288:N288))</t>
  </si>
  <si>
    <t>=O288</t>
  </si>
  <si>
    <t>=R288-7</t>
  </si>
  <si>
    <t>=IFERROR(IF(J288*T288&lt;&gt;0,J288-T288,""),"")</t>
  </si>
  <si>
    <t>=IF(U288&lt;&gt;"",IF(U288&gt;28,"Too early",IF(U288&lt;14,"Too late","")),"")</t>
  </si>
  <si>
    <t>=IF(OFFSET(X288,1,0)="",R288,OFFSET(X288,1,0))</t>
  </si>
  <si>
    <t>=IFERROR(IF(J288*Z288&lt;&gt;0,J288-Z288,""),"")</t>
  </si>
  <si>
    <t>=IF(AA288&lt;&gt;"",IF(AA288&gt;28,"Too early",IF(AA288&lt;14,"Too late","")),"")</t>
  </si>
  <si>
    <t>=IF(AI288="","",AI288*AJ288*AK288/1000/1000/1000)</t>
  </si>
  <si>
    <t>=COUNTIF(J$3:OFFSET(J289,-1,0),"Subtotal:")+1</t>
  </si>
  <si>
    <t>=IF(OFFSET(B289,1,0)&lt;&gt;"",OFFSET(B289,1,0),"")</t>
  </si>
  <si>
    <t>=LEFT(F289,3)</t>
  </si>
  <si>
    <t>=IF(SUM(M289:N289)=0,"",SUM(M289:N289))</t>
  </si>
  <si>
    <t>=O289</t>
  </si>
  <si>
    <t>=R289-7</t>
  </si>
  <si>
    <t>=IFERROR(IF(J289*T289&lt;&gt;0,J289-T289,""),"")</t>
  </si>
  <si>
    <t>=IF(U289&lt;&gt;"",IF(U289&gt;28,"Too early",IF(U289&lt;14,"Too late","")),"")</t>
  </si>
  <si>
    <t>=IF(OFFSET(X289,1,0)="",R289,OFFSET(X289,1,0))</t>
  </si>
  <si>
    <t>=IFERROR(IF(J289*Z289&lt;&gt;0,J289-Z289,""),"")</t>
  </si>
  <si>
    <t>=IF(AA289&lt;&gt;"",IF(AA289&gt;28,"Too early",IF(AA289&lt;14,"Too late","")),"")</t>
  </si>
  <si>
    <t>=IF(AI289="","",AI289*AJ289*AK289/1000/1000/1000)</t>
  </si>
  <si>
    <t>=IF(SUM(M290:N290)=0,"",SUM(M290:N290))</t>
  </si>
  <si>
    <t>=IF(AI290="","",AI290*AJ290*AK290/1000/1000/1000)</t>
  </si>
  <si>
    <t>=COUNTIF(J$3:OFFSET(J291,-1,0),"Subtotal:")+1</t>
  </si>
  <si>
    <t>=IF(OFFSET(B291,1,0)&lt;&gt;"",OFFSET(B291,1,0),"")</t>
  </si>
  <si>
    <t>=LEFT(F291,3)</t>
  </si>
  <si>
    <t>46589</t>
  </si>
  <si>
    <t>=IF(SUM(M291:N291)=0,"",SUM(M291:N291))</t>
  </si>
  <si>
    <t>=O291</t>
  </si>
  <si>
    <t>=R291-7</t>
  </si>
  <si>
    <t>=IFERROR(IF(J291*T291&lt;&gt;0,J291-T291,""),"")</t>
  </si>
  <si>
    <t>=IF(U291&lt;&gt;"",IF(U291&gt;28,"Too early",IF(U291&lt;14,"Too late","")),"")</t>
  </si>
  <si>
    <t>=IF(OFFSET(X291,1,0)="",R291,OFFSET(X291,1,0))</t>
  </si>
  <si>
    <t>=IFERROR(IF(J291*Z291&lt;&gt;0,J291-Z291,""),"")</t>
  </si>
  <si>
    <t>=IF(AA291&lt;&gt;"",IF(AA291&gt;28,"Too early",IF(AA291&lt;14,"Too late","")),"")</t>
  </si>
  <si>
    <t>=IF(AI291="","",AI291*AJ291*AK291/1000/1000/1000)</t>
  </si>
  <si>
    <t>=COUNTIF(J$3:OFFSET(J292,-1,0),"Subtotal:")+1</t>
  </si>
  <si>
    <t>=IF(OFFSET(B292,1,0)&lt;&gt;"",OFFSET(B292,1,0),"")</t>
  </si>
  <si>
    <t>=LEFT(F292,3)</t>
  </si>
  <si>
    <t>=IF(SUM(M292:N292)=0,"",SUM(M292:N292))</t>
  </si>
  <si>
    <t>=R292-7</t>
  </si>
  <si>
    <t>=IFERROR(IF(J292*T292&lt;&gt;0,J292-T292,""),"")</t>
  </si>
  <si>
    <t>=IF(U292&lt;&gt;"",IF(U292&gt;28,"Too early",IF(U292&lt;14,"Too late","")),"")</t>
  </si>
  <si>
    <t>=IF(OFFSET(X292,1,0)="",R292,OFFSET(X292,1,0))</t>
  </si>
  <si>
    <t>=IFERROR(IF(J292*Z292&lt;&gt;0,J292-Z292,""),"")</t>
  </si>
  <si>
    <t>=IF(AA292&lt;&gt;"",IF(AA292&gt;28,"Too early",IF(AA292&lt;14,"Too late","")),"")</t>
  </si>
  <si>
    <t>=IF(AI292="","",AI292*AJ292*AK292/1000/1000/1000)</t>
  </si>
  <si>
    <t>=COUNTIF(J$3:OFFSET(J293,-1,0),"Subtotal:")+1</t>
  </si>
  <si>
    <t>=IF(OFFSET(B293,1,0)&lt;&gt;"",OFFSET(B293,1,0),"")</t>
  </si>
  <si>
    <t>=LEFT(F293,3)</t>
  </si>
  <si>
    <t>=IF(SUM(M293:N293)=0,"",SUM(M293:N293))</t>
  </si>
  <si>
    <t>=R293-7</t>
  </si>
  <si>
    <t>=IFERROR(IF(J293*T293&lt;&gt;0,J293-T293,""),"")</t>
  </si>
  <si>
    <t>=IF(U293&lt;&gt;"",IF(U293&gt;28,"Too early",IF(U293&lt;14,"Too late","")),"")</t>
  </si>
  <si>
    <t>=IF(OFFSET(X293,1,0)="",R293,OFFSET(X293,1,0))</t>
  </si>
  <si>
    <t>=IFERROR(IF(J293*Z293&lt;&gt;0,J293-Z293,""),"")</t>
  </si>
  <si>
    <t>=IF(AA293&lt;&gt;"",IF(AA293&gt;28,"Too early",IF(AA293&lt;14,"Too late","")),"")</t>
  </si>
  <si>
    <t>=IF(AI293="","",AI293*AJ293*AK293/1000/1000/1000)</t>
  </si>
  <si>
    <t>=COUNTIF(J$3:OFFSET(J294,-1,0),"Subtotal:")+1</t>
  </si>
  <si>
    <t>=IF(OFFSET(B294,1,0)&lt;&gt;"",OFFSET(B294,1,0),"")</t>
  </si>
  <si>
    <t>=IF(SUM(M294:N294)=0,"",SUM(M294:N294))</t>
  </si>
  <si>
    <t>=O294</t>
  </si>
  <si>
    <t>=R294-7</t>
  </si>
  <si>
    <t>=IFERROR(IF(J294*T294&lt;&gt;0,J294-T294,""),"")</t>
  </si>
  <si>
    <t>=IF(U294&lt;&gt;"",IF(U294&gt;28,"Too early",IF(U294&lt;14,"Too late","")),"")</t>
  </si>
  <si>
    <t>=IF(OFFSET(X294,1,0)="",R294,OFFSET(X294,1,0))</t>
  </si>
  <si>
    <t>=IFERROR(IF(J294*Z294&lt;&gt;0,J294-Z294,""),"")</t>
  </si>
  <si>
    <t>=IF(AA294&lt;&gt;"",IF(AA294&gt;28,"Too early",IF(AA294&lt;14,"Too late","")),"")</t>
  </si>
  <si>
    <t>=IF(AI294="","",AI294*AJ294*AK294/1000/1000/1000)</t>
  </si>
  <si>
    <t>=COUNTIF(J$3:OFFSET(J295,-1,0),"Subtotal:")+1</t>
  </si>
  <si>
    <t>=IF(OFFSET(B295,1,0)&lt;&gt;"",OFFSET(B295,1,0),"")</t>
  </si>
  <si>
    <t>=IF(SUM(M295:N295)=0,"",SUM(M295:N295))</t>
  </si>
  <si>
    <t>=O295</t>
  </si>
  <si>
    <t>=R295-7</t>
  </si>
  <si>
    <t>=IFERROR(IF(J295*T295&lt;&gt;0,J295-T295,""),"")</t>
  </si>
  <si>
    <t>=IF(U295&lt;&gt;"",IF(U295&gt;28,"Too early",IF(U295&lt;14,"Too late","")),"")</t>
  </si>
  <si>
    <t>=IF(OFFSET(X295,1,0)="",R295,OFFSET(X295,1,0))</t>
  </si>
  <si>
    <t>=IFERROR(IF(J295*Z295&lt;&gt;0,J295-Z295,""),"")</t>
  </si>
  <si>
    <t>=IF(AA295&lt;&gt;"",IF(AA295&gt;28,"Too early",IF(AA295&lt;14,"Too late","")),"")</t>
  </si>
  <si>
    <t>=IF(AI295="","",AI295*AJ295*AK295/1000/1000/1000)</t>
  </si>
  <si>
    <t>=COUNTIF(J$3:OFFSET(J296,-1,0),"Subtotal:")+1</t>
  </si>
  <si>
    <t>=IF(OFFSET(B296,1,0)&lt;&gt;"",OFFSET(B296,1,0),"")</t>
  </si>
  <si>
    <t>=IF(SUM(M296:N296)=0,"",SUM(M296:N296))</t>
  </si>
  <si>
    <t>=R296-7</t>
  </si>
  <si>
    <t>=IFERROR(IF(J296*T296&lt;&gt;0,J296-T296,""),"")</t>
  </si>
  <si>
    <t>=IF(U296&lt;&gt;"",IF(U296&gt;28,"Too early",IF(U296&lt;14,"Too late","")),"")</t>
  </si>
  <si>
    <t>=IF(OFFSET(X296,1,0)="",R296,OFFSET(X296,1,0))</t>
  </si>
  <si>
    <t>=IFERROR(IF(J296*Z296&lt;&gt;0,J296-Z296,""),"")</t>
  </si>
  <si>
    <t>=IF(AA296&lt;&gt;"",IF(AA296&gt;28,"Too early",IF(AA296&lt;14,"Too late","")),"")</t>
  </si>
  <si>
    <t>=IF(AI296="","",AI296*AJ296*AK296/1000/1000/1000)</t>
  </si>
  <si>
    <t>=COUNTIF(J$3:OFFSET(J297,-1,0),"Subtotal:")+1</t>
  </si>
  <si>
    <t>=IF(OFFSET(B297,1,0)&lt;&gt;"",OFFSET(B297,1,0),"")</t>
  </si>
  <si>
    <t>=IF(SUM(M297:N297)=0,"",SUM(M297:N297))</t>
  </si>
  <si>
    <t>=R297-7</t>
  </si>
  <si>
    <t>=IFERROR(IF(J297*T297&lt;&gt;0,J297-T297,""),"")</t>
  </si>
  <si>
    <t>=IF(U297&lt;&gt;"",IF(U297&gt;28,"Too early",IF(U297&lt;14,"Too late","")),"")</t>
  </si>
  <si>
    <t>=IF(OFFSET(X297,1,0)="",R297,OFFSET(X297,1,0))</t>
  </si>
  <si>
    <t>=IFERROR(IF(J297*Z297&lt;&gt;0,J297-Z297,""),"")</t>
  </si>
  <si>
    <t>=IF(AA297&lt;&gt;"",IF(AA297&gt;28,"Too early",IF(AA297&lt;14,"Too late","")),"")</t>
  </si>
  <si>
    <t>=IF(AI297="","",AI297*AJ297*AK297/1000/1000/1000)</t>
  </si>
  <si>
    <t>=COUNTIF(J$3:OFFSET(J298,-1,0),"Subtotal:")+1</t>
  </si>
  <si>
    <t>=IF(OFFSET(B298,1,0)&lt;&gt;"",OFFSET(B298,1,0),"")</t>
  </si>
  <si>
    <t>=IF(SUM(M298:N298)=0,"",SUM(M298:N298))</t>
  </si>
  <si>
    <t>=O298</t>
  </si>
  <si>
    <t>=R298-7</t>
  </si>
  <si>
    <t>=IFERROR(IF(J298*T298&lt;&gt;0,J298-T298,""),"")</t>
  </si>
  <si>
    <t>=IF(U298&lt;&gt;"",IF(U298&gt;28,"Too early",IF(U298&lt;14,"Too late","")),"")</t>
  </si>
  <si>
    <t>=IF(OFFSET(X298,1,0)="",R298,OFFSET(X298,1,0))</t>
  </si>
  <si>
    <t>=IFERROR(IF(J298*Z298&lt;&gt;0,J298-Z298,""),"")</t>
  </si>
  <si>
    <t>=IF(AA298&lt;&gt;"",IF(AA298&gt;28,"Too early",IF(AA298&lt;14,"Too late","")),"")</t>
  </si>
  <si>
    <t>=IF(AI298="","",AI298*AJ298*AK298/1000/1000/1000)</t>
  </si>
  <si>
    <t>=COUNTIF(J$3:OFFSET(J299,-1,0),"Subtotal:")+1</t>
  </si>
  <si>
    <t>=IF(OFFSET(B299,1,0)&lt;&gt;"",OFFSET(B299,1,0),"")</t>
  </si>
  <si>
    <t>=IF(SUM(M299:N299)=0,"",SUM(M299:N299))</t>
  </si>
  <si>
    <t>=R299-7</t>
  </si>
  <si>
    <t>=IFERROR(IF(J299*T299&lt;&gt;0,J299-T299,""),"")</t>
  </si>
  <si>
    <t>=IF(U299&lt;&gt;"",IF(U299&gt;28,"Too early",IF(U299&lt;14,"Too late","")),"")</t>
  </si>
  <si>
    <t>=IF(OFFSET(X299,1,0)="",R299,OFFSET(X299,1,0))</t>
  </si>
  <si>
    <t>=IFERROR(IF(J299*Z299&lt;&gt;0,J299-Z299,""),"")</t>
  </si>
  <si>
    <t>=IF(AA299&lt;&gt;"",IF(AA299&gt;28,"Too early",IF(AA299&lt;14,"Too late","")),"")</t>
  </si>
  <si>
    <t>=IF(AI299="","",AI299*AJ299*AK299/1000/1000/1000)</t>
  </si>
  <si>
    <t>=COUNTIF(J$3:OFFSET(J300,-1,0),"Subtotal:")+1</t>
  </si>
  <si>
    <t>=IF(OFFSET(B300,1,0)&lt;&gt;"",OFFSET(B300,1,0),"")</t>
  </si>
  <si>
    <t>=IF(SUM(M300:N300)=0,"",SUM(M300:N300))</t>
  </si>
  <si>
    <t>=R300-7</t>
  </si>
  <si>
    <t>=IFERROR(IF(J300*T300&lt;&gt;0,J300-T300,""),"")</t>
  </si>
  <si>
    <t>=IF(U300&lt;&gt;"",IF(U300&gt;28,"Too early",IF(U300&lt;14,"Too late","")),"")</t>
  </si>
  <si>
    <t>=IF(OFFSET(X300,1,0)="",R300,OFFSET(X300,1,0))</t>
  </si>
  <si>
    <t>=IFERROR(IF(J300*Z300&lt;&gt;0,J300-Z300,""),"")</t>
  </si>
  <si>
    <t>=IF(AA300&lt;&gt;"",IF(AA300&gt;28,"Too early",IF(AA300&lt;14,"Too late","")),"")</t>
  </si>
  <si>
    <t>=IF(AI300="","",AI300*AJ300*AK300/1000/1000/1000)</t>
  </si>
  <si>
    <t>=COUNTIF(J$3:OFFSET(J301,-1,0),"Subtotal:")+1</t>
  </si>
  <si>
    <t>=IF(OFFSET(B301,1,0)&lt;&gt;"",OFFSET(B301,1,0),"")</t>
  </si>
  <si>
    <t>=IF(SUM(M301:N301)=0,"",SUM(M301:N301))</t>
  </si>
  <si>
    <t>=O301</t>
  </si>
  <si>
    <t>=R301-7</t>
  </si>
  <si>
    <t>=IFERROR(IF(J301*T301&lt;&gt;0,J301-T301,""),"")</t>
  </si>
  <si>
    <t>=IF(U301&lt;&gt;"",IF(U301&gt;28,"Too early",IF(U301&lt;14,"Too late","")),"")</t>
  </si>
  <si>
    <t>=IF(OFFSET(X301,1,0)="",R301,OFFSET(X301,1,0))</t>
  </si>
  <si>
    <t>=IFERROR(IF(J301*Z301&lt;&gt;0,J301-Z301,""),"")</t>
  </si>
  <si>
    <t>=IF(AA301&lt;&gt;"",IF(AA301&gt;28,"Too early",IF(AA301&lt;14,"Too late","")),"")</t>
  </si>
  <si>
    <t>=IF(AI301="","",AI301*AJ301*AK301/1000/1000/1000)</t>
  </si>
  <si>
    <t>=COUNTIF(J$3:OFFSET(J302,-1,0),"Subtotal:")+1</t>
  </si>
  <si>
    <t>=IF(OFFSET(B302,1,0)&lt;&gt;"",OFFSET(B302,1,0),"")</t>
  </si>
  <si>
    <t>=IF(SUM(M302:N302)=0,"",SUM(M302:N302))</t>
  </si>
  <si>
    <t>=O302</t>
  </si>
  <si>
    <t>=R302-7</t>
  </si>
  <si>
    <t>=IFERROR(IF(J302*T302&lt;&gt;0,J302-T302,""),"")</t>
  </si>
  <si>
    <t>=IF(U302&lt;&gt;"",IF(U302&gt;28,"Too early",IF(U302&lt;14,"Too late","")),"")</t>
  </si>
  <si>
    <t>=IF(OFFSET(X302,1,0)="",R302,OFFSET(X302,1,0))</t>
  </si>
  <si>
    <t>=IFERROR(IF(J302*Z302&lt;&gt;0,J302-Z302,""),"")</t>
  </si>
  <si>
    <t>=IF(AA302&lt;&gt;"",IF(AA302&gt;28,"Too early",IF(AA302&lt;14,"Too late","")),"")</t>
  </si>
  <si>
    <t>=IF(AI302="","",AI302*AJ302*AK302/1000/1000/1000)</t>
  </si>
  <si>
    <t>=COUNTIF(J$3:OFFSET(J303,-1,0),"Subtotal:")+1</t>
  </si>
  <si>
    <t>=IF(OFFSET(B303,1,0)&lt;&gt;"",OFFSET(B303,1,0),"")</t>
  </si>
  <si>
    <t>=IF(SUM(M303:N303)=0,"",SUM(M303:N303))</t>
  </si>
  <si>
    <t>=R303-7</t>
  </si>
  <si>
    <t>=IFERROR(IF(J303*T303&lt;&gt;0,J303-T303,""),"")</t>
  </si>
  <si>
    <t>=IF(U303&lt;&gt;"",IF(U303&gt;28,"Too early",IF(U303&lt;14,"Too late","")),"")</t>
  </si>
  <si>
    <t>=IF(OFFSET(X303,1,0)="",R303,OFFSET(X303,1,0))</t>
  </si>
  <si>
    <t>=IFERROR(IF(J303*Z303&lt;&gt;0,J303-Z303,""),"")</t>
  </si>
  <si>
    <t>=IF(AA303&lt;&gt;"",IF(AA303&gt;28,"Too early",IF(AA303&lt;14,"Too late","")),"")</t>
  </si>
  <si>
    <t>=IF(AI303="","",AI303*AJ303*AK303/1000/1000/1000)</t>
  </si>
  <si>
    <t>=COUNTIF(J$3:OFFSET(J304,-1,0),"Subtotal:")+1</t>
  </si>
  <si>
    <t>=IF(OFFSET(B304,1,0)&lt;&gt;"",OFFSET(B304,1,0),"")</t>
  </si>
  <si>
    <t>=IF(SUM(M304:N304)=0,"",SUM(M304:N304))</t>
  </si>
  <si>
    <t>=O304</t>
  </si>
  <si>
    <t>=R304-7</t>
  </si>
  <si>
    <t>=IFERROR(IF(J304*T304&lt;&gt;0,J304-T304,""),"")</t>
  </si>
  <si>
    <t>=IF(U304&lt;&gt;"",IF(U304&gt;28,"Too early",IF(U304&lt;14,"Too late","")),"")</t>
  </si>
  <si>
    <t>=IF(OFFSET(X304,1,0)="",R304,OFFSET(X304,1,0))</t>
  </si>
  <si>
    <t>=IFERROR(IF(J304*Z304&lt;&gt;0,J304-Z304,""),"")</t>
  </si>
  <si>
    <t>=IF(AA304&lt;&gt;"",IF(AA304&gt;28,"Too early",IF(AA304&lt;14,"Too late","")),"")</t>
  </si>
  <si>
    <t>=IF(AI304="","",AI304*AJ304*AK304/1000/1000/1000)</t>
  </si>
  <si>
    <t>=COUNTIF(J$3:OFFSET(J305,-1,0),"Subtotal:")+1</t>
  </si>
  <si>
    <t>=IF(OFFSET(B305,1,0)&lt;&gt;"",OFFSET(B305,1,0),"")</t>
  </si>
  <si>
    <t>=IF(SUM(M305:N305)=0,"",SUM(M305:N305))</t>
  </si>
  <si>
    <t>=O305</t>
  </si>
  <si>
    <t>=R305-7</t>
  </si>
  <si>
    <t>=IFERROR(IF(J305*T305&lt;&gt;0,J305-T305,""),"")</t>
  </si>
  <si>
    <t>=IF(U305&lt;&gt;"",IF(U305&gt;28,"Too early",IF(U305&lt;14,"Too late","")),"")</t>
  </si>
  <si>
    <t>=IF(OFFSET(X305,1,0)="",R305,OFFSET(X305,1,0))</t>
  </si>
  <si>
    <t>=IFERROR(IF(J305*Z305&lt;&gt;0,J305-Z305,""),"")</t>
  </si>
  <si>
    <t>=IF(AA305&lt;&gt;"",IF(AA305&gt;28,"Too early",IF(AA305&lt;14,"Too late","")),"")</t>
  </si>
  <si>
    <t>=IF(AI305="","",AI305*AJ305*AK305/1000/1000/1000)</t>
  </si>
  <si>
    <t>=COUNTIF(J$3:OFFSET(J306,-1,0),"Subtotal:")+1</t>
  </si>
  <si>
    <t>=IF(OFFSET(B306,1,0)&lt;&gt;"",OFFSET(B306,1,0),"")</t>
  </si>
  <si>
    <t>=LEFT(F306,3)</t>
  </si>
  <si>
    <t>46608</t>
  </si>
  <si>
    <t>=IF(SUM(M306:N306)=0,"",SUM(M306:N306))</t>
  </si>
  <si>
    <t>=O306</t>
  </si>
  <si>
    <t>=R306-7</t>
  </si>
  <si>
    <t>=IFERROR(IF(J306*T306&lt;&gt;0,J306-T306,""),"")</t>
  </si>
  <si>
    <t>=IF(U306&lt;&gt;"",IF(U306&gt;28,"Too early",IF(U306&lt;14,"Too late","")),"")</t>
  </si>
  <si>
    <t>=IF(OFFSET(X306,1,0)="",R306,OFFSET(X306,1,0))</t>
  </si>
  <si>
    <t>=IFERROR(IF(J306*Z306&lt;&gt;0,J306-Z306,""),"")</t>
  </si>
  <si>
    <t>=IF(AA306&lt;&gt;"",IF(AA306&gt;28,"Too early",IF(AA306&lt;14,"Too late","")),"")</t>
  </si>
  <si>
    <t>=IF(AI306="","",AI306*AJ306*AK306/1000/1000/1000)</t>
  </si>
  <si>
    <t>=IF(SUM(M307:N307)=0,"",SUM(M307:N307))</t>
  </si>
  <si>
    <t>=IF(AI307="","",AI307*AJ307*AK307/1000/1000/1000)</t>
  </si>
  <si>
    <t>=COUNTIF(J$3:OFFSET(J308,-1,0),"Subtotal:")+1</t>
  </si>
  <si>
    <t>=IF(OFFSET(B308,1,0)&lt;&gt;"",OFFSET(B308,1,0),"")</t>
  </si>
  <si>
    <t>BP</t>
  </si>
  <si>
    <t>=IF(SUM(M308:N308)=0,"",SUM(M308:N308))</t>
  </si>
  <si>
    <t>=R308-7</t>
  </si>
  <si>
    <t>=IFERROR(IF(J308*T308&lt;&gt;0,J308-T308,""),"")</t>
  </si>
  <si>
    <t>=IF(U308&lt;&gt;"",IF(U308&gt;28,"Too early",IF(U308&lt;14,"Too late","")),"")</t>
  </si>
  <si>
    <t>=IF(OFFSET(X308,1,0)="",R308,OFFSET(X308,1,0))</t>
  </si>
  <si>
    <t>=IFERROR(IF(J308*Z308&lt;&gt;0,J308-Z308,""),"")</t>
  </si>
  <si>
    <t>=IF(AA308&lt;&gt;"",IF(AA308&gt;28,"Too early",IF(AA308&lt;14,"Too late","")),"")</t>
  </si>
  <si>
    <t>=IF(AI308="","",AI308*AJ308*AK308/1000/1000/1000)</t>
  </si>
  <si>
    <t>=COUNTIF(J$3:OFFSET(J309,-1,0),"Subtotal:")+1</t>
  </si>
  <si>
    <t>=IF(OFFSET(B309,1,0)&lt;&gt;"",OFFSET(B309,1,0),"")</t>
  </si>
  <si>
    <t>=IF(SUM(M309:N309)=0,"",SUM(M309:N309))</t>
  </si>
  <si>
    <t>=R309-7</t>
  </si>
  <si>
    <t>=IFERROR(IF(J309*T309&lt;&gt;0,J309-T309,""),"")</t>
  </si>
  <si>
    <t>=IF(U309&lt;&gt;"",IF(U309&gt;28,"Too early",IF(U309&lt;14,"Too late","")),"")</t>
  </si>
  <si>
    <t>=IF(OFFSET(X309,1,0)="",R309,OFFSET(X309,1,0))</t>
  </si>
  <si>
    <t>=IFERROR(IF(J309*Z309&lt;&gt;0,J309-Z309,""),"")</t>
  </si>
  <si>
    <t>=IF(AA309&lt;&gt;"",IF(AA309&gt;28,"Too early",IF(AA309&lt;14,"Too late","")),"")</t>
  </si>
  <si>
    <t>=IF(AI309="","",AI309*AJ309*AK309/1000/1000/1000)</t>
  </si>
  <si>
    <t>来源文件：20260923_CN01-2305033_Sazgar Pakistan Paintshop 15 Jph.xlsx</t>
    <phoneticPr fontId="1" type="noConversion"/>
  </si>
  <si>
    <t>选择来源文件，仅更新 Plant 清单和内部快照。</t>
    <phoneticPr fontId="1" type="noConversion"/>
  </si>
  <si>
    <t>Process Tank PE011</t>
    <phoneticPr fontId="1" type="noConversion"/>
  </si>
  <si>
    <t>Process Tank PE012</t>
    <phoneticPr fontId="1" type="noConversion"/>
  </si>
  <si>
    <t>Process Tank PS021</t>
    <phoneticPr fontId="1" type="noConversion"/>
  </si>
  <si>
    <t>Process Tank PA031</t>
    <phoneticPr fontId="1" type="noConversion"/>
  </si>
  <si>
    <t>Process Tank PP041</t>
    <phoneticPr fontId="1" type="noConversion"/>
  </si>
  <si>
    <t>Process Tank PS051</t>
    <phoneticPr fontId="1" type="noConversion"/>
  </si>
  <si>
    <t>Process Tank PS071</t>
    <phoneticPr fontId="1" type="noConversion"/>
  </si>
  <si>
    <t>Process Tank PS022</t>
    <phoneticPr fontId="1" type="noConversion"/>
  </si>
  <si>
    <t>Auxiliary tanks</t>
    <phoneticPr fontId="1" type="noConversion"/>
  </si>
  <si>
    <t>EC dip tank PK011</t>
    <phoneticPr fontId="1" type="noConversion"/>
  </si>
  <si>
    <t>Drain pans on position</t>
    <phoneticPr fontId="1" type="noConversion"/>
  </si>
  <si>
    <t>Process Tank PS021</t>
  </si>
  <si>
    <t>Process Tank PS071</t>
  </si>
  <si>
    <t>Process Tank PS022</t>
  </si>
  <si>
    <t>Process Tank PS051</t>
  </si>
  <si>
    <t>Process Tank PE011</t>
  </si>
  <si>
    <t>Process Tank PE012</t>
  </si>
  <si>
    <t>Process Tank PA031</t>
  </si>
  <si>
    <t>Process Tank PP041</t>
  </si>
  <si>
    <t>46519</t>
  </si>
  <si>
    <t>46509</t>
  </si>
  <si>
    <t>46499</t>
  </si>
  <si>
    <t>46497</t>
  </si>
  <si>
    <t>46500</t>
  </si>
  <si>
    <t>46506</t>
  </si>
  <si>
    <t>46527</t>
  </si>
  <si>
    <t>源快照中不存在对应的 Plant + Task Name，已保留原安装日期。</t>
  </si>
  <si>
    <t>源快照中对应的 Plant + Task Name 有多个候选，无法唯一匹配，已保留原安装日期。</t>
  </si>
  <si>
    <t>源快照中唯一匹配记录的开始日期无效，已保留原安装日期。</t>
  </si>
  <si>
    <t>注意：红色标记单元格保留的原安装日期仍参与后续计算，请核实后更新；标记不代表已排除计算。</t>
  </si>
  <si>
    <t>当前行的 Plant 或 Task Name 含错误值，无法匹配，已保留原安装日期。</t>
  </si>
  <si>
    <t>本次仅核验并标记，未修改任何业务日期。待用户点击更新的日期数：</t>
  </si>
  <si>
    <t>=O6</t>
  </si>
  <si>
    <t>=O7</t>
  </si>
  <si>
    <t>=O8</t>
  </si>
  <si>
    <t>=O9</t>
  </si>
  <si>
    <t>=O11</t>
  </si>
  <si>
    <t>=O12</t>
  </si>
  <si>
    <t>=O14</t>
  </si>
  <si>
    <t>=O15</t>
  </si>
  <si>
    <t>=O16</t>
  </si>
  <si>
    <t>=O17</t>
  </si>
  <si>
    <t>=O20</t>
  </si>
  <si>
    <t>=O21</t>
  </si>
  <si>
    <t>=O22</t>
  </si>
  <si>
    <t>=O23</t>
  </si>
  <si>
    <t>=O24</t>
  </si>
  <si>
    <t>=O25</t>
  </si>
  <si>
    <t>=O26</t>
  </si>
  <si>
    <t>=O27</t>
  </si>
  <si>
    <t>=O28</t>
  </si>
  <si>
    <t>=O30</t>
  </si>
  <si>
    <t>=O31</t>
  </si>
  <si>
    <t>=O32</t>
  </si>
  <si>
    <t>=O34</t>
  </si>
  <si>
    <t>=O35</t>
  </si>
  <si>
    <t>=O37</t>
  </si>
  <si>
    <t>=O38</t>
  </si>
  <si>
    <t>=O42</t>
  </si>
  <si>
    <t>=O43</t>
  </si>
  <si>
    <t>=O44</t>
  </si>
  <si>
    <t>=O45</t>
  </si>
  <si>
    <t>=O55</t>
  </si>
  <si>
    <t>=O56</t>
  </si>
  <si>
    <t>=O57</t>
  </si>
  <si>
    <t>=O58</t>
  </si>
  <si>
    <t>=O67</t>
  </si>
  <si>
    <t>=O69</t>
  </si>
  <si>
    <t>=O70</t>
  </si>
  <si>
    <t>=O71</t>
  </si>
  <si>
    <t>=O82</t>
  </si>
  <si>
    <t>=O84</t>
  </si>
  <si>
    <t>=O85</t>
  </si>
  <si>
    <t>=O86</t>
  </si>
  <si>
    <t>=O87</t>
  </si>
  <si>
    <t>=O91</t>
  </si>
  <si>
    <t>=O92</t>
  </si>
  <si>
    <t>=O93</t>
  </si>
  <si>
    <t>=O95</t>
  </si>
  <si>
    <t>=O98</t>
  </si>
  <si>
    <t>=O99</t>
  </si>
  <si>
    <t>=O100</t>
  </si>
  <si>
    <t>=O101</t>
  </si>
  <si>
    <t>=O102</t>
  </si>
  <si>
    <t>=O103</t>
  </si>
  <si>
    <t>=O105</t>
  </si>
  <si>
    <t>=O108</t>
  </si>
  <si>
    <t>=O109</t>
  </si>
  <si>
    <t>=O110</t>
  </si>
  <si>
    <t>=O111</t>
  </si>
  <si>
    <t>=O113</t>
  </si>
  <si>
    <t>=O115</t>
  </si>
  <si>
    <t>=O117</t>
  </si>
  <si>
    <t>=O121</t>
  </si>
  <si>
    <t>=O124</t>
  </si>
  <si>
    <t>=O125</t>
  </si>
  <si>
    <t>=O126</t>
  </si>
  <si>
    <t>=O127</t>
  </si>
  <si>
    <t>=O128</t>
  </si>
  <si>
    <t>=O130</t>
  </si>
  <si>
    <t>=O131</t>
  </si>
  <si>
    <t>=O132</t>
  </si>
  <si>
    <t>=O133</t>
  </si>
  <si>
    <t>=O134</t>
  </si>
  <si>
    <t>=O135</t>
  </si>
  <si>
    <t>=O137</t>
  </si>
  <si>
    <t>=O138</t>
  </si>
  <si>
    <t>=O139</t>
  </si>
  <si>
    <t>=O140</t>
  </si>
  <si>
    <t>=O141</t>
  </si>
  <si>
    <t>=O142</t>
  </si>
  <si>
    <t>=O144</t>
  </si>
  <si>
    <t>=O145</t>
  </si>
  <si>
    <t>=O146</t>
  </si>
  <si>
    <t>=O148</t>
  </si>
  <si>
    <t>=O149</t>
  </si>
  <si>
    <t>=O151</t>
  </si>
  <si>
    <t>=O152</t>
  </si>
  <si>
    <t>=O153</t>
  </si>
  <si>
    <t>=O155</t>
  </si>
  <si>
    <t>=O156</t>
  </si>
  <si>
    <t>=O158</t>
  </si>
  <si>
    <t>=O159</t>
  </si>
  <si>
    <t>=O160</t>
  </si>
  <si>
    <t>=O161</t>
  </si>
  <si>
    <t>=O162</t>
  </si>
  <si>
    <t>=O163</t>
  </si>
  <si>
    <t>=O165</t>
  </si>
  <si>
    <t>=O197</t>
  </si>
  <si>
    <t>=O198</t>
  </si>
  <si>
    <t>=O199</t>
  </si>
  <si>
    <t>=O200</t>
  </si>
  <si>
    <t>=O292</t>
  </si>
  <si>
    <t>=O293</t>
  </si>
  <si>
    <t>=O296</t>
  </si>
  <si>
    <t>=O297</t>
  </si>
  <si>
    <t>=O299</t>
  </si>
  <si>
    <t>=O300</t>
  </si>
  <si>
    <t>=O303</t>
  </si>
  <si>
    <t>=O308</t>
  </si>
  <si>
    <t>=O309</t>
  </si>
  <si>
    <t>#02 PT Plant</t>
    <phoneticPr fontId="1" type="noConversion"/>
  </si>
  <si>
    <t>=COUNTIF(J$3:OFFSET(J88,-1,0),"Subtotal:")+1</t>
  </si>
  <si>
    <t>=IF(OFFSET(B88,1,0)&lt;&gt;"",OFFSET(B88,1,0),"")</t>
  </si>
  <si>
    <t>=LEFT(F88,3)</t>
  </si>
  <si>
    <t>=IF(SUM(M88:N88)=0,"",SUM(M88:N88))</t>
  </si>
  <si>
    <t>=R88-7</t>
  </si>
  <si>
    <t>=IFERROR(IF(J88*T88&lt;&gt;0,J88-T88,""),"")</t>
  </si>
  <si>
    <t>=IF(U88&lt;&gt;"",IF(U88&gt;28,"Too early",IF(U88&lt;14,"Too late","")),"")</t>
  </si>
  <si>
    <t>=IF(OFFSET(X88,1,0)="",R88,OFFSET(X88,1,0))</t>
  </si>
  <si>
    <t>=IFERROR(IF(J88*Z88&lt;&gt;0,J88-Z88,""),"")</t>
  </si>
  <si>
    <t>=IF(AA88&lt;&gt;"",IF(AA88&gt;28,"Too early",IF(AA88&lt;14,"Too late","")),"")</t>
  </si>
  <si>
    <t>=IF(AI88="","",AI88*AJ88*AK88/1000/1000/1000)</t>
  </si>
  <si>
    <t>=IF(J4&lt;&gt;"",J4 - ('Shipping Program'!$D$9 + 'Shipping Program'!$F$9 + 'Shipping Program'!$H$9), "")</t>
  </si>
  <si>
    <t>=S4+'Shipping Program'!$H$9</t>
  </si>
  <si>
    <t>=IF(OFFSET(Y4,1,0)="",X4+'Shipping Program'!$F$9,OFFSET(Y4,1,0))</t>
  </si>
  <si>
    <t>=IF(OFFSET(Z4,1,0)="",Y4+'Shipping Program'!$H$9,OFFSET(Z4,1,0))</t>
  </si>
  <si>
    <t>=IF(J5&lt;&gt;"",J5 - ('Shipping Program'!$D$9 + 'Shipping Program'!$F$9 + 'Shipping Program'!$H$9), "")</t>
  </si>
  <si>
    <t>=S5+'Shipping Program'!$H$9</t>
  </si>
  <si>
    <t>=IF(OFFSET(Y5,1,0)="",X5+'Shipping Program'!$F$9,OFFSET(Y5,1,0))</t>
  </si>
  <si>
    <t>=IF(OFFSET(Z5,1,0)="",Y5+'Shipping Program'!$H$9,OFFSET(Z5,1,0))</t>
  </si>
  <si>
    <t>=IF(J6&lt;&gt;"",J6 - ('Shipping Program'!$D$9 + 'Shipping Program'!$F$9 + 'Shipping Program'!$H$9), "")</t>
  </si>
  <si>
    <t>=S6+'Shipping Program'!$H$9</t>
  </si>
  <si>
    <t>=IF(OFFSET(Y6,1,0)="",X6+'Shipping Program'!$F$9,OFFSET(Y6,1,0))</t>
  </si>
  <si>
    <t>=IF(OFFSET(Z6,1,0)="",Y6+'Shipping Program'!$H$9,OFFSET(Z6,1,0))</t>
  </si>
  <si>
    <t>=IF(J7&lt;&gt;"",J7 - ('Shipping Program'!$D$9 + 'Shipping Program'!$F$9 + 'Shipping Program'!$H$9), "")</t>
  </si>
  <si>
    <t>=S7+'Shipping Program'!$H$9</t>
  </si>
  <si>
    <t>=IF(OFFSET(Y7,1,0)="",X7+'Shipping Program'!$F$9,OFFSET(Y7,1,0))</t>
  </si>
  <si>
    <t>=IF(OFFSET(Z7,1,0)="",Y7+'Shipping Program'!$H$9,OFFSET(Z7,1,0))</t>
  </si>
  <si>
    <t>=IF(J8&lt;&gt;"",J8 - ('Shipping Program'!$D$9 + 'Shipping Program'!$F$9 + 'Shipping Program'!$H$9), "")</t>
  </si>
  <si>
    <t>=S8+'Shipping Program'!$H$9</t>
  </si>
  <si>
    <t>=IF(OFFSET(Y8,1,0)="",X8+'Shipping Program'!$F$9,OFFSET(Y8,1,0))</t>
  </si>
  <si>
    <t>=IF(OFFSET(Z8,1,0)="",Y8+'Shipping Program'!$H$9,OFFSET(Z8,1,0))</t>
  </si>
  <si>
    <t>=IF(J9&lt;&gt;"",J9 - ('Shipping Program'!$D$9 + 'Shipping Program'!$F$9 + 'Shipping Program'!$H$9), "")</t>
  </si>
  <si>
    <t>=S9+'Shipping Program'!$H$9</t>
  </si>
  <si>
    <t>=IF(OFFSET(Y9,1,0)="",X9+'Shipping Program'!$F$9,OFFSET(Y9,1,0))</t>
  </si>
  <si>
    <t>=IF(OFFSET(Z9,1,0)="",Y9+'Shipping Program'!$H$9,OFFSET(Z9,1,0))</t>
  </si>
  <si>
    <t>=IF(J11&lt;&gt;"",J11 - ('Shipping Program'!$D$9 + 'Shipping Program'!$F$9 + 'Shipping Program'!$H$9), "")</t>
  </si>
  <si>
    <t>=S11+'Shipping Program'!$H$9</t>
  </si>
  <si>
    <t>=IF(OFFSET(Y11,1,0)="",X11+'Shipping Program'!$F$9,OFFSET(Y11,1,0))</t>
  </si>
  <si>
    <t>=IF(OFFSET(Z11,1,0)="",Y11+'Shipping Program'!$H$9,OFFSET(Z11,1,0))</t>
  </si>
  <si>
    <t>=IF(J12&lt;&gt;"",J12 - ('Shipping Program'!$D$9 + 'Shipping Program'!$F$9 + 'Shipping Program'!$H$9), "")</t>
  </si>
  <si>
    <t>=S12+'Shipping Program'!$H$9</t>
  </si>
  <si>
    <t>=IF(OFFSET(Y12,1,0)="",X12+'Shipping Program'!$F$9,OFFSET(Y12,1,0))</t>
  </si>
  <si>
    <t>=IF(OFFSET(Z12,1,0)="",Y12+'Shipping Program'!$H$9,OFFSET(Z12,1,0))</t>
  </si>
  <si>
    <t>=IF(J13&lt;&gt;"",J13 - ('Shipping Program'!$D$9 + 'Shipping Program'!$F$9 + 'Shipping Program'!$H$9), "")</t>
  </si>
  <si>
    <t>=S13+'Shipping Program'!$H$9</t>
  </si>
  <si>
    <t>=IF(OFFSET(Y13,1,0)="",X13+'Shipping Program'!$F$9,OFFSET(Y13,1,0))</t>
  </si>
  <si>
    <t>=IF(OFFSET(Z13,1,0)="",Y13+'Shipping Program'!$H$9,OFFSET(Z13,1,0))</t>
  </si>
  <si>
    <t>=IF(J14&lt;&gt;"",J14 - ('Shipping Program'!$D$9 + 'Shipping Program'!$F$9 + 'Shipping Program'!$H$9), "")</t>
  </si>
  <si>
    <t>=S14+'Shipping Program'!$H$9</t>
  </si>
  <si>
    <t>=IF(OFFSET(Y14,1,0)="",X14+'Shipping Program'!$F$9,OFFSET(Y14,1,0))</t>
  </si>
  <si>
    <t>=IF(OFFSET(Z14,1,0)="",Y14+'Shipping Program'!$H$9,OFFSET(Z14,1,0))</t>
  </si>
  <si>
    <t>=IF(J15&lt;&gt;"",J15 - ('Shipping Program'!$D$9 + 'Shipping Program'!$F$9 + 'Shipping Program'!$H$9), "")</t>
  </si>
  <si>
    <t>=S15+'Shipping Program'!$H$9</t>
  </si>
  <si>
    <t>=IF(OFFSET(Y15,1,0)="",X15+'Shipping Program'!$F$9,OFFSET(Y15,1,0))</t>
  </si>
  <si>
    <t>=IF(OFFSET(Z15,1,0)="",Y15+'Shipping Program'!$H$9,OFFSET(Z15,1,0))</t>
  </si>
  <si>
    <t>=IF(J16&lt;&gt;"",J16 - ('Shipping Program'!$D$9 + 'Shipping Program'!$F$9 + 'Shipping Program'!$H$9), "")</t>
  </si>
  <si>
    <t>=S16+'Shipping Program'!$H$9</t>
  </si>
  <si>
    <t>=IF(OFFSET(Y16,1,0)="",X16+'Shipping Program'!$F$9,OFFSET(Y16,1,0))</t>
  </si>
  <si>
    <t>=IF(OFFSET(Z16,1,0)="",Y16+'Shipping Program'!$H$9,OFFSET(Z16,1,0))</t>
  </si>
  <si>
    <t>=IF(J17&lt;&gt;"",J17 - ('Shipping Program'!$D$9 + 'Shipping Program'!$F$9 + 'Shipping Program'!$H$9), "")</t>
  </si>
  <si>
    <t>=S17+'Shipping Program'!$H$9</t>
  </si>
  <si>
    <t>=IF(OFFSET(Y17,1,0)="",X17+'Shipping Program'!$F$9,OFFSET(Y17,1,0))</t>
  </si>
  <si>
    <t>=IF(OFFSET(Z17,1,0)="",Y17+'Shipping Program'!$H$9,OFFSET(Z17,1,0))</t>
  </si>
  <si>
    <t>=IF(J18&lt;&gt;"",J18 - ('Shipping Program'!$D$9 + 'Shipping Program'!$F$9 + 'Shipping Program'!$H$9), "")</t>
  </si>
  <si>
    <t>=S18+'Shipping Program'!$H$9</t>
  </si>
  <si>
    <t>=IF(OFFSET(Y18,1,0)="",X18+'Shipping Program'!$F$9,OFFSET(Y18,1,0))</t>
  </si>
  <si>
    <t>=IF(OFFSET(Z18,1,0)="",Y18+'Shipping Program'!$H$9,OFFSET(Z18,1,0))</t>
  </si>
  <si>
    <t>=IF(J20&lt;&gt;"",J20 - ('Shipping Program'!$D$9 + 'Shipping Program'!$F$9 + 'Shipping Program'!$H$9), "")</t>
  </si>
  <si>
    <t>=S20+'Shipping Program'!$H$9</t>
  </si>
  <si>
    <t>=IF(OFFSET(Y20,1,0)="",X20+'Shipping Program'!$F$9,OFFSET(Y20,1,0))</t>
  </si>
  <si>
    <t>=IF(OFFSET(Z20,1,0)="",Y20+'Shipping Program'!$H$9,OFFSET(Z20,1,0))</t>
  </si>
  <si>
    <t>=IF(J21&lt;&gt;"",J21 - ('Shipping Program'!$D$9 + 'Shipping Program'!$F$9 + 'Shipping Program'!$H$9), "")</t>
  </si>
  <si>
    <t>=S21+'Shipping Program'!$H$9</t>
  </si>
  <si>
    <t>=IF(OFFSET(Y21,1,0)="",X21+'Shipping Program'!$F$9,OFFSET(Y21,1,0))</t>
  </si>
  <si>
    <t>=IF(OFFSET(Z21,1,0)="",Y21+'Shipping Program'!$H$9,OFFSET(Z21,1,0))</t>
  </si>
  <si>
    <t>=IF(J22&lt;&gt;"",J22 - ('Shipping Program'!$D$9 + 'Shipping Program'!$F$9 + 'Shipping Program'!$H$9), "")</t>
  </si>
  <si>
    <t>=S22+'Shipping Program'!$H$9</t>
  </si>
  <si>
    <t>=IF(OFFSET(Y22,1,0)="",X22+'Shipping Program'!$F$9,OFFSET(Y22,1,0))</t>
  </si>
  <si>
    <t>=IF(OFFSET(Z22,1,0)="",Y22+'Shipping Program'!$H$9,OFFSET(Z22,1,0))</t>
  </si>
  <si>
    <t>=IF(J23&lt;&gt;"",J23 - ('Shipping Program'!$D$9 + 'Shipping Program'!$F$9 + 'Shipping Program'!$H$9), "")</t>
  </si>
  <si>
    <t>=S23+'Shipping Program'!$H$9</t>
  </si>
  <si>
    <t>=IF(OFFSET(Y23,1,0)="",X23+'Shipping Program'!$F$9,OFFSET(Y23,1,0))</t>
  </si>
  <si>
    <t>=IF(OFFSET(Z23,1,0)="",Y23+'Shipping Program'!$H$9,OFFSET(Z23,1,0))</t>
  </si>
  <si>
    <t>=IF(J24&lt;&gt;"",J24 - ('Shipping Program'!$D$9 + 'Shipping Program'!$F$9 + 'Shipping Program'!$H$9), "")</t>
  </si>
  <si>
    <t>=S24+'Shipping Program'!$H$9</t>
  </si>
  <si>
    <t>=IF(OFFSET(Y24,1,0)="",X24+'Shipping Program'!$F$9,OFFSET(Y24,1,0))</t>
  </si>
  <si>
    <t>=IF(OFFSET(Z24,1,0)="",Y24+'Shipping Program'!$H$9,OFFSET(Z24,1,0))</t>
  </si>
  <si>
    <t>=IF(J25&lt;&gt;"",J25 - ('Shipping Program'!$D$9 + 'Shipping Program'!$F$9 + 'Shipping Program'!$H$9), "")</t>
  </si>
  <si>
    <t>=S25+'Shipping Program'!$H$9</t>
  </si>
  <si>
    <t>=IF(OFFSET(Y25,1,0)="",X25+'Shipping Program'!$F$9,OFFSET(Y25,1,0))</t>
  </si>
  <si>
    <t>=IF(OFFSET(Z25,1,0)="",Y25+'Shipping Program'!$H$9,OFFSET(Z25,1,0))</t>
  </si>
  <si>
    <t>=IF(J26&lt;&gt;"",J26 - ('Shipping Program'!$D$9 + 'Shipping Program'!$F$9 + 'Shipping Program'!$H$9), "")</t>
  </si>
  <si>
    <t>=S26+'Shipping Program'!$H$9</t>
  </si>
  <si>
    <t>=IF(OFFSET(Y26,1,0)="",X26+'Shipping Program'!$F$9,OFFSET(Y26,1,0))</t>
  </si>
  <si>
    <t>=IF(OFFSET(Z26,1,0)="",Y26+'Shipping Program'!$H$9,OFFSET(Z26,1,0))</t>
  </si>
  <si>
    <t>=IF(J27&lt;&gt;"",J27 - ('Shipping Program'!$D$9 + 'Shipping Program'!$F$9 + 'Shipping Program'!$H$9), "")</t>
  </si>
  <si>
    <t>=S27+'Shipping Program'!$H$9</t>
  </si>
  <si>
    <t>=IF(OFFSET(Y27,1,0)="",X27+'Shipping Program'!$F$9,OFFSET(Y27,1,0))</t>
  </si>
  <si>
    <t>=IF(OFFSET(Z27,1,0)="",Y27+'Shipping Program'!$H$9,OFFSET(Z27,1,0))</t>
  </si>
  <si>
    <t>=IF(J28&lt;&gt;"",J28 - ('Shipping Program'!$D$9 + 'Shipping Program'!$F$9 + 'Shipping Program'!$H$9), "")</t>
  </si>
  <si>
    <t>=S28+'Shipping Program'!$H$9</t>
  </si>
  <si>
    <t>=IF(OFFSET(Y28,1,0)="",X28+'Shipping Program'!$F$9,OFFSET(Y28,1,0))</t>
  </si>
  <si>
    <t>=IF(OFFSET(Z28,1,0)="",Y28+'Shipping Program'!$H$9,OFFSET(Z28,1,0))</t>
  </si>
  <si>
    <t>=IF(J29&lt;&gt;"",J29 - ('Shipping Program'!$D$9 + 'Shipping Program'!$F$9 + 'Shipping Program'!$H$9), "")</t>
  </si>
  <si>
    <t>=S29+'Shipping Program'!$H$9</t>
  </si>
  <si>
    <t>=IF(OFFSET(Y29,1,0)="",X29+'Shipping Program'!$F$9,OFFSET(Y29,1,0))</t>
  </si>
  <si>
    <t>=IF(OFFSET(Z29,1,0)="",Y29+'Shipping Program'!$H$9,OFFSET(Z29,1,0))</t>
  </si>
  <si>
    <t>=IF(J30&lt;&gt;"",J30 - ('Shipping Program'!$D$9 + 'Shipping Program'!$F$9 + 'Shipping Program'!$H$9), "")</t>
  </si>
  <si>
    <t>=S30+'Shipping Program'!$H$9</t>
  </si>
  <si>
    <t>=IF(OFFSET(Y30,1,0)="",X30+'Shipping Program'!$F$9,OFFSET(Y30,1,0))</t>
  </si>
  <si>
    <t>=IF(OFFSET(Z30,1,0)="",Y30+'Shipping Program'!$H$9,OFFSET(Z30,1,0))</t>
  </si>
  <si>
    <t>=IF(J31&lt;&gt;"",J31 - ('Shipping Program'!$D$9 + 'Shipping Program'!$F$9 + 'Shipping Program'!$H$9), "")</t>
  </si>
  <si>
    <t>=S31+'Shipping Program'!$H$9</t>
  </si>
  <si>
    <t>=IF(OFFSET(Y31,1,0)="",X31+'Shipping Program'!$F$9,OFFSET(Y31,1,0))</t>
  </si>
  <si>
    <t>=IF(OFFSET(Z31,1,0)="",Y31+'Shipping Program'!$H$9,OFFSET(Z31,1,0))</t>
  </si>
  <si>
    <t>=IF(J32&lt;&gt;"",J32 - ('Shipping Program'!$D$9 + 'Shipping Program'!$F$9 + 'Shipping Program'!$H$9), "")</t>
  </si>
  <si>
    <t>=S32+'Shipping Program'!$H$9</t>
  </si>
  <si>
    <t>=IF(OFFSET(Y32,1,0)="",X32+'Shipping Program'!$F$9,OFFSET(Y32,1,0))</t>
  </si>
  <si>
    <t>=IF(OFFSET(Z32,1,0)="",Y32+'Shipping Program'!$H$9,OFFSET(Z32,1,0))</t>
  </si>
  <si>
    <t>=IF(J34&lt;&gt;"",J34 - ('Shipping Program'!$D$9 + 'Shipping Program'!$F$9 + 'Shipping Program'!$H$9), "")</t>
  </si>
  <si>
    <t>=S34+'Shipping Program'!$H$9</t>
  </si>
  <si>
    <t>=IF(OFFSET(Y34,1,0)="",X34+'Shipping Program'!$F$9,OFFSET(Y34,1,0))</t>
  </si>
  <si>
    <t>=IF(OFFSET(Z34,1,0)="",Y34+'Shipping Program'!$H$9,OFFSET(Z34,1,0))</t>
  </si>
  <si>
    <t>=IF(J35&lt;&gt;"",J35 - ('Shipping Program'!$D$9 + 'Shipping Program'!$F$9 + 'Shipping Program'!$H$9), "")</t>
  </si>
  <si>
    <t>=S35+'Shipping Program'!$H$9</t>
  </si>
  <si>
    <t>=IF(OFFSET(Y35,1,0)="",X35+'Shipping Program'!$F$9,OFFSET(Y35,1,0))</t>
  </si>
  <si>
    <t>=IF(OFFSET(Z35,1,0)="",Y35+'Shipping Program'!$H$9,OFFSET(Z35,1,0))</t>
  </si>
  <si>
    <t>=IF(J36&lt;&gt;"",J36 - ('Shipping Program'!$D$9 + 'Shipping Program'!$F$9 + 'Shipping Program'!$H$9), "")</t>
  </si>
  <si>
    <t>=S36+'Shipping Program'!$H$9</t>
  </si>
  <si>
    <t>=IF(OFFSET(Y36,1,0)="",X36+'Shipping Program'!$F$9,OFFSET(Y36,1,0))</t>
  </si>
  <si>
    <t>=IF(OFFSET(Z36,1,0)="",Y36+'Shipping Program'!$H$9,OFFSET(Z36,1,0))</t>
  </si>
  <si>
    <t>=IF(J37&lt;&gt;"",J37 - ('Shipping Program'!$D$9 + 'Shipping Program'!$F$9 + 'Shipping Program'!$H$9), "")</t>
  </si>
  <si>
    <t>=S37+'Shipping Program'!$H$9</t>
  </si>
  <si>
    <t>=IF(OFFSET(Y37,1,0)="",X37+'Shipping Program'!$F$9,OFFSET(Y37,1,0))</t>
  </si>
  <si>
    <t>=IF(OFFSET(Z37,1,0)="",Y37+'Shipping Program'!$H$9,OFFSET(Z37,1,0))</t>
  </si>
  <si>
    <t>=IF(J38&lt;&gt;"",J38 - ('Shipping Program'!$D$9 + 'Shipping Program'!$F$9 + 'Shipping Program'!$H$9), "")</t>
  </si>
  <si>
    <t>=S38+'Shipping Program'!$H$9</t>
  </si>
  <si>
    <t>=IF(OFFSET(Y38,1,0)="",X38+'Shipping Program'!$F$9,OFFSET(Y38,1,0))</t>
  </si>
  <si>
    <t>=IF(OFFSET(Z38,1,0)="",Y38+'Shipping Program'!$H$9,OFFSET(Z38,1,0))</t>
  </si>
  <si>
    <t>=IF(J39&lt;&gt;"",J39 - ('Shipping Program'!$D$9 + 'Shipping Program'!$F$9 + 'Shipping Program'!$H$9), "")</t>
  </si>
  <si>
    <t>=S39+'Shipping Program'!$H$9</t>
  </si>
  <si>
    <t>=IF(OFFSET(Y39,1,0)="",X39+'Shipping Program'!$F$9,OFFSET(Y39,1,0))</t>
  </si>
  <si>
    <t>=IF(OFFSET(Z39,1,0)="",Y39+'Shipping Program'!$H$9,OFFSET(Z39,1,0))</t>
  </si>
  <si>
    <t>=IF(J41&lt;&gt;"",J41 - ('Shipping Program'!$D$9 + 'Shipping Program'!$F$9 + 'Shipping Program'!$H$9), "")</t>
  </si>
  <si>
    <t>=S41+'Shipping Program'!$H$9</t>
  </si>
  <si>
    <t>=IF(OFFSET(Y41,1,0)="",X41+'Shipping Program'!$F$9,OFFSET(Y41,1,0))</t>
  </si>
  <si>
    <t>=IF(OFFSET(Z41,1,0)="",Y41+'Shipping Program'!$H$9,OFFSET(Z41,1,0))</t>
  </si>
  <si>
    <t>=IF(J42&lt;&gt;"",J42 - ('Shipping Program'!$D$9 + 'Shipping Program'!$F$9 + 'Shipping Program'!$H$9), "")</t>
  </si>
  <si>
    <t>=S42+'Shipping Program'!$H$9</t>
  </si>
  <si>
    <t>=IF(OFFSET(Y42,1,0)="",X42+'Shipping Program'!$F$9,OFFSET(Y42,1,0))</t>
  </si>
  <si>
    <t>=IF(OFFSET(Z42,1,0)="",Y42+'Shipping Program'!$H$9,OFFSET(Z42,1,0))</t>
  </si>
  <si>
    <t>=IF(J43&lt;&gt;"",J43 - ('Shipping Program'!$D$9 + 'Shipping Program'!$F$9 + 'Shipping Program'!$H$9), "")</t>
  </si>
  <si>
    <t>=S43+'Shipping Program'!$H$9</t>
  </si>
  <si>
    <t>=IF(OFFSET(Y43,1,0)="",X43+'Shipping Program'!$F$9,OFFSET(Y43,1,0))</t>
  </si>
  <si>
    <t>=IF(OFFSET(Z43,1,0)="",Y43+'Shipping Program'!$H$9,OFFSET(Z43,1,0))</t>
  </si>
  <si>
    <t>=IF(J44&lt;&gt;"",J44 - ('Shipping Program'!$D$9 + 'Shipping Program'!$F$9 + 'Shipping Program'!$H$9), "")</t>
  </si>
  <si>
    <t>=S44+'Shipping Program'!$H$9</t>
  </si>
  <si>
    <t>=IF(OFFSET(Y44,1,0)="",X44+'Shipping Program'!$F$9,OFFSET(Y44,1,0))</t>
  </si>
  <si>
    <t>=IF(OFFSET(Z44,1,0)="",Y44+'Shipping Program'!$H$9,OFFSET(Z44,1,0))</t>
  </si>
  <si>
    <t>=IF(J45&lt;&gt;"",J45 - ('Shipping Program'!$D$9 + 'Shipping Program'!$F$9 + 'Shipping Program'!$H$9), "")</t>
  </si>
  <si>
    <t>=S45+'Shipping Program'!$H$9</t>
  </si>
  <si>
    <t>=IF(OFFSET(Y45,1,0)="",X45+'Shipping Program'!$F$9,OFFSET(Y45,1,0))</t>
  </si>
  <si>
    <t>=IF(OFFSET(Z45,1,0)="",Y45+'Shipping Program'!$H$9,OFFSET(Z45,1,0))</t>
  </si>
  <si>
    <t>=IF(J46&lt;&gt;"",J46 - ('Shipping Program'!$D$9 + 'Shipping Program'!$F$9 + 'Shipping Program'!$H$9), "")</t>
  </si>
  <si>
    <t>=S46+'Shipping Program'!$H$9</t>
  </si>
  <si>
    <t>=IF(OFFSET(Y46,1,0)="",X46+'Shipping Program'!$F$9,OFFSET(Y46,1,0))</t>
  </si>
  <si>
    <t>=IF(OFFSET(Z46,1,0)="",Y46+'Shipping Program'!$H$9,OFFSET(Z46,1,0))</t>
  </si>
  <si>
    <t>=IF(J47&lt;&gt;"",J47 - ('Shipping Program'!$D$9 + 'Shipping Program'!$F$9 + 'Shipping Program'!$H$9), "")</t>
  </si>
  <si>
    <t>=S47+'Shipping Program'!$H$9</t>
  </si>
  <si>
    <t>=IF(OFFSET(Y47,1,0)="",X47+'Shipping Program'!$F$9,OFFSET(Y47,1,0))</t>
  </si>
  <si>
    <t>=IF(OFFSET(Z47,1,0)="",Y47+'Shipping Program'!$H$9,OFFSET(Z47,1,0))</t>
  </si>
  <si>
    <t>=IF(J49&lt;&gt;"",J49 - ('Shipping Program'!$D$9 + 'Shipping Program'!$F$9 + 'Shipping Program'!$H$9), "")</t>
  </si>
  <si>
    <t>=S49+'Shipping Program'!$H$9</t>
  </si>
  <si>
    <t>=IF(OFFSET(Y49,1,0)="",X49+'Shipping Program'!$F$9,OFFSET(Y49,1,0))</t>
  </si>
  <si>
    <t>=IF(OFFSET(Z49,1,0)="",Y49+'Shipping Program'!$H$9,OFFSET(Z49,1,0))</t>
  </si>
  <si>
    <t>=IF(J50&lt;&gt;"",J50 - ('Shipping Program'!$D$9 + 'Shipping Program'!$F$9 + 'Shipping Program'!$H$9), "")</t>
  </si>
  <si>
    <t>=S50+'Shipping Program'!$H$9</t>
  </si>
  <si>
    <t>=IF(OFFSET(Y50,1,0)="",X50+'Shipping Program'!$F$9,OFFSET(Y50,1,0))</t>
  </si>
  <si>
    <t>=IF(OFFSET(Z50,1,0)="",Y50+'Shipping Program'!$H$9,OFFSET(Z50,1,0))</t>
  </si>
  <si>
    <t>=IF(J51&lt;&gt;"",J51 - ('Shipping Program'!$D$9 + 'Shipping Program'!$F$9 + 'Shipping Program'!$H$9), "")</t>
  </si>
  <si>
    <t>=S51+'Shipping Program'!$H$9</t>
  </si>
  <si>
    <t>=IF(OFFSET(Y51,1,0)="",X51+'Shipping Program'!$F$9,OFFSET(Y51,1,0))</t>
  </si>
  <si>
    <t>=IF(OFFSET(Z51,1,0)="",Y51+'Shipping Program'!$H$9,OFFSET(Z51,1,0))</t>
  </si>
  <si>
    <t>=IF(J52&lt;&gt;"",J52 - ('Shipping Program'!$D$9 + 'Shipping Program'!$F$9 + 'Shipping Program'!$H$9), "")</t>
  </si>
  <si>
    <t>=S52+'Shipping Program'!$H$9</t>
  </si>
  <si>
    <t>=IF(OFFSET(Y52,1,0)="",X52+'Shipping Program'!$F$9,OFFSET(Y52,1,0))</t>
  </si>
  <si>
    <t>=IF(OFFSET(Z52,1,0)="",Y52+'Shipping Program'!$H$9,OFFSET(Z52,1,0))</t>
  </si>
  <si>
    <t>=IF(J54&lt;&gt;"",J54 - ('Shipping Program'!$D$9 + 'Shipping Program'!$F$9 + 'Shipping Program'!$H$9), "")</t>
  </si>
  <si>
    <t>=S54+'Shipping Program'!$H$9</t>
  </si>
  <si>
    <t>=IF(OFFSET(Y54,1,0)="",X54+'Shipping Program'!$F$9,OFFSET(Y54,1,0))</t>
  </si>
  <si>
    <t>=IF(OFFSET(Z54,1,0)="",Y54+'Shipping Program'!$H$9,OFFSET(Z54,1,0))</t>
  </si>
  <si>
    <t>=IF(J55&lt;&gt;"",J55 - ('Shipping Program'!$D$9 + 'Shipping Program'!$F$9 + 'Shipping Program'!$H$9), "")</t>
  </si>
  <si>
    <t>=S55+'Shipping Program'!$H$9</t>
  </si>
  <si>
    <t>=IF(OFFSET(Y55,1,0)="",X55+'Shipping Program'!$F$9,OFFSET(Y55,1,0))</t>
  </si>
  <si>
    <t>=IF(OFFSET(Z55,1,0)="",Y55+'Shipping Program'!$H$9,OFFSET(Z55,1,0))</t>
  </si>
  <si>
    <t>=IF(J56&lt;&gt;"",J56 - ('Shipping Program'!$D$9 + 'Shipping Program'!$F$9 + 'Shipping Program'!$H$9), "")</t>
  </si>
  <si>
    <t>=S56+'Shipping Program'!$H$9</t>
  </si>
  <si>
    <t>=IF(OFFSET(Y56,1,0)="",X56+'Shipping Program'!$F$9,OFFSET(Y56,1,0))</t>
  </si>
  <si>
    <t>=IF(OFFSET(Z56,1,0)="",Y56+'Shipping Program'!$H$9,OFFSET(Z56,1,0))</t>
  </si>
  <si>
    <t>=IF(J57&lt;&gt;"",J57 - ('Shipping Program'!$D$9 + 'Shipping Program'!$F$9 + 'Shipping Program'!$H$9), "")</t>
  </si>
  <si>
    <t>=S57+'Shipping Program'!$H$9</t>
  </si>
  <si>
    <t>=IF(OFFSET(Y57,1,0)="",X57+'Shipping Program'!$F$9,OFFSET(Y57,1,0))</t>
  </si>
  <si>
    <t>=IF(OFFSET(Z57,1,0)="",Y57+'Shipping Program'!$H$9,OFFSET(Z57,1,0))</t>
  </si>
  <si>
    <t>=IF(J58&lt;&gt;"",J58 - ('Shipping Program'!$D$9 + 'Shipping Program'!$F$9 + 'Shipping Program'!$H$9), "")</t>
  </si>
  <si>
    <t>=S58+'Shipping Program'!$H$9</t>
  </si>
  <si>
    <t>=IF(OFFSET(Y58,1,0)="",X58+'Shipping Program'!$F$9,OFFSET(Y58,1,0))</t>
  </si>
  <si>
    <t>=IF(OFFSET(Z58,1,0)="",Y58+'Shipping Program'!$H$9,OFFSET(Z58,1,0))</t>
  </si>
  <si>
    <t>=IF(J59&lt;&gt;"",J59 - ('Shipping Program'!$D$9 + 'Shipping Program'!$F$9 + 'Shipping Program'!$H$9), "")</t>
  </si>
  <si>
    <t>=S59+'Shipping Program'!$H$9</t>
  </si>
  <si>
    <t>=IF(OFFSET(Y59,1,0)="",X59+'Shipping Program'!$F$9,OFFSET(Y59,1,0))</t>
  </si>
  <si>
    <t>=IF(OFFSET(Z59,1,0)="",Y59+'Shipping Program'!$H$9,OFFSET(Z59,1,0))</t>
  </si>
  <si>
    <t>=IF(J60&lt;&gt;"",J60 - ('Shipping Program'!$D$9 + 'Shipping Program'!$F$9 + 'Shipping Program'!$H$9), "")</t>
  </si>
  <si>
    <t>=S60+'Shipping Program'!$H$9</t>
  </si>
  <si>
    <t>=IF(OFFSET(Y60,1,0)="",X60+'Shipping Program'!$F$9,OFFSET(Y60,1,0))</t>
  </si>
  <si>
    <t>=IF(OFFSET(Z60,1,0)="",Y60+'Shipping Program'!$H$9,OFFSET(Z60,1,0))</t>
  </si>
  <si>
    <t>=IF(J61&lt;&gt;"",J61 - ('Shipping Program'!$D$9 + 'Shipping Program'!$F$9 + 'Shipping Program'!$H$9), "")</t>
  </si>
  <si>
    <t>=S61+'Shipping Program'!$H$9</t>
  </si>
  <si>
    <t>=IF(OFFSET(Y61,1,0)="",X61+'Shipping Program'!$F$9,OFFSET(Y61,1,0))</t>
  </si>
  <si>
    <t>=IF(OFFSET(Z61,1,0)="",Y61+'Shipping Program'!$H$9,OFFSET(Z61,1,0))</t>
  </si>
  <si>
    <t>=IF(J62&lt;&gt;"",J62 - ('Shipping Program'!$D$9 + 'Shipping Program'!$F$9 + 'Shipping Program'!$H$9), "")</t>
  </si>
  <si>
    <t>=S62+'Shipping Program'!$H$9</t>
  </si>
  <si>
    <t>=IF(OFFSET(Y62,1,0)="",X62+'Shipping Program'!$F$9,OFFSET(Y62,1,0))</t>
  </si>
  <si>
    <t>=IF(OFFSET(Z62,1,0)="",Y62+'Shipping Program'!$H$9,OFFSET(Z62,1,0))</t>
  </si>
  <si>
    <t>=IF(J63&lt;&gt;"",J63 - ('Shipping Program'!$D$9 + 'Shipping Program'!$F$9 + 'Shipping Program'!$H$9), "")</t>
  </si>
  <si>
    <t>=S63+'Shipping Program'!$H$9</t>
  </si>
  <si>
    <t>=IF(OFFSET(Y63,1,0)="",X63+'Shipping Program'!$F$9,OFFSET(Y63,1,0))</t>
  </si>
  <si>
    <t>=IF(OFFSET(Z63,1,0)="",Y63+'Shipping Program'!$H$9,OFFSET(Z63,1,0))</t>
  </si>
  <si>
    <t>=IF(J64&lt;&gt;"",J64 - ('Shipping Program'!$D$9 + 'Shipping Program'!$F$9 + 'Shipping Program'!$H$9), "")</t>
  </si>
  <si>
    <t>=S64+'Shipping Program'!$H$9</t>
  </si>
  <si>
    <t>=IF(OFFSET(Y64,1,0)="",X64+'Shipping Program'!$F$9,OFFSET(Y64,1,0))</t>
  </si>
  <si>
    <t>=IF(OFFSET(Z64,1,0)="",Y64+'Shipping Program'!$H$9,OFFSET(Z64,1,0))</t>
  </si>
  <si>
    <t>=IF(J65&lt;&gt;"",J65 - ('Shipping Program'!$D$9 + 'Shipping Program'!$F$9 + 'Shipping Program'!$H$9), "")</t>
  </si>
  <si>
    <t>=S65+'Shipping Program'!$H$9</t>
  </si>
  <si>
    <t>=IF(OFFSET(Y65,1,0)="",X65+'Shipping Program'!$F$9,OFFSET(Y65,1,0))</t>
  </si>
  <si>
    <t>=IF(OFFSET(Z65,1,0)="",Y65+'Shipping Program'!$H$9,OFFSET(Z65,1,0))</t>
  </si>
  <si>
    <t>=IF(J67&lt;&gt;"",J67 - ('Shipping Program'!$D$9 + 'Shipping Program'!$F$9 + 'Shipping Program'!$H$9), "")</t>
  </si>
  <si>
    <t>=S67+'Shipping Program'!$H$9</t>
  </si>
  <si>
    <t>=IF(OFFSET(Y67,1,0)="",X67+'Shipping Program'!$F$9,OFFSET(Y67,1,0))</t>
  </si>
  <si>
    <t>=IF(OFFSET(Z67,1,0)="",Y67+'Shipping Program'!$H$9,OFFSET(Z67,1,0))</t>
  </si>
  <si>
    <t>=IF(J69&lt;&gt;"",J69 - ('Shipping Program'!$D$9 + 'Shipping Program'!$F$9 + 'Shipping Program'!$H$9), "")</t>
  </si>
  <si>
    <t>=S69+'Shipping Program'!$H$9</t>
  </si>
  <si>
    <t>=IF(OFFSET(Y69,1,0)="",X69+'Shipping Program'!$F$9,OFFSET(Y69,1,0))</t>
  </si>
  <si>
    <t>=IF(OFFSET(Z69,1,0)="",Y69+'Shipping Program'!$H$9,OFFSET(Z69,1,0))</t>
  </si>
  <si>
    <t>=IF(J70&lt;&gt;"",J70 - ('Shipping Program'!$D$9 + 'Shipping Program'!$F$9 + 'Shipping Program'!$H$9), "")</t>
  </si>
  <si>
    <t>=S70+'Shipping Program'!$H$9</t>
  </si>
  <si>
    <t>=IF(OFFSET(Y70,1,0)="",X70+'Shipping Program'!$F$9,OFFSET(Y70,1,0))</t>
  </si>
  <si>
    <t>=IF(OFFSET(Z70,1,0)="",Y70+'Shipping Program'!$H$9,OFFSET(Z70,1,0))</t>
  </si>
  <si>
    <t>=IF(J71&lt;&gt;"",J71 - ('Shipping Program'!$D$9 + 'Shipping Program'!$F$9 + 'Shipping Program'!$H$9), "")</t>
  </si>
  <si>
    <t>=S71+'Shipping Program'!$H$9</t>
  </si>
  <si>
    <t>=IF(OFFSET(Y71,1,0)="",X71+'Shipping Program'!$F$9,OFFSET(Y71,1,0))</t>
  </si>
  <si>
    <t>=IF(OFFSET(Z71,1,0)="",Y71+'Shipping Program'!$H$9,OFFSET(Z71,1,0))</t>
  </si>
  <si>
    <t>=IF(J72&lt;&gt;"",J72 - ('Shipping Program'!$D$9 + 'Shipping Program'!$F$9 + 'Shipping Program'!$H$9), "")</t>
  </si>
  <si>
    <t>=S72+'Shipping Program'!$H$9</t>
  </si>
  <si>
    <t>=IF(OFFSET(Y72,1,0)="",X72+'Shipping Program'!$F$9,OFFSET(Y72,1,0))</t>
  </si>
  <si>
    <t>=IF(OFFSET(Z72,1,0)="",Y72+'Shipping Program'!$H$9,OFFSET(Z72,1,0))</t>
  </si>
  <si>
    <t>=IF(J73&lt;&gt;"",J73 - ('Shipping Program'!$D$9 + 'Shipping Program'!$F$9 + 'Shipping Program'!$H$9), "")</t>
  </si>
  <si>
    <t>=S73+'Shipping Program'!$H$9</t>
  </si>
  <si>
    <t>=IF(OFFSET(Y73,1,0)="",X73+'Shipping Program'!$F$9,OFFSET(Y73,1,0))</t>
  </si>
  <si>
    <t>=IF(OFFSET(Z73,1,0)="",Y73+'Shipping Program'!$H$9,OFFSET(Z73,1,0))</t>
  </si>
  <si>
    <t>=IF(J74&lt;&gt;"",J74 - ('Shipping Program'!$D$9 + 'Shipping Program'!$F$9 + 'Shipping Program'!$H$9), "")</t>
  </si>
  <si>
    <t>=S74+'Shipping Program'!$H$9</t>
  </si>
  <si>
    <t>=IF(OFFSET(Y74,1,0)="",X74+'Shipping Program'!$F$9,OFFSET(Y74,1,0))</t>
  </si>
  <si>
    <t>=IF(OFFSET(Z74,1,0)="",Y74+'Shipping Program'!$H$9,OFFSET(Z74,1,0))</t>
  </si>
  <si>
    <t>=IF(J75&lt;&gt;"",J75 - ('Shipping Program'!$D$9 + 'Shipping Program'!$F$9 + 'Shipping Program'!$H$9), "")</t>
  </si>
  <si>
    <t>=S75+'Shipping Program'!$H$9</t>
  </si>
  <si>
    <t>=IF(OFFSET(Y75,1,0)="",X75+'Shipping Program'!$F$9,OFFSET(Y75,1,0))</t>
  </si>
  <si>
    <t>=IF(OFFSET(Z75,1,0)="",Y75+'Shipping Program'!$H$9,OFFSET(Z75,1,0))</t>
  </si>
  <si>
    <t>=IF(J76&lt;&gt;"",J76 - ('Shipping Program'!$D$9 + 'Shipping Program'!$F$9 + 'Shipping Program'!$H$9), "")</t>
  </si>
  <si>
    <t>=S76+'Shipping Program'!$H$9</t>
  </si>
  <si>
    <t>=IF(OFFSET(Y76,1,0)="",X76+'Shipping Program'!$F$9,OFFSET(Y76,1,0))</t>
  </si>
  <si>
    <t>=IF(OFFSET(Z76,1,0)="",Y76+'Shipping Program'!$H$9,OFFSET(Z76,1,0))</t>
  </si>
  <si>
    <t>=IF(J77&lt;&gt;"",J77 - ('Shipping Program'!$D$9 + 'Shipping Program'!$F$9 + 'Shipping Program'!$H$9), "")</t>
  </si>
  <si>
    <t>=S77+'Shipping Program'!$H$9</t>
  </si>
  <si>
    <t>=IF(OFFSET(Y77,1,0)="",X77+'Shipping Program'!$F$9,OFFSET(Y77,1,0))</t>
  </si>
  <si>
    <t>=IF(OFFSET(Z77,1,0)="",Y77+'Shipping Program'!$H$9,OFFSET(Z77,1,0))</t>
  </si>
  <si>
    <t>=IF(J78&lt;&gt;"",J78 - ('Shipping Program'!$D$9 + 'Shipping Program'!$F$9 + 'Shipping Program'!$H$9), "")</t>
  </si>
  <si>
    <t>=S78+'Shipping Program'!$H$9</t>
  </si>
  <si>
    <t>=IF(OFFSET(Y78,1,0)="",X78+'Shipping Program'!$F$9,OFFSET(Y78,1,0))</t>
  </si>
  <si>
    <t>=IF(OFFSET(Z78,1,0)="",Y78+'Shipping Program'!$H$9,OFFSET(Z78,1,0))</t>
  </si>
  <si>
    <t>=IF(J81&lt;&gt;"",J81 - ('Shipping Program'!$D$9 + 'Shipping Program'!$F$9 + 'Shipping Program'!$H$9), "")</t>
  </si>
  <si>
    <t>=S81+'Shipping Program'!$H$9</t>
  </si>
  <si>
    <t>=IF(OFFSET(Y81,1,0)="",X81+'Shipping Program'!$F$9,OFFSET(Y81,1,0))</t>
  </si>
  <si>
    <t>=IF(OFFSET(Z81,1,0)="",Y81+'Shipping Program'!$H$9,OFFSET(Z81,1,0))</t>
  </si>
  <si>
    <t>=IF(J82&lt;&gt;"",J82 - ('Shipping Program'!$D$9 + 'Shipping Program'!$F$9 + 'Shipping Program'!$H$9), "")</t>
  </si>
  <si>
    <t>=S82+'Shipping Program'!$H$9</t>
  </si>
  <si>
    <t>=IF(OFFSET(Y82,1,0)="",X82+'Shipping Program'!$F$9,OFFSET(Y82,1,0))</t>
  </si>
  <si>
    <t>=IF(OFFSET(Z82,1,0)="",Y82+'Shipping Program'!$H$9,OFFSET(Z82,1,0))</t>
  </si>
  <si>
    <t>=IF(J84&lt;&gt;"",J84 - ('Shipping Program'!$D$9 + 'Shipping Program'!$F$9 + 'Shipping Program'!$H$9), "")</t>
  </si>
  <si>
    <t>=S84+'Shipping Program'!$H$9</t>
  </si>
  <si>
    <t>=IF(OFFSET(Y84,1,0)="",X84+'Shipping Program'!$F$9,OFFSET(Y84,1,0))</t>
  </si>
  <si>
    <t>=IF(OFFSET(Z84,1,0)="",Y84+'Shipping Program'!$H$9,OFFSET(Z84,1,0))</t>
  </si>
  <si>
    <t>=IF(J85&lt;&gt;"",J85 - ('Shipping Program'!$D$9 + 'Shipping Program'!$F$9 + 'Shipping Program'!$H$9), "")</t>
  </si>
  <si>
    <t>=S85+'Shipping Program'!$H$9</t>
  </si>
  <si>
    <t>=IF(OFFSET(Y85,1,0)="",X85+'Shipping Program'!$F$9,OFFSET(Y85,1,0))</t>
  </si>
  <si>
    <t>=IF(OFFSET(Z85,1,0)="",Y85+'Shipping Program'!$H$9,OFFSET(Z85,1,0))</t>
  </si>
  <si>
    <t>=IF(J86&lt;&gt;"",J86 - ('Shipping Program'!$D$9 + 'Shipping Program'!$F$9 + 'Shipping Program'!$H$9), "")</t>
  </si>
  <si>
    <t>=S86+'Shipping Program'!$H$9</t>
  </si>
  <si>
    <t>=IF(OFFSET(Y86,1,0)="",X86+'Shipping Program'!$F$9,OFFSET(Y86,1,0))</t>
  </si>
  <si>
    <t>=IF(OFFSET(Z86,1,0)="",Y86+'Shipping Program'!$H$9,OFFSET(Z86,1,0))</t>
  </si>
  <si>
    <t>=IF(J87&lt;&gt;"",J87 - ('Shipping Program'!$D$9 + 'Shipping Program'!$F$9 + 'Shipping Program'!$H$9), "")</t>
  </si>
  <si>
    <t>=S87+'Shipping Program'!$H$9</t>
  </si>
  <si>
    <t>=IF(OFFSET(Y87,1,0)="",X87+'Shipping Program'!$F$9,OFFSET(Y87,1,0))</t>
  </si>
  <si>
    <t>=IF(OFFSET(Z87,1,0)="",Y87+'Shipping Program'!$H$9,OFFSET(Z87,1,0))</t>
  </si>
  <si>
    <t>=IF(J88&lt;&gt;"",J88 - ('Shipping Program'!$D$9 + 'Shipping Program'!$F$9 + 'Shipping Program'!$H$9), "")</t>
  </si>
  <si>
    <t>=S88+'Shipping Program'!$H$9</t>
  </si>
  <si>
    <t>=IF(OFFSET(Y88,1,0)="",X88+'Shipping Program'!$F$9,OFFSET(Y88,1,0))</t>
  </si>
  <si>
    <t>=IF(OFFSET(Z88,1,0)="",Y88+'Shipping Program'!$H$9,OFFSET(Z88,1,0))</t>
  </si>
  <si>
    <t>=IF(J89&lt;&gt;"",J89 - ('Shipping Program'!$D$9 + 'Shipping Program'!$F$9 + 'Shipping Program'!$H$9), "")</t>
  </si>
  <si>
    <t>=S89+'Shipping Program'!$H$9</t>
  </si>
  <si>
    <t>=IF(OFFSET(Y89,1,0)="",X89+'Shipping Program'!$F$9,OFFSET(Y89,1,0))</t>
  </si>
  <si>
    <t>=IF(OFFSET(Z89,1,0)="",Y89+'Shipping Program'!$H$9,OFFSET(Z89,1,0))</t>
  </si>
  <si>
    <t>=IF(J90&lt;&gt;"",J90 - ('Shipping Program'!$D$9 + 'Shipping Program'!$F$9 + 'Shipping Program'!$H$9), "")</t>
  </si>
  <si>
    <t>=S90+'Shipping Program'!$H$9</t>
  </si>
  <si>
    <t>=IF(OFFSET(Y90,1,0)="",X90+'Shipping Program'!$F$9,OFFSET(Y90,1,0))</t>
  </si>
  <si>
    <t>=IF(OFFSET(Z90,1,0)="",Y90+'Shipping Program'!$H$9,OFFSET(Z90,1,0))</t>
  </si>
  <si>
    <t>=IF(J91&lt;&gt;"",J91 - ('Shipping Program'!$D$9 + 'Shipping Program'!$F$9 + 'Shipping Program'!$H$9), "")</t>
  </si>
  <si>
    <t>=S91+'Shipping Program'!$H$9</t>
  </si>
  <si>
    <t>=IF(OFFSET(Y91,1,0)="",X91+'Shipping Program'!$F$9,OFFSET(Y91,1,0))</t>
  </si>
  <si>
    <t>=IF(OFFSET(Z91,1,0)="",Y91+'Shipping Program'!$H$9,OFFSET(Z91,1,0))</t>
  </si>
  <si>
    <t>=IF(J92&lt;&gt;"",J92 - ('Shipping Program'!$D$9 + 'Shipping Program'!$F$9 + 'Shipping Program'!$H$9), "")</t>
  </si>
  <si>
    <t>=S92+'Shipping Program'!$H$9</t>
  </si>
  <si>
    <t>=IF(OFFSET(Y92,1,0)="",X92+'Shipping Program'!$F$9,OFFSET(Y92,1,0))</t>
  </si>
  <si>
    <t>=IF(OFFSET(Z92,1,0)="",Y92+'Shipping Program'!$H$9,OFFSET(Z92,1,0))</t>
  </si>
  <si>
    <t>=IF(J93&lt;&gt;"",J93 - ('Shipping Program'!$D$9 + 'Shipping Program'!$F$9 + 'Shipping Program'!$H$9), "")</t>
  </si>
  <si>
    <t>=S93+'Shipping Program'!$H$9</t>
  </si>
  <si>
    <t>=IF(OFFSET(Y93,1,0)="",X93+'Shipping Program'!$F$9,OFFSET(Y93,1,0))</t>
  </si>
  <si>
    <t>=IF(OFFSET(Z93,1,0)="",Y93+'Shipping Program'!$H$9,OFFSET(Z93,1,0))</t>
  </si>
  <si>
    <t>=IF(J94&lt;&gt;"",J94 - ('Shipping Program'!$D$9 + 'Shipping Program'!$F$9 + 'Shipping Program'!$H$9), "")</t>
  </si>
  <si>
    <t>=S94+'Shipping Program'!$H$9</t>
  </si>
  <si>
    <t>=IF(OFFSET(Y94,1,0)="",X94+'Shipping Program'!$F$9,OFFSET(Y94,1,0))</t>
  </si>
  <si>
    <t>=IF(OFFSET(Z94,1,0)="",Y94+'Shipping Program'!$H$9,OFFSET(Z94,1,0))</t>
  </si>
  <si>
    <t>=IF(J95&lt;&gt;"",J95 - ('Shipping Program'!$D$9 + 'Shipping Program'!$F$9 + 'Shipping Program'!$H$9), "")</t>
  </si>
  <si>
    <t>=S95+'Shipping Program'!$H$9</t>
  </si>
  <si>
    <t>=IF(OFFSET(Y95,1,0)="",X95+'Shipping Program'!$F$9,OFFSET(Y95,1,0))</t>
  </si>
  <si>
    <t>=IF(OFFSET(Z95,1,0)="",Y95+'Shipping Program'!$H$9,OFFSET(Z95,1,0))</t>
  </si>
  <si>
    <t>=IF(J98&lt;&gt;"",J98 - ('Shipping Program'!$D$9 + 'Shipping Program'!$F$9 + 'Shipping Program'!$H$9), "")</t>
  </si>
  <si>
    <t>=S98+'Shipping Program'!$H$9</t>
  </si>
  <si>
    <t>=IF(OFFSET(Y98,1,0)="",X98+'Shipping Program'!$F$9,OFFSET(Y98,1,0))</t>
  </si>
  <si>
    <t>=IF(OFFSET(Z98,1,0)="",Y98+'Shipping Program'!$H$9,OFFSET(Z98,1,0))</t>
  </si>
  <si>
    <t>=IF(J99&lt;&gt;"",J99 - ('Shipping Program'!$D$9 + 'Shipping Program'!$F$9 + 'Shipping Program'!$H$9), "")</t>
  </si>
  <si>
    <t>=S99+'Shipping Program'!$H$9</t>
  </si>
  <si>
    <t>=IF(OFFSET(Y99,1,0)="",X99+'Shipping Program'!$F$9,OFFSET(Y99,1,0))</t>
  </si>
  <si>
    <t>=IF(OFFSET(Z99,1,0)="",Y99+'Shipping Program'!$H$9,OFFSET(Z99,1,0))</t>
  </si>
  <si>
    <t>=IF(J100&lt;&gt;"",J100 - ('Shipping Program'!$D$9 + 'Shipping Program'!$F$9 + 'Shipping Program'!$H$9), "")</t>
  </si>
  <si>
    <t>=S100+'Shipping Program'!$H$9</t>
  </si>
  <si>
    <t>=IF(OFFSET(Y100,1,0)="",X100+'Shipping Program'!$F$9,OFFSET(Y100,1,0))</t>
  </si>
  <si>
    <t>=IF(OFFSET(Z100,1,0)="",Y100+'Shipping Program'!$H$9,OFFSET(Z100,1,0))</t>
  </si>
  <si>
    <t>=IF(J101&lt;&gt;"",J101 - ('Shipping Program'!$D$9 + 'Shipping Program'!$F$9 + 'Shipping Program'!$H$9), "")</t>
  </si>
  <si>
    <t>=S101+'Shipping Program'!$H$9</t>
  </si>
  <si>
    <t>=IF(OFFSET(Y101,1,0)="",X101+'Shipping Program'!$F$9,OFFSET(Y101,1,0))</t>
  </si>
  <si>
    <t>=IF(OFFSET(Z101,1,0)="",Y101+'Shipping Program'!$H$9,OFFSET(Z101,1,0))</t>
  </si>
  <si>
    <t>=IF(J102&lt;&gt;"",J102 - ('Shipping Program'!$D$9 + 'Shipping Program'!$F$9 + 'Shipping Program'!$H$9), "")</t>
  </si>
  <si>
    <t>=S102+'Shipping Program'!$H$9</t>
  </si>
  <si>
    <t>=IF(OFFSET(Y102,1,0)="",X102+'Shipping Program'!$F$9,OFFSET(Y102,1,0))</t>
  </si>
  <si>
    <t>=IF(OFFSET(Z102,1,0)="",Y102+'Shipping Program'!$H$9,OFFSET(Z102,1,0))</t>
  </si>
  <si>
    <t>=IF(J103&lt;&gt;"",J103 - ('Shipping Program'!$D$9 + 'Shipping Program'!$F$9 + 'Shipping Program'!$H$9), "")</t>
  </si>
  <si>
    <t>=S103+'Shipping Program'!$H$9</t>
  </si>
  <si>
    <t>=IF(OFFSET(Y103,1,0)="",X103+'Shipping Program'!$F$9,OFFSET(Y103,1,0))</t>
  </si>
  <si>
    <t>=IF(OFFSET(Z103,1,0)="",Y103+'Shipping Program'!$H$9,OFFSET(Z103,1,0))</t>
  </si>
  <si>
    <t>=IF(J104&lt;&gt;"",J104 - ('Shipping Program'!$D$9 + 'Shipping Program'!$F$9 + 'Shipping Program'!$H$9), "")</t>
  </si>
  <si>
    <t>=S104+'Shipping Program'!$H$9</t>
  </si>
  <si>
    <t>=IF(OFFSET(Y104,1,0)="",X104+'Shipping Program'!$F$9,OFFSET(Y104,1,0))</t>
  </si>
  <si>
    <t>=IF(OFFSET(Z104,1,0)="",Y104+'Shipping Program'!$H$9,OFFSET(Z104,1,0))</t>
  </si>
  <si>
    <t>=IF(J105&lt;&gt;"",J105 - ('Shipping Program'!$D$9 + 'Shipping Program'!$F$9 + 'Shipping Program'!$H$9), "")</t>
  </si>
  <si>
    <t>=S105+'Shipping Program'!$H$9</t>
  </si>
  <si>
    <t>=IF(OFFSET(Y105,1,0)="",X105+'Shipping Program'!$F$9,OFFSET(Y105,1,0))</t>
  </si>
  <si>
    <t>=IF(OFFSET(Z105,1,0)="",Y105+'Shipping Program'!$H$9,OFFSET(Z105,1,0))</t>
  </si>
  <si>
    <t>=IF(J106&lt;&gt;"",J106 - ('Shipping Program'!$D$9 + 'Shipping Program'!$F$9 + 'Shipping Program'!$H$9), "")</t>
  </si>
  <si>
    <t>=S106+'Shipping Program'!$H$9</t>
  </si>
  <si>
    <t>=IF(OFFSET(Y106,1,0)="",X106+'Shipping Program'!$F$9,OFFSET(Y106,1,0))</t>
  </si>
  <si>
    <t>=IF(OFFSET(Z106,1,0)="",Y106+'Shipping Program'!$H$9,OFFSET(Z106,1,0))</t>
  </si>
  <si>
    <t>=IF(J107&lt;&gt;"",J107 - ('Shipping Program'!$D$9 + 'Shipping Program'!$F$9 + 'Shipping Program'!$H$9), "")</t>
  </si>
  <si>
    <t>=S107+'Shipping Program'!$H$9</t>
  </si>
  <si>
    <t>=IF(OFFSET(Y107,1,0)="",X107+'Shipping Program'!$F$9,OFFSET(Y107,1,0))</t>
  </si>
  <si>
    <t>=IF(OFFSET(Z107,1,0)="",Y107+'Shipping Program'!$H$9,OFFSET(Z107,1,0))</t>
  </si>
  <si>
    <t>=IF(J108&lt;&gt;"",J108 - ('Shipping Program'!$D$9 + 'Shipping Program'!$F$9 + 'Shipping Program'!$H$9), "")</t>
  </si>
  <si>
    <t>=S108+'Shipping Program'!$H$9</t>
  </si>
  <si>
    <t>=IF(OFFSET(Y108,1,0)="",X108+'Shipping Program'!$F$9,OFFSET(Y108,1,0))</t>
  </si>
  <si>
    <t>=IF(OFFSET(Z108,1,0)="",Y108+'Shipping Program'!$H$9,OFFSET(Z108,1,0))</t>
  </si>
  <si>
    <t>=IF(J109&lt;&gt;"",J109 - ('Shipping Program'!$D$9 + 'Shipping Program'!$F$9 + 'Shipping Program'!$H$9), "")</t>
  </si>
  <si>
    <t>=S109+'Shipping Program'!$H$9</t>
  </si>
  <si>
    <t>=IF(OFFSET(Y109,1,0)="",X109+'Shipping Program'!$F$9,OFFSET(Y109,1,0))</t>
  </si>
  <si>
    <t>=IF(OFFSET(Z109,1,0)="",Y109+'Shipping Program'!$H$9,OFFSET(Z109,1,0))</t>
  </si>
  <si>
    <t>=IF(J110&lt;&gt;"",J110 - ('Shipping Program'!$D$9 + 'Shipping Program'!$F$9 + 'Shipping Program'!$H$9), "")</t>
  </si>
  <si>
    <t>=S110+'Shipping Program'!$H$9</t>
  </si>
  <si>
    <t>=IF(OFFSET(Y110,1,0)="",X110+'Shipping Program'!$F$9,OFFSET(Y110,1,0))</t>
  </si>
  <si>
    <t>=IF(OFFSET(Z110,1,0)="",Y110+'Shipping Program'!$H$9,OFFSET(Z110,1,0))</t>
  </si>
  <si>
    <t>=IF(J111&lt;&gt;"",J111 - ('Shipping Program'!$D$9 + 'Shipping Program'!$F$9 + 'Shipping Program'!$H$9), "")</t>
  </si>
  <si>
    <t>=S111+'Shipping Program'!$H$9</t>
  </si>
  <si>
    <t>=IF(OFFSET(Y111,1,0)="",X111+'Shipping Program'!$F$9,OFFSET(Y111,1,0))</t>
  </si>
  <si>
    <t>=IF(OFFSET(Z111,1,0)="",Y111+'Shipping Program'!$H$9,OFFSET(Z111,1,0))</t>
  </si>
  <si>
    <t>=IF(J112&lt;&gt;"",J112 - ('Shipping Program'!$D$9 + 'Shipping Program'!$F$9 + 'Shipping Program'!$H$9), "")</t>
  </si>
  <si>
    <t>=S112+'Shipping Program'!$H$9</t>
  </si>
  <si>
    <t>=IF(OFFSET(Y112,1,0)="",X112+'Shipping Program'!$F$9,OFFSET(Y112,1,0))</t>
  </si>
  <si>
    <t>=IF(OFFSET(Z112,1,0)="",Y112+'Shipping Program'!$H$9,OFFSET(Z112,1,0))</t>
  </si>
  <si>
    <t>=IF(J113&lt;&gt;"",J113 - ('Shipping Program'!$D$9 + 'Shipping Program'!$F$9 + 'Shipping Program'!$H$9), "")</t>
  </si>
  <si>
    <t>=S113+'Shipping Program'!$H$9</t>
  </si>
  <si>
    <t>=IF(OFFSET(Y113,1,0)="",X113+'Shipping Program'!$F$9,OFFSET(Y113,1,0))</t>
  </si>
  <si>
    <t>=IF(OFFSET(Z113,1,0)="",Y113+'Shipping Program'!$H$9,OFFSET(Z113,1,0))</t>
  </si>
  <si>
    <t>=IF(J115&lt;&gt;"",J115 - ('Shipping Program'!$D$9 + 'Shipping Program'!$F$9 + 'Shipping Program'!$H$9), "")</t>
  </si>
  <si>
    <t>=S115+'Shipping Program'!$H$9</t>
  </si>
  <si>
    <t>=IF(OFFSET(Y115,1,0)="",X115+'Shipping Program'!$F$9,OFFSET(Y115,1,0))</t>
  </si>
  <si>
    <t>=IF(OFFSET(Z115,1,0)="",Y115+'Shipping Program'!$H$9,OFFSET(Z115,1,0))</t>
  </si>
  <si>
    <t>=IF(J116&lt;&gt;"",J116 - ('Shipping Program'!$D$9 + 'Shipping Program'!$F$9 + 'Shipping Program'!$H$9), "")</t>
  </si>
  <si>
    <t>=S116+'Shipping Program'!$H$9</t>
  </si>
  <si>
    <t>=IF(OFFSET(Y116,1,0)="",X116+'Shipping Program'!$F$9,OFFSET(Y116,1,0))</t>
  </si>
  <si>
    <t>=IF(OFFSET(Z116,1,0)="",Y116+'Shipping Program'!$H$9,OFFSET(Z116,1,0))</t>
  </si>
  <si>
    <t>=IF(J117&lt;&gt;"",J117 - ('Shipping Program'!$D$9 + 'Shipping Program'!$F$9 + 'Shipping Program'!$H$9), "")</t>
  </si>
  <si>
    <t>=S117+'Shipping Program'!$H$9</t>
  </si>
  <si>
    <t>=IF(OFFSET(Y117,1,0)="",X117+'Shipping Program'!$F$9,OFFSET(Y117,1,0))</t>
  </si>
  <si>
    <t>=IF(OFFSET(Z117,1,0)="",Y117+'Shipping Program'!$H$9,OFFSET(Z117,1,0))</t>
  </si>
  <si>
    <t>=IF(J118&lt;&gt;"",J118 - ('Shipping Program'!$D$9 + 'Shipping Program'!$F$9 + 'Shipping Program'!$H$9), "")</t>
  </si>
  <si>
    <t>=S118+'Shipping Program'!$H$9</t>
  </si>
  <si>
    <t>=IF(OFFSET(Y118,1,0)="",X118+'Shipping Program'!$F$9,OFFSET(Y118,1,0))</t>
  </si>
  <si>
    <t>=IF(OFFSET(Z118,1,0)="",Y118+'Shipping Program'!$H$9,OFFSET(Z118,1,0))</t>
  </si>
  <si>
    <t>=IF(J119&lt;&gt;"",J119 - ('Shipping Program'!$D$9 + 'Shipping Program'!$F$9 + 'Shipping Program'!$H$9), "")</t>
  </si>
  <si>
    <t>=S119+'Shipping Program'!$H$9</t>
  </si>
  <si>
    <t>=IF(OFFSET(Y119,1,0)="",X119+'Shipping Program'!$F$9,OFFSET(Y119,1,0))</t>
  </si>
  <si>
    <t>=IF(OFFSET(Z119,1,0)="",Y119+'Shipping Program'!$H$9,OFFSET(Z119,1,0))</t>
  </si>
  <si>
    <t>=IF(J120&lt;&gt;"",J120 - ('Shipping Program'!$D$9 + 'Shipping Program'!$F$9 + 'Shipping Program'!$H$9), "")</t>
  </si>
  <si>
    <t>=S120+'Shipping Program'!$H$9</t>
  </si>
  <si>
    <t>=IF(OFFSET(Y120,1,0)="",X120+'Shipping Program'!$F$9,OFFSET(Y120,1,0))</t>
  </si>
  <si>
    <t>=IF(OFFSET(Z120,1,0)="",Y120+'Shipping Program'!$H$9,OFFSET(Z120,1,0))</t>
  </si>
  <si>
    <t>=IF(J121&lt;&gt;"",J121 - ('Shipping Program'!$D$9 + 'Shipping Program'!$F$9 + 'Shipping Program'!$H$9), "")</t>
  </si>
  <si>
    <t>=S121+'Shipping Program'!$H$9</t>
  </si>
  <si>
    <t>=IF(OFFSET(Y121,1,0)="",X121+'Shipping Program'!$F$9,OFFSET(Y121,1,0))</t>
  </si>
  <si>
    <t>=IF(OFFSET(Z121,1,0)="",Y121+'Shipping Program'!$H$9,OFFSET(Z121,1,0))</t>
  </si>
  <si>
    <t>=IF(J123&lt;&gt;"",J123 - ('Shipping Program'!$D$9 + 'Shipping Program'!$F$9 + 'Shipping Program'!$H$9), "")</t>
  </si>
  <si>
    <t>=S123+'Shipping Program'!$H$9</t>
  </si>
  <si>
    <t>=IF(OFFSET(Y123,1,0)="",X123+'Shipping Program'!$F$9,OFFSET(Y123,1,0))</t>
  </si>
  <si>
    <t>=IF(OFFSET(Z123,1,0)="",Y123+'Shipping Program'!$H$9,OFFSET(Z123,1,0))</t>
  </si>
  <si>
    <t>=IF(J124&lt;&gt;"",J124 - ('Shipping Program'!$D$9 + 'Shipping Program'!$F$9 + 'Shipping Program'!$H$9), "")</t>
  </si>
  <si>
    <t>=S124+'Shipping Program'!$H$9</t>
  </si>
  <si>
    <t>=IF(OFFSET(Y124,1,0)="",X124+'Shipping Program'!$F$9,OFFSET(Y124,1,0))</t>
  </si>
  <si>
    <t>=IF(OFFSET(Z124,1,0)="",Y124+'Shipping Program'!$H$9,OFFSET(Z124,1,0))</t>
  </si>
  <si>
    <t>=IF(J125&lt;&gt;"",J125 - ('Shipping Program'!$D$9 + 'Shipping Program'!$F$9 + 'Shipping Program'!$H$9), "")</t>
  </si>
  <si>
    <t>=S125+'Shipping Program'!$H$9</t>
  </si>
  <si>
    <t>=IF(OFFSET(Y125,1,0)="",X125+'Shipping Program'!$F$9,OFFSET(Y125,1,0))</t>
  </si>
  <si>
    <t>=IF(OFFSET(Z125,1,0)="",Y125+'Shipping Program'!$H$9,OFFSET(Z125,1,0))</t>
  </si>
  <si>
    <t>=IF(J126&lt;&gt;"",J126 - ('Shipping Program'!$D$9 + 'Shipping Program'!$F$9 + 'Shipping Program'!$H$9), "")</t>
  </si>
  <si>
    <t>=S126+'Shipping Program'!$H$9</t>
  </si>
  <si>
    <t>=IF(OFFSET(Y126,1,0)="",X126+'Shipping Program'!$F$9,OFFSET(Y126,1,0))</t>
  </si>
  <si>
    <t>=IF(OFFSET(Z126,1,0)="",Y126+'Shipping Program'!$H$9,OFFSET(Z126,1,0))</t>
  </si>
  <si>
    <t>=IF(J127&lt;&gt;"",J127 - ('Shipping Program'!$D$9 + 'Shipping Program'!$F$9 + 'Shipping Program'!$H$9), "")</t>
  </si>
  <si>
    <t>=S127+'Shipping Program'!$H$9</t>
  </si>
  <si>
    <t>=IF(OFFSET(Y127,1,0)="",X127+'Shipping Program'!$F$9,OFFSET(Y127,1,0))</t>
  </si>
  <si>
    <t>=IF(OFFSET(Z127,1,0)="",Y127+'Shipping Program'!$H$9,OFFSET(Z127,1,0))</t>
  </si>
  <si>
    <t>=IF(J128&lt;&gt;"",J128 - ('Shipping Program'!$D$9 + 'Shipping Program'!$F$9 + 'Shipping Program'!$H$9), "")</t>
  </si>
  <si>
    <t>=S128+'Shipping Program'!$H$9</t>
  </si>
  <si>
    <t>=IF(OFFSET(Y128,1,0)="",X128+'Shipping Program'!$F$9,OFFSET(Y128,1,0))</t>
  </si>
  <si>
    <t>=IF(OFFSET(Z128,1,0)="",Y128+'Shipping Program'!$H$9,OFFSET(Z128,1,0))</t>
  </si>
  <si>
    <t>=IF(J130&lt;&gt;"",J130 - ('Shipping Program'!$D$9 + 'Shipping Program'!$F$9 + 'Shipping Program'!$H$9), "")</t>
  </si>
  <si>
    <t>=S130+'Shipping Program'!$H$9</t>
  </si>
  <si>
    <t>=IF(OFFSET(Y130,1,0)="",X130+'Shipping Program'!$F$9,OFFSET(Y130,1,0))</t>
  </si>
  <si>
    <t>=IF(OFFSET(Z130,1,0)="",Y130+'Shipping Program'!$H$9,OFFSET(Z130,1,0))</t>
  </si>
  <si>
    <t>=IF(J131&lt;&gt;"",J131 - ('Shipping Program'!$D$9 + 'Shipping Program'!$F$9 + 'Shipping Program'!$H$9), "")</t>
  </si>
  <si>
    <t>=S131+'Shipping Program'!$H$9</t>
  </si>
  <si>
    <t>=IF(OFFSET(Y131,1,0)="",X131+'Shipping Program'!$F$9,OFFSET(Y131,1,0))</t>
  </si>
  <si>
    <t>=IF(OFFSET(Z131,1,0)="",Y131+'Shipping Program'!$H$9,OFFSET(Z131,1,0))</t>
  </si>
  <si>
    <t>=IF(J132&lt;&gt;"",J132 - ('Shipping Program'!$D$9 + 'Shipping Program'!$F$9 + 'Shipping Program'!$H$9), "")</t>
  </si>
  <si>
    <t>=S132+'Shipping Program'!$H$9</t>
  </si>
  <si>
    <t>=IF(OFFSET(Y132,1,0)="",X132+'Shipping Program'!$F$9,OFFSET(Y132,1,0))</t>
  </si>
  <si>
    <t>=IF(OFFSET(Z132,1,0)="",Y132+'Shipping Program'!$H$9,OFFSET(Z132,1,0))</t>
  </si>
  <si>
    <t>=IF(J133&lt;&gt;"",J133 - ('Shipping Program'!$D$9 + 'Shipping Program'!$F$9 + 'Shipping Program'!$H$9), "")</t>
  </si>
  <si>
    <t>=S133+'Shipping Program'!$H$9</t>
  </si>
  <si>
    <t>=IF(OFFSET(Y133,1,0)="",X133+'Shipping Program'!$F$9,OFFSET(Y133,1,0))</t>
  </si>
  <si>
    <t>=IF(OFFSET(Z133,1,0)="",Y133+'Shipping Program'!$H$9,OFFSET(Z133,1,0))</t>
  </si>
  <si>
    <t>=IF(J134&lt;&gt;"",J134 - ('Shipping Program'!$D$9 + 'Shipping Program'!$F$9 + 'Shipping Program'!$H$9), "")</t>
  </si>
  <si>
    <t>=S134+'Shipping Program'!$H$9</t>
  </si>
  <si>
    <t>=IF(OFFSET(Y134,1,0)="",X134+'Shipping Program'!$F$9,OFFSET(Y134,1,0))</t>
  </si>
  <si>
    <t>=IF(OFFSET(Z134,1,0)="",Y134+'Shipping Program'!$H$9,OFFSET(Z134,1,0))</t>
  </si>
  <si>
    <t>=IF(J135&lt;&gt;"",J135 - ('Shipping Program'!$D$9 + 'Shipping Program'!$F$9 + 'Shipping Program'!$H$9), "")</t>
  </si>
  <si>
    <t>=S135+'Shipping Program'!$H$9</t>
  </si>
  <si>
    <t>=IF(OFFSET(Y135,1,0)="",X135+'Shipping Program'!$F$9,OFFSET(Y135,1,0))</t>
  </si>
  <si>
    <t>=IF(OFFSET(Z135,1,0)="",Y135+'Shipping Program'!$H$9,OFFSET(Z135,1,0))</t>
  </si>
  <si>
    <t>=IF(J137&lt;&gt;"",J137 - ('Shipping Program'!$D$9 + 'Shipping Program'!$F$9 + 'Shipping Program'!$H$9), "")</t>
  </si>
  <si>
    <t>=S137+'Shipping Program'!$H$9</t>
  </si>
  <si>
    <t>=IF(OFFSET(Y137,1,0)="",X137+'Shipping Program'!$F$9,OFFSET(Y137,1,0))</t>
  </si>
  <si>
    <t>=IF(OFFSET(Z137,1,0)="",Y137+'Shipping Program'!$H$9,OFFSET(Z137,1,0))</t>
  </si>
  <si>
    <t>=IF(J138&lt;&gt;"",J138 - ('Shipping Program'!$D$9 + 'Shipping Program'!$F$9 + 'Shipping Program'!$H$9), "")</t>
  </si>
  <si>
    <t>=S138+'Shipping Program'!$H$9</t>
  </si>
  <si>
    <t>=IF(OFFSET(Y138,1,0)="",X138+'Shipping Program'!$F$9,OFFSET(Y138,1,0))</t>
  </si>
  <si>
    <t>=IF(OFFSET(Z138,1,0)="",Y138+'Shipping Program'!$H$9,OFFSET(Z138,1,0))</t>
  </si>
  <si>
    <t>=IF(J139&lt;&gt;"",J139 - ('Shipping Program'!$D$9 + 'Shipping Program'!$F$9 + 'Shipping Program'!$H$9), "")</t>
  </si>
  <si>
    <t>=S139+'Shipping Program'!$H$9</t>
  </si>
  <si>
    <t>=IF(OFFSET(Y139,1,0)="",X139+'Shipping Program'!$F$9,OFFSET(Y139,1,0))</t>
  </si>
  <si>
    <t>=IF(OFFSET(Z139,1,0)="",Y139+'Shipping Program'!$H$9,OFFSET(Z139,1,0))</t>
  </si>
  <si>
    <t>=IF(J140&lt;&gt;"",J140 - ('Shipping Program'!$D$9 + 'Shipping Program'!$F$9 + 'Shipping Program'!$H$9), "")</t>
  </si>
  <si>
    <t>=S140+'Shipping Program'!$H$9</t>
  </si>
  <si>
    <t>=IF(OFFSET(Y140,1,0)="",X140+'Shipping Program'!$F$9,OFFSET(Y140,1,0))</t>
  </si>
  <si>
    <t>=IF(OFFSET(Z140,1,0)="",Y140+'Shipping Program'!$H$9,OFFSET(Z140,1,0))</t>
  </si>
  <si>
    <t>=IF(J141&lt;&gt;"",J141 - ('Shipping Program'!$D$9 + 'Shipping Program'!$F$9 + 'Shipping Program'!$H$9), "")</t>
  </si>
  <si>
    <t>=S141+'Shipping Program'!$H$9</t>
  </si>
  <si>
    <t>=IF(OFFSET(Y141,1,0)="",X141+'Shipping Program'!$F$9,OFFSET(Y141,1,0))</t>
  </si>
  <si>
    <t>=IF(OFFSET(Z141,1,0)="",Y141+'Shipping Program'!$H$9,OFFSET(Z141,1,0))</t>
  </si>
  <si>
    <t>=IF(J142&lt;&gt;"",J142 - ('Shipping Program'!$D$9 + 'Shipping Program'!$F$9 + 'Shipping Program'!$H$9), "")</t>
  </si>
  <si>
    <t>=S142+'Shipping Program'!$H$9</t>
  </si>
  <si>
    <t>=IF(OFFSET(Y142,1,0)="",X142+'Shipping Program'!$F$9,OFFSET(Y142,1,0))</t>
  </si>
  <si>
    <t>=IF(OFFSET(Z142,1,0)="",Y142+'Shipping Program'!$H$9,OFFSET(Z142,1,0))</t>
  </si>
  <si>
    <t>=IF(J144&lt;&gt;"",J144 - ('Shipping Program'!$D$9 + 'Shipping Program'!$F$9 + 'Shipping Program'!$H$9), "")</t>
  </si>
  <si>
    <t>=S144+'Shipping Program'!$H$9</t>
  </si>
  <si>
    <t>=IF(OFFSET(Y144,1,0)="",X144+'Shipping Program'!$F$9,OFFSET(Y144,1,0))</t>
  </si>
  <si>
    <t>=IF(OFFSET(Z144,1,0)="",Y144+'Shipping Program'!$H$9,OFFSET(Z144,1,0))</t>
  </si>
  <si>
    <t>=IF(J145&lt;&gt;"",J145 - ('Shipping Program'!$D$9 + 'Shipping Program'!$F$9 + 'Shipping Program'!$H$9), "")</t>
  </si>
  <si>
    <t>=S145+'Shipping Program'!$H$9</t>
  </si>
  <si>
    <t>=IF(OFFSET(Y145,1,0)="",X145+'Shipping Program'!$F$9,OFFSET(Y145,1,0))</t>
  </si>
  <si>
    <t>=IF(OFFSET(Z145,1,0)="",Y145+'Shipping Program'!$H$9,OFFSET(Z145,1,0))</t>
  </si>
  <si>
    <t>=IF(J146&lt;&gt;"",J146 - ('Shipping Program'!$D$9 + 'Shipping Program'!$F$9 + 'Shipping Program'!$H$9), "")</t>
  </si>
  <si>
    <t>=S146+'Shipping Program'!$H$9</t>
  </si>
  <si>
    <t>=IF(OFFSET(Y146,1,0)="",X146+'Shipping Program'!$F$9,OFFSET(Y146,1,0))</t>
  </si>
  <si>
    <t>=IF(OFFSET(Z146,1,0)="",Y146+'Shipping Program'!$H$9,OFFSET(Z146,1,0))</t>
  </si>
  <si>
    <t>=IF(J148&lt;&gt;"",J148 - ('Shipping Program'!$D$9 + 'Shipping Program'!$F$9 + 'Shipping Program'!$H$9), "")</t>
  </si>
  <si>
    <t>=S148+'Shipping Program'!$H$9</t>
  </si>
  <si>
    <t>=IF(OFFSET(Y148,1,0)="",X148+'Shipping Program'!$F$9,OFFSET(Y148,1,0))</t>
  </si>
  <si>
    <t>=IF(OFFSET(Z148,1,0)="",Y148+'Shipping Program'!$H$9,OFFSET(Z148,1,0))</t>
  </si>
  <si>
    <t>=IF(J149&lt;&gt;"",J149 - ('Shipping Program'!$D$9 + 'Shipping Program'!$F$9 + 'Shipping Program'!$H$9), "")</t>
  </si>
  <si>
    <t>=S149+'Shipping Program'!$H$9</t>
  </si>
  <si>
    <t>=IF(OFFSET(Y149,1,0)="",X149+'Shipping Program'!$F$9,OFFSET(Y149,1,0))</t>
  </si>
  <si>
    <t>=IF(OFFSET(Z149,1,0)="",Y149+'Shipping Program'!$H$9,OFFSET(Z149,1,0))</t>
  </si>
  <si>
    <t>=IF(J151&lt;&gt;"",J151 - ('Shipping Program'!$D$9 + 'Shipping Program'!$F$9 + 'Shipping Program'!$H$9), "")</t>
  </si>
  <si>
    <t>=S151+'Shipping Program'!$H$9</t>
  </si>
  <si>
    <t>=IF(OFFSET(Y151,1,0)="",X151+'Shipping Program'!$F$9,OFFSET(Y151,1,0))</t>
  </si>
  <si>
    <t>=IF(OFFSET(Z151,1,0)="",Y151+'Shipping Program'!$H$9,OFFSET(Z151,1,0))</t>
  </si>
  <si>
    <t>=IF(J152&lt;&gt;"",J152 - ('Shipping Program'!$D$9 + 'Shipping Program'!$F$9 + 'Shipping Program'!$H$9), "")</t>
  </si>
  <si>
    <t>=S152+'Shipping Program'!$H$9</t>
  </si>
  <si>
    <t>=IF(OFFSET(Y152,1,0)="",X152+'Shipping Program'!$F$9,OFFSET(Y152,1,0))</t>
  </si>
  <si>
    <t>=IF(OFFSET(Z152,1,0)="",Y152+'Shipping Program'!$H$9,OFFSET(Z152,1,0))</t>
  </si>
  <si>
    <t>=IF(J153&lt;&gt;"",J153 - ('Shipping Program'!$D$9 + 'Shipping Program'!$F$9 + 'Shipping Program'!$H$9), "")</t>
  </si>
  <si>
    <t>=S153+'Shipping Program'!$H$9</t>
  </si>
  <si>
    <t>=IF(OFFSET(Y153,1,0)="",X153+'Shipping Program'!$F$9,OFFSET(Y153,1,0))</t>
  </si>
  <si>
    <t>=IF(OFFSET(Z153,1,0)="",Y153+'Shipping Program'!$H$9,OFFSET(Z153,1,0))</t>
  </si>
  <si>
    <t>=IF(J155&lt;&gt;"",J155 - ('Shipping Program'!$D$9 + 'Shipping Program'!$F$9 + 'Shipping Program'!$H$9), "")</t>
  </si>
  <si>
    <t>=S155+'Shipping Program'!$H$9</t>
  </si>
  <si>
    <t>=IF(OFFSET(Y155,1,0)="",X155+'Shipping Program'!$F$9,OFFSET(Y155,1,0))</t>
  </si>
  <si>
    <t>=IF(OFFSET(Z155,1,0)="",Y155+'Shipping Program'!$H$9,OFFSET(Z155,1,0))</t>
  </si>
  <si>
    <t>=IF(J156&lt;&gt;"",J156 - ('Shipping Program'!$D$9 + 'Shipping Program'!$F$9 + 'Shipping Program'!$H$9), "")</t>
  </si>
  <si>
    <t>=S156+'Shipping Program'!$H$9</t>
  </si>
  <si>
    <t>=IF(OFFSET(Y156,1,0)="",X156+'Shipping Program'!$F$9,OFFSET(Y156,1,0))</t>
  </si>
  <si>
    <t>=IF(OFFSET(Z156,1,0)="",Y156+'Shipping Program'!$H$9,OFFSET(Z156,1,0))</t>
  </si>
  <si>
    <t>=IF(J158&lt;&gt;"",J158 - ('Shipping Program'!$D$9 + 'Shipping Program'!$F$9 + 'Shipping Program'!$H$9), "")</t>
  </si>
  <si>
    <t>=S158+'Shipping Program'!$H$9</t>
  </si>
  <si>
    <t>=IF(OFFSET(Y158,1,0)="",X158+'Shipping Program'!$F$9,OFFSET(Y158,1,0))</t>
  </si>
  <si>
    <t>=IF(OFFSET(Z158,1,0)="",Y158+'Shipping Program'!$H$9,OFFSET(Z158,1,0))</t>
  </si>
  <si>
    <t>=IF(J159&lt;&gt;"",J159 - ('Shipping Program'!$D$9 + 'Shipping Program'!$F$9 + 'Shipping Program'!$H$9), "")</t>
  </si>
  <si>
    <t>=S159+'Shipping Program'!$H$9</t>
  </si>
  <si>
    <t>=IF(OFFSET(Y159,1,0)="",X159+'Shipping Program'!$F$9,OFFSET(Y159,1,0))</t>
  </si>
  <si>
    <t>=IF(OFFSET(Z159,1,0)="",Y159+'Shipping Program'!$H$9,OFFSET(Z159,1,0))</t>
  </si>
  <si>
    <t>=IF(J160&lt;&gt;"",J160 - ('Shipping Program'!$D$9 + 'Shipping Program'!$F$9 + 'Shipping Program'!$H$9), "")</t>
  </si>
  <si>
    <t>=S160+'Shipping Program'!$H$9</t>
  </si>
  <si>
    <t>=IF(OFFSET(Y160,1,0)="",X160+'Shipping Program'!$F$9,OFFSET(Y160,1,0))</t>
  </si>
  <si>
    <t>=IF(OFFSET(Z160,1,0)="",Y160+'Shipping Program'!$H$9,OFFSET(Z160,1,0))</t>
  </si>
  <si>
    <t>=IF(J161&lt;&gt;"",J161 - ('Shipping Program'!$D$9 + 'Shipping Program'!$F$9 + 'Shipping Program'!$H$9), "")</t>
  </si>
  <si>
    <t>=S161+'Shipping Program'!$H$9</t>
  </si>
  <si>
    <t>=IF(OFFSET(Y161,1,0)="",X161+'Shipping Program'!$F$9,OFFSET(Y161,1,0))</t>
  </si>
  <si>
    <t>=IF(OFFSET(Z161,1,0)="",Y161+'Shipping Program'!$H$9,OFFSET(Z161,1,0))</t>
  </si>
  <si>
    <t>=IF(J162&lt;&gt;"",J162 - ('Shipping Program'!$D$9 + 'Shipping Program'!$F$9 + 'Shipping Program'!$H$9), "")</t>
  </si>
  <si>
    <t>=S162+'Shipping Program'!$H$9</t>
  </si>
  <si>
    <t>=IF(OFFSET(Y162,1,0)="",X162+'Shipping Program'!$F$9,OFFSET(Y162,1,0))</t>
  </si>
  <si>
    <t>=IF(OFFSET(Z162,1,0)="",Y162+'Shipping Program'!$H$9,OFFSET(Z162,1,0))</t>
  </si>
  <si>
    <t>=IF(J163&lt;&gt;"",J163 - ('Shipping Program'!$D$9 + 'Shipping Program'!$F$9 + 'Shipping Program'!$H$9), "")</t>
  </si>
  <si>
    <t>=S163+'Shipping Program'!$H$9</t>
  </si>
  <si>
    <t>=IF(OFFSET(Y163,1,0)="",X163+'Shipping Program'!$F$9,OFFSET(Y163,1,0))</t>
  </si>
  <si>
    <t>=IF(OFFSET(Z163,1,0)="",Y163+'Shipping Program'!$H$9,OFFSET(Z163,1,0))</t>
  </si>
  <si>
    <t>=IF(J165&lt;&gt;"",J165 - ('Shipping Program'!$D$9 + 'Shipping Program'!$F$9 + 'Shipping Program'!$H$9), "")</t>
  </si>
  <si>
    <t>=S165+'Shipping Program'!$H$9</t>
  </si>
  <si>
    <t>=IF(OFFSET(Y165,1,0)="",X165+'Shipping Program'!$F$9,OFFSET(Y165,1,0))</t>
  </si>
  <si>
    <t>=IF(OFFSET(Z165,1,0)="",Y165+'Shipping Program'!$H$9,OFFSET(Z165,1,0))</t>
  </si>
  <si>
    <t>=IF(J166&lt;&gt;"",J166 - ('Shipping Program'!$D$9 + 'Shipping Program'!$F$9 + 'Shipping Program'!$H$9), "")</t>
  </si>
  <si>
    <t>=S166+'Shipping Program'!$H$9</t>
  </si>
  <si>
    <t>=IF(OFFSET(Y166,1,0)="",X166+'Shipping Program'!$F$9,OFFSET(Y166,1,0))</t>
  </si>
  <si>
    <t>=IF(OFFSET(Z166,1,0)="",Y166+'Shipping Program'!$H$9,OFFSET(Z166,1,0))</t>
  </si>
  <si>
    <t>=IF(J167&lt;&gt;"",J167 - ('Shipping Program'!$D$9 + 'Shipping Program'!$F$9 + 'Shipping Program'!$H$9), "")</t>
  </si>
  <si>
    <t>=S167+'Shipping Program'!$H$9</t>
  </si>
  <si>
    <t>=IF(OFFSET(Y167,1,0)="",X167+'Shipping Program'!$F$9,OFFSET(Y167,1,0))</t>
  </si>
  <si>
    <t>=IF(OFFSET(Z167,1,0)="",Y167+'Shipping Program'!$H$9,OFFSET(Z167,1,0))</t>
  </si>
  <si>
    <t>=IF(J168&lt;&gt;"",J168 - ('Shipping Program'!$D$9 + 'Shipping Program'!$F$9 + 'Shipping Program'!$H$9), "")</t>
  </si>
  <si>
    <t>=S168+'Shipping Program'!$H$9</t>
  </si>
  <si>
    <t>=IF(OFFSET(Y168,1,0)="",X168+'Shipping Program'!$F$9,OFFSET(Y168,1,0))</t>
  </si>
  <si>
    <t>=IF(OFFSET(Z168,1,0)="",Y168+'Shipping Program'!$H$9,OFFSET(Z168,1,0))</t>
  </si>
  <si>
    <t>=IF(J169&lt;&gt;"",J169 - ('Shipping Program'!$D$9 + 'Shipping Program'!$F$9 + 'Shipping Program'!$H$9), "")</t>
  </si>
  <si>
    <t>=S169+'Shipping Program'!$H$9</t>
  </si>
  <si>
    <t>=IF(OFFSET(Y169,1,0)="",X169+'Shipping Program'!$F$9,OFFSET(Y169,1,0))</t>
  </si>
  <si>
    <t>=IF(OFFSET(Z169,1,0)="",Y169+'Shipping Program'!$H$9,OFFSET(Z169,1,0))</t>
  </si>
  <si>
    <t>=IF(J172&lt;&gt;"",J172 - ('Shipping Program'!$D$9 + 'Shipping Program'!$F$9 + 'Shipping Program'!$H$9), "")</t>
  </si>
  <si>
    <t>=S172+'Shipping Program'!$H$9</t>
  </si>
  <si>
    <t>=IF(OFFSET(Y172,1,0)="",X172+'Shipping Program'!$F$9,OFFSET(Y172,1,0))</t>
  </si>
  <si>
    <t>=IF(OFFSET(Z172,1,0)="",Y172+'Shipping Program'!$H$9,OFFSET(Z172,1,0))</t>
  </si>
  <si>
    <t>=IF(J173&lt;&gt;"",J173 - ('Shipping Program'!$D$9 + 'Shipping Program'!$F$9 + 'Shipping Program'!$H$9), "")</t>
  </si>
  <si>
    <t>=S173+'Shipping Program'!$H$9</t>
  </si>
  <si>
    <t>=IF(OFFSET(Y173,1,0)="",X173+'Shipping Program'!$F$9,OFFSET(Y173,1,0))</t>
  </si>
  <si>
    <t>=IF(OFFSET(Z173,1,0)="",Y173+'Shipping Program'!$H$9,OFFSET(Z173,1,0))</t>
  </si>
  <si>
    <t>=IF(J174&lt;&gt;"",J174 - ('Shipping Program'!$D$9 + 'Shipping Program'!$F$9 + 'Shipping Program'!$H$9), "")</t>
  </si>
  <si>
    <t>=S174+'Shipping Program'!$H$9</t>
  </si>
  <si>
    <t>=IF(OFFSET(Y174,1,0)="",X174+'Shipping Program'!$F$9,OFFSET(Y174,1,0))</t>
  </si>
  <si>
    <t>=IF(OFFSET(Z174,1,0)="",Y174+'Shipping Program'!$H$9,OFFSET(Z174,1,0))</t>
  </si>
  <si>
    <t>=IF(J175&lt;&gt;"",J175 - ('Shipping Program'!$D$9 + 'Shipping Program'!$F$9 + 'Shipping Program'!$H$9), "")</t>
  </si>
  <si>
    <t>=S175+'Shipping Program'!$H$9</t>
  </si>
  <si>
    <t>=IF(OFFSET(Y175,1,0)="",X175+'Shipping Program'!$F$9,OFFSET(Y175,1,0))</t>
  </si>
  <si>
    <t>=IF(OFFSET(Z175,1,0)="",Y175+'Shipping Program'!$H$9,OFFSET(Z175,1,0))</t>
  </si>
  <si>
    <t>=IF(J176&lt;&gt;"",J176 - ('Shipping Program'!$D$9 + 'Shipping Program'!$F$9 + 'Shipping Program'!$H$9), "")</t>
  </si>
  <si>
    <t>=S176+'Shipping Program'!$H$9</t>
  </si>
  <si>
    <t>=IF(OFFSET(Y176,1,0)="",X176+'Shipping Program'!$F$9,OFFSET(Y176,1,0))</t>
  </si>
  <si>
    <t>=IF(OFFSET(Z176,1,0)="",Y176+'Shipping Program'!$H$9,OFFSET(Z176,1,0))</t>
  </si>
  <si>
    <t>=IF(J177&lt;&gt;"",J177 - ('Shipping Program'!$D$9 + 'Shipping Program'!$F$9 + 'Shipping Program'!$H$9), "")</t>
  </si>
  <si>
    <t>=S177+'Shipping Program'!$H$9</t>
  </si>
  <si>
    <t>=IF(OFFSET(Y177,1,0)="",X177+'Shipping Program'!$F$9,OFFSET(Y177,1,0))</t>
  </si>
  <si>
    <t>=IF(OFFSET(Z177,1,0)="",Y177+'Shipping Program'!$H$9,OFFSET(Z177,1,0))</t>
  </si>
  <si>
    <t>=IF(J178&lt;&gt;"",J178 - ('Shipping Program'!$D$9 + 'Shipping Program'!$F$9 + 'Shipping Program'!$H$9), "")</t>
  </si>
  <si>
    <t>=S178+'Shipping Program'!$H$9</t>
  </si>
  <si>
    <t>=IF(OFFSET(Y178,1,0)="",X178+'Shipping Program'!$F$9,OFFSET(Y178,1,0))</t>
  </si>
  <si>
    <t>=IF(OFFSET(Z178,1,0)="",Y178+'Shipping Program'!$H$9,OFFSET(Z178,1,0))</t>
  </si>
  <si>
    <t>=IF(J179&lt;&gt;"",J179 - ('Shipping Program'!$D$9 + 'Shipping Program'!$F$9 + 'Shipping Program'!$H$9), "")</t>
  </si>
  <si>
    <t>=S179+'Shipping Program'!$H$9</t>
  </si>
  <si>
    <t>=IF(OFFSET(Y179,1,0)="",X179+'Shipping Program'!$F$9,OFFSET(Y179,1,0))</t>
  </si>
  <si>
    <t>=IF(OFFSET(Z179,1,0)="",Y179+'Shipping Program'!$H$9,OFFSET(Z179,1,0))</t>
  </si>
  <si>
    <t>=IF(J180&lt;&gt;"",J180 - ('Shipping Program'!$D$9 + 'Shipping Program'!$F$9 + 'Shipping Program'!$H$9), "")</t>
  </si>
  <si>
    <t>=S180+'Shipping Program'!$H$9</t>
  </si>
  <si>
    <t>=IF(OFFSET(Y180,1,0)="",X180+'Shipping Program'!$F$9,OFFSET(Y180,1,0))</t>
  </si>
  <si>
    <t>=IF(OFFSET(Z180,1,0)="",Y180+'Shipping Program'!$H$9,OFFSET(Z180,1,0))</t>
  </si>
  <si>
    <t>=IF(J181&lt;&gt;"",J181 - ('Shipping Program'!$D$9 + 'Shipping Program'!$F$9 + 'Shipping Program'!$H$9), "")</t>
  </si>
  <si>
    <t>=S181+'Shipping Program'!$H$9</t>
  </si>
  <si>
    <t>=IF(OFFSET(Y181,1,0)="",X181+'Shipping Program'!$F$9,OFFSET(Y181,1,0))</t>
  </si>
  <si>
    <t>=IF(OFFSET(Z181,1,0)="",Y181+'Shipping Program'!$H$9,OFFSET(Z181,1,0))</t>
  </si>
  <si>
    <t>=IF(J182&lt;&gt;"",J182 - ('Shipping Program'!$D$9 + 'Shipping Program'!$F$9 + 'Shipping Program'!$H$9), "")</t>
  </si>
  <si>
    <t>=S182+'Shipping Program'!$H$9</t>
  </si>
  <si>
    <t>=IF(OFFSET(Y182,1,0)="",X182+'Shipping Program'!$F$9,OFFSET(Y182,1,0))</t>
  </si>
  <si>
    <t>=IF(OFFSET(Z182,1,0)="",Y182+'Shipping Program'!$H$9,OFFSET(Z182,1,0))</t>
  </si>
  <si>
    <t>=IF(J184&lt;&gt;"",J184 - ('Shipping Program'!$D$9 + 'Shipping Program'!$F$9 + 'Shipping Program'!$H$9), "")</t>
  </si>
  <si>
    <t>=S184+'Shipping Program'!$H$9</t>
  </si>
  <si>
    <t>=IF(OFFSET(Y184,1,0)="",X184+'Shipping Program'!$F$9,OFFSET(Y184,1,0))</t>
  </si>
  <si>
    <t>=IF(OFFSET(Z184,1,0)="",Y184+'Shipping Program'!$H$9,OFFSET(Z184,1,0))</t>
  </si>
  <si>
    <t>=IF(J185&lt;&gt;"",J185 - ('Shipping Program'!$D$9 + 'Shipping Program'!$F$9 + 'Shipping Program'!$H$9), "")</t>
  </si>
  <si>
    <t>=S185+'Shipping Program'!$H$9</t>
  </si>
  <si>
    <t>=IF(OFFSET(Y185,1,0)="",X185+'Shipping Program'!$F$9,OFFSET(Y185,1,0))</t>
  </si>
  <si>
    <t>=IF(OFFSET(Z185,1,0)="",Y185+'Shipping Program'!$H$9,OFFSET(Z185,1,0))</t>
  </si>
  <si>
    <t>=IF(J186&lt;&gt;"",J186 - ('Shipping Program'!$D$9 + 'Shipping Program'!$F$9 + 'Shipping Program'!$H$9), "")</t>
  </si>
  <si>
    <t>=S186+'Shipping Program'!$H$9</t>
  </si>
  <si>
    <t>=IF(OFFSET(Y186,1,0)="",X186+'Shipping Program'!$F$9,OFFSET(Y186,1,0))</t>
  </si>
  <si>
    <t>=IF(OFFSET(Z186,1,0)="",Y186+'Shipping Program'!$H$9,OFFSET(Z186,1,0))</t>
  </si>
  <si>
    <t>=IF(J187&lt;&gt;"",J187 - ('Shipping Program'!$D$9 + 'Shipping Program'!$F$9 + 'Shipping Program'!$H$9), "")</t>
  </si>
  <si>
    <t>=S187+'Shipping Program'!$H$9</t>
  </si>
  <si>
    <t>=IF(OFFSET(Y187,1,0)="",X187+'Shipping Program'!$F$9,OFFSET(Y187,1,0))</t>
  </si>
  <si>
    <t>=IF(OFFSET(Z187,1,0)="",Y187+'Shipping Program'!$H$9,OFFSET(Z187,1,0))</t>
  </si>
  <si>
    <t>=IF(J188&lt;&gt;"",J188 - ('Shipping Program'!$D$9 + 'Shipping Program'!$F$9 + 'Shipping Program'!$H$9), "")</t>
  </si>
  <si>
    <t>=S188+'Shipping Program'!$H$9</t>
  </si>
  <si>
    <t>=IF(OFFSET(Y188,1,0)="",X188+'Shipping Program'!$F$9,OFFSET(Y188,1,0))</t>
  </si>
  <si>
    <t>=IF(OFFSET(Z188,1,0)="",Y188+'Shipping Program'!$H$9,OFFSET(Z188,1,0))</t>
  </si>
  <si>
    <t>=IF(J190&lt;&gt;"",J190 - ('Shipping Program'!$D$9 + 'Shipping Program'!$F$9 + 'Shipping Program'!$H$9), "")</t>
  </si>
  <si>
    <t>=S190+'Shipping Program'!$H$9</t>
  </si>
  <si>
    <t>=IF(OFFSET(Y190,1,0)="",X190+'Shipping Program'!$F$9,OFFSET(Y190,1,0))</t>
  </si>
  <si>
    <t>=IF(OFFSET(Z190,1,0)="",Y190+'Shipping Program'!$H$9,OFFSET(Z190,1,0))</t>
  </si>
  <si>
    <t>=IF(J191&lt;&gt;"",J191 - ('Shipping Program'!$D$9 + 'Shipping Program'!$F$9 + 'Shipping Program'!$H$9), "")</t>
  </si>
  <si>
    <t>=S191+'Shipping Program'!$H$9</t>
  </si>
  <si>
    <t>=IF(OFFSET(Y191,1,0)="",X191+'Shipping Program'!$F$9,OFFSET(Y191,1,0))</t>
  </si>
  <si>
    <t>=IF(OFFSET(Z191,1,0)="",Y191+'Shipping Program'!$H$9,OFFSET(Z191,1,0))</t>
  </si>
  <si>
    <t>=IF(J193&lt;&gt;"",J193 - ('Shipping Program'!$D$9 + 'Shipping Program'!$F$9 + 'Shipping Program'!$H$9), "")</t>
  </si>
  <si>
    <t>=S193+'Shipping Program'!$H$9</t>
  </si>
  <si>
    <t>=IF(OFFSET(Y193,1,0)="",X193+'Shipping Program'!$F$9,OFFSET(Y193,1,0))</t>
  </si>
  <si>
    <t>=IF(OFFSET(Z193,1,0)="",Y193+'Shipping Program'!$H$9,OFFSET(Z193,1,0))</t>
  </si>
  <si>
    <t>=IF(J194&lt;&gt;"",J194 - ('Shipping Program'!$D$9 + 'Shipping Program'!$F$9 + 'Shipping Program'!$H$9), "")</t>
  </si>
  <si>
    <t>=S194+'Shipping Program'!$H$9</t>
  </si>
  <si>
    <t>=IF(OFFSET(Y194,1,0)="",X194+'Shipping Program'!$F$9,OFFSET(Y194,1,0))</t>
  </si>
  <si>
    <t>=IF(OFFSET(Z194,1,0)="",Y194+'Shipping Program'!$H$9,OFFSET(Z194,1,0))</t>
  </si>
  <si>
    <t>=IF(J196&lt;&gt;"",J196 - ('Shipping Program'!$D$9 + 'Shipping Program'!$F$9 + 'Shipping Program'!$H$9), "")</t>
  </si>
  <si>
    <t>=S196+'Shipping Program'!$H$9</t>
  </si>
  <si>
    <t>=IF(OFFSET(Y196,1,0)="",X196+'Shipping Program'!$F$9,OFFSET(Y196,1,0))</t>
  </si>
  <si>
    <t>=IF(OFFSET(Z196,1,0)="",Y196+'Shipping Program'!$H$9,OFFSET(Z196,1,0))</t>
  </si>
  <si>
    <t>=IF(J197&lt;&gt;"",J197 - ('Shipping Program'!$D$9 + 'Shipping Program'!$F$9 + 'Shipping Program'!$H$9), "")</t>
  </si>
  <si>
    <t>=S197+'Shipping Program'!$H$9</t>
  </si>
  <si>
    <t>=IF(OFFSET(Y197,1,0)="",X197+'Shipping Program'!$F$9,OFFSET(Y197,1,0))</t>
  </si>
  <si>
    <t>=IF(OFFSET(Z197,1,0)="",Y197+'Shipping Program'!$H$9,OFFSET(Z197,1,0))</t>
  </si>
  <si>
    <t>=IF(J198&lt;&gt;"",J198 - ('Shipping Program'!$D$9 + 'Shipping Program'!$F$9 + 'Shipping Program'!$H$9), "")</t>
  </si>
  <si>
    <t>=S198+'Shipping Program'!$H$9</t>
  </si>
  <si>
    <t>=IF(OFFSET(Y198,1,0)="",X198+'Shipping Program'!$F$9,OFFSET(Y198,1,0))</t>
  </si>
  <si>
    <t>=IF(OFFSET(Z198,1,0)="",Y198+'Shipping Program'!$H$9,OFFSET(Z198,1,0))</t>
  </si>
  <si>
    <t>=IF(J199&lt;&gt;"",J199 - ('Shipping Program'!$D$9 + 'Shipping Program'!$F$9 + 'Shipping Program'!$H$9), "")</t>
  </si>
  <si>
    <t>=S199+'Shipping Program'!$H$9</t>
  </si>
  <si>
    <t>=IF(OFFSET(Y199,1,0)="",X199+'Shipping Program'!$F$9,OFFSET(Y199,1,0))</t>
  </si>
  <si>
    <t>=IF(OFFSET(Z199,1,0)="",Y199+'Shipping Program'!$H$9,OFFSET(Z199,1,0))</t>
  </si>
  <si>
    <t>=IF(J200&lt;&gt;"",J200 - ('Shipping Program'!$D$9 + 'Shipping Program'!$F$9 + 'Shipping Program'!$H$9), "")</t>
  </si>
  <si>
    <t>=S200+'Shipping Program'!$H$9</t>
  </si>
  <si>
    <t>=IF(OFFSET(Y200,1,0)="",X200+'Shipping Program'!$F$9,OFFSET(Y200,1,0))</t>
  </si>
  <si>
    <t>=IF(OFFSET(Z200,1,0)="",Y200+'Shipping Program'!$H$9,OFFSET(Z200,1,0))</t>
  </si>
  <si>
    <t>=IF(J202&lt;&gt;"",J202 - ('Shipping Program'!$D$9 + 'Shipping Program'!$F$9 + 'Shipping Program'!$H$9), "")</t>
  </si>
  <si>
    <t>=S202+'Shipping Program'!$H$9</t>
  </si>
  <si>
    <t>=IF(OFFSET(Y202,1,0)="",X202+'Shipping Program'!$F$9,OFFSET(Y202,1,0))</t>
  </si>
  <si>
    <t>=IF(OFFSET(Z202,1,0)="",Y202+'Shipping Program'!$H$9,OFFSET(Z202,1,0))</t>
  </si>
  <si>
    <t>=IF(J204&lt;&gt;"",J204 - ('Shipping Program'!$D$9 + 'Shipping Program'!$F$9 + 'Shipping Program'!$H$9), "")</t>
  </si>
  <si>
    <t>=S204+'Shipping Program'!$H$9</t>
  </si>
  <si>
    <t>=IF(OFFSET(Y204,1,0)="",X204+'Shipping Program'!$F$9,OFFSET(Y204,1,0))</t>
  </si>
  <si>
    <t>=IF(OFFSET(Z204,1,0)="",Y204+'Shipping Program'!$H$9,OFFSET(Z204,1,0))</t>
  </si>
  <si>
    <t>=IF(J206&lt;&gt;"",J206 - ('Shipping Program'!$D$9 + 'Shipping Program'!$F$9 + 'Shipping Program'!$H$9), "")</t>
  </si>
  <si>
    <t>=S206+'Shipping Program'!$H$9</t>
  </si>
  <si>
    <t>=IF(OFFSET(Y206,1,0)="",X206+'Shipping Program'!$F$9,OFFSET(Y206,1,0))</t>
  </si>
  <si>
    <t>=IF(OFFSET(Z206,1,0)="",Y206+'Shipping Program'!$H$9,OFFSET(Z206,1,0))</t>
  </si>
  <si>
    <t>=IF(J207&lt;&gt;"",J207 - ('Shipping Program'!$D$9 + 'Shipping Program'!$F$9 + 'Shipping Program'!$H$9), "")</t>
  </si>
  <si>
    <t>=S207+'Shipping Program'!$H$9</t>
  </si>
  <si>
    <t>=IF(OFFSET(Y207,1,0)="",X207+'Shipping Program'!$F$9,OFFSET(Y207,1,0))</t>
  </si>
  <si>
    <t>=IF(OFFSET(Z207,1,0)="",Y207+'Shipping Program'!$H$9,OFFSET(Z207,1,0))</t>
  </si>
  <si>
    <t>=IF(J208&lt;&gt;"",J208 - ('Shipping Program'!$D$9 + 'Shipping Program'!$F$9 + 'Shipping Program'!$H$9), "")</t>
  </si>
  <si>
    <t>=S208+'Shipping Program'!$H$9</t>
  </si>
  <si>
    <t>=IF(OFFSET(Y208,1,0)="",X208+'Shipping Program'!$F$9,OFFSET(Y208,1,0))</t>
  </si>
  <si>
    <t>=IF(OFFSET(Z208,1,0)="",Y208+'Shipping Program'!$H$9,OFFSET(Z208,1,0))</t>
  </si>
  <si>
    <t>=IF(J209&lt;&gt;"",J209 - ('Shipping Program'!$D$9 + 'Shipping Program'!$F$9 + 'Shipping Program'!$H$9), "")</t>
  </si>
  <si>
    <t>=S209+'Shipping Program'!$H$9</t>
  </si>
  <si>
    <t>=IF(OFFSET(Y209,1,0)="",X209+'Shipping Program'!$F$9,OFFSET(Y209,1,0))</t>
  </si>
  <si>
    <t>=IF(OFFSET(Z209,1,0)="",Y209+'Shipping Program'!$H$9,OFFSET(Z209,1,0))</t>
  </si>
  <si>
    <t>=IF(J212&lt;&gt;"",J212 - ('Shipping Program'!$D$9 + 'Shipping Program'!$F$9 + 'Shipping Program'!$H$9), "")</t>
  </si>
  <si>
    <t>=S212+'Shipping Program'!$H$9</t>
  </si>
  <si>
    <t>=IF(OFFSET(Y212,1,0)="",X212+'Shipping Program'!$F$9,OFFSET(Y212,1,0))</t>
  </si>
  <si>
    <t>=IF(OFFSET(Z212,1,0)="",Y212+'Shipping Program'!$H$9,OFFSET(Z212,1,0))</t>
  </si>
  <si>
    <t>=IF(J214&lt;&gt;"",J214 - ('Shipping Program'!$D$9 + 'Shipping Program'!$F$9 + 'Shipping Program'!$H$9), "")</t>
  </si>
  <si>
    <t>=S214+'Shipping Program'!$H$9</t>
  </si>
  <si>
    <t>=IF(OFFSET(Y214,1,0)="",X214+'Shipping Program'!$F$9,OFFSET(Y214,1,0))</t>
  </si>
  <si>
    <t>=IF(OFFSET(Z214,1,0)="",Y214+'Shipping Program'!$H$9,OFFSET(Z214,1,0))</t>
  </si>
  <si>
    <t>=IF(J215&lt;&gt;"",J215 - ('Shipping Program'!$D$9 + 'Shipping Program'!$F$9 + 'Shipping Program'!$H$9), "")</t>
  </si>
  <si>
    <t>=S215+'Shipping Program'!$H$9</t>
  </si>
  <si>
    <t>=IF(OFFSET(Y215,1,0)="",X215+'Shipping Program'!$F$9,OFFSET(Y215,1,0))</t>
  </si>
  <si>
    <t>=IF(OFFSET(Z215,1,0)="",Y215+'Shipping Program'!$H$9,OFFSET(Z215,1,0))</t>
  </si>
  <si>
    <t>=IF(J218&lt;&gt;"",J218 - ('Shipping Program'!$D$9 + 'Shipping Program'!$F$9 + 'Shipping Program'!$H$9), "")</t>
  </si>
  <si>
    <t>=S218+'Shipping Program'!$H$9</t>
  </si>
  <si>
    <t>=IF(OFFSET(Y218,1,0)="",X218+'Shipping Program'!$F$9,OFFSET(Y218,1,0))</t>
  </si>
  <si>
    <t>=IF(OFFSET(Z218,1,0)="",Y218+'Shipping Program'!$H$9,OFFSET(Z218,1,0))</t>
  </si>
  <si>
    <t>=IF(J219&lt;&gt;"",J219 - ('Shipping Program'!$D$9 + 'Shipping Program'!$F$9 + 'Shipping Program'!$H$9), "")</t>
  </si>
  <si>
    <t>=S219+'Shipping Program'!$H$9</t>
  </si>
  <si>
    <t>=IF(OFFSET(Y219,1,0)="",X219+'Shipping Program'!$F$9,OFFSET(Y219,1,0))</t>
  </si>
  <si>
    <t>=IF(OFFSET(Z219,1,0)="",Y219+'Shipping Program'!$H$9,OFFSET(Z219,1,0))</t>
  </si>
  <si>
    <t>=IF(J220&lt;&gt;"",J220 - ('Shipping Program'!$D$9 + 'Shipping Program'!$F$9 + 'Shipping Program'!$H$9), "")</t>
  </si>
  <si>
    <t>=S220+'Shipping Program'!$H$9</t>
  </si>
  <si>
    <t>=IF(OFFSET(Y220,1,0)="",X220+'Shipping Program'!$F$9,OFFSET(Y220,1,0))</t>
  </si>
  <si>
    <t>=IF(OFFSET(Z220,1,0)="",Y220+'Shipping Program'!$H$9,OFFSET(Z220,1,0))</t>
  </si>
  <si>
    <t>=IF(J222&lt;&gt;"",J222 - ('Shipping Program'!$D$9 + 'Shipping Program'!$F$9 + 'Shipping Program'!$H$9), "")</t>
  </si>
  <si>
    <t>=S222+'Shipping Program'!$H$9</t>
  </si>
  <si>
    <t>=IF(OFFSET(Y222,1,0)="",X222+'Shipping Program'!$F$9,OFFSET(Y222,1,0))</t>
  </si>
  <si>
    <t>=IF(OFFSET(Z222,1,0)="",Y222+'Shipping Program'!$H$9,OFFSET(Z222,1,0))</t>
  </si>
  <si>
    <t>=IF(J224&lt;&gt;"",J224 - ('Shipping Program'!$D$9 + 'Shipping Program'!$F$9 + 'Shipping Program'!$H$9), "")</t>
  </si>
  <si>
    <t>=S224+'Shipping Program'!$H$9</t>
  </si>
  <si>
    <t>=IF(OFFSET(Y224,1,0)="",X224+'Shipping Program'!$F$9,OFFSET(Y224,1,0))</t>
  </si>
  <si>
    <t>=IF(OFFSET(Z224,1,0)="",Y224+'Shipping Program'!$H$9,OFFSET(Z224,1,0))</t>
  </si>
  <si>
    <t>=IF(J226&lt;&gt;"",J226 - ('Shipping Program'!$D$9 + 'Shipping Program'!$F$9 + 'Shipping Program'!$H$9), "")</t>
  </si>
  <si>
    <t>=S226+'Shipping Program'!$H$9</t>
  </si>
  <si>
    <t>=IF(OFFSET(Y226,1,0)="",X226+'Shipping Program'!$F$9,OFFSET(Y226,1,0))</t>
  </si>
  <si>
    <t>=IF(OFFSET(Z226,1,0)="",Y226+'Shipping Program'!$H$9,OFFSET(Z226,1,0))</t>
  </si>
  <si>
    <t>=IF(J228&lt;&gt;"",J228 - ('Shipping Program'!$D$9 + 'Shipping Program'!$F$9 + 'Shipping Program'!$H$9), "")</t>
  </si>
  <si>
    <t>=S228+'Shipping Program'!$H$9</t>
  </si>
  <si>
    <t>=IF(OFFSET(Y228,1,0)="",X228+'Shipping Program'!$F$9,OFFSET(Y228,1,0))</t>
  </si>
  <si>
    <t>=IF(OFFSET(Z228,1,0)="",Y228+'Shipping Program'!$H$9,OFFSET(Z228,1,0))</t>
  </si>
  <si>
    <t>=IF(J230&lt;&gt;"",J230 - ('Shipping Program'!$D$9 + 'Shipping Program'!$F$9 + 'Shipping Program'!$H$9), "")</t>
  </si>
  <si>
    <t>=S230+'Shipping Program'!$H$9</t>
  </si>
  <si>
    <t>=IF(OFFSET(Y230,1,0)="",X230+'Shipping Program'!$F$9,OFFSET(Y230,1,0))</t>
  </si>
  <si>
    <t>=IF(OFFSET(Z230,1,0)="",Y230+'Shipping Program'!$H$9,OFFSET(Z230,1,0))</t>
  </si>
  <si>
    <t>=IF(J231&lt;&gt;"",J231 - ('Shipping Program'!$D$9 + 'Shipping Program'!$F$9 + 'Shipping Program'!$H$9), "")</t>
  </si>
  <si>
    <t>=S231+'Shipping Program'!$H$9</t>
  </si>
  <si>
    <t>=IF(OFFSET(Y231,1,0)="",X231+'Shipping Program'!$F$9,OFFSET(Y231,1,0))</t>
  </si>
  <si>
    <t>=IF(OFFSET(Z231,1,0)="",Y231+'Shipping Program'!$H$9,OFFSET(Z231,1,0))</t>
  </si>
  <si>
    <t>=IF(J232&lt;&gt;"",J232 - ('Shipping Program'!$D$9 + 'Shipping Program'!$F$9 + 'Shipping Program'!$H$9), "")</t>
  </si>
  <si>
    <t>=S232+'Shipping Program'!$H$9</t>
  </si>
  <si>
    <t>=IF(OFFSET(Y232,1,0)="",X232+'Shipping Program'!$F$9,OFFSET(Y232,1,0))</t>
  </si>
  <si>
    <t>=IF(OFFSET(Z232,1,0)="",Y232+'Shipping Program'!$H$9,OFFSET(Z232,1,0))</t>
  </si>
  <si>
    <t>=IF(J233&lt;&gt;"",J233 - ('Shipping Program'!$D$9 + 'Shipping Program'!$F$9 + 'Shipping Program'!$H$9), "")</t>
  </si>
  <si>
    <t>=S233+'Shipping Program'!$H$9</t>
  </si>
  <si>
    <t>=IF(OFFSET(Y233,1,0)="",X233+'Shipping Program'!$F$9,OFFSET(Y233,1,0))</t>
  </si>
  <si>
    <t>=IF(OFFSET(Z233,1,0)="",Y233+'Shipping Program'!$H$9,OFFSET(Z233,1,0))</t>
  </si>
  <si>
    <t>=IF(J234&lt;&gt;"",J234 - ('Shipping Program'!$D$9 + 'Shipping Program'!$F$9 + 'Shipping Program'!$H$9), "")</t>
  </si>
  <si>
    <t>=S234+'Shipping Program'!$H$9</t>
  </si>
  <si>
    <t>=IF(OFFSET(Y234,1,0)="",X234+'Shipping Program'!$F$9,OFFSET(Y234,1,0))</t>
  </si>
  <si>
    <t>=IF(OFFSET(Z234,1,0)="",Y234+'Shipping Program'!$H$9,OFFSET(Z234,1,0))</t>
  </si>
  <si>
    <t>=IF(J235&lt;&gt;"",J235 - ('Shipping Program'!$D$9 + 'Shipping Program'!$F$9 + 'Shipping Program'!$H$9), "")</t>
  </si>
  <si>
    <t>=S235+'Shipping Program'!$H$9</t>
  </si>
  <si>
    <t>=IF(OFFSET(Y235,1,0)="",X235+'Shipping Program'!$F$9,OFFSET(Y235,1,0))</t>
  </si>
  <si>
    <t>=IF(OFFSET(Z235,1,0)="",Y235+'Shipping Program'!$H$9,OFFSET(Z235,1,0))</t>
  </si>
  <si>
    <t>=IF(J236&lt;&gt;"",J236 - ('Shipping Program'!$D$9 + 'Shipping Program'!$F$9 + 'Shipping Program'!$H$9), "")</t>
  </si>
  <si>
    <t>=S236+'Shipping Program'!$H$9</t>
  </si>
  <si>
    <t>=IF(OFFSET(Y236,1,0)="",X236+'Shipping Program'!$F$9,OFFSET(Y236,1,0))</t>
  </si>
  <si>
    <t>=IF(OFFSET(Z236,1,0)="",Y236+'Shipping Program'!$H$9,OFFSET(Z236,1,0))</t>
  </si>
  <si>
    <t>=IF(J237&lt;&gt;"",J237 - ('Shipping Program'!$D$9 + 'Shipping Program'!$F$9 + 'Shipping Program'!$H$9), "")</t>
  </si>
  <si>
    <t>=S237+'Shipping Program'!$H$9</t>
  </si>
  <si>
    <t>=IF(OFFSET(Y237,1,0)="",X237+'Shipping Program'!$F$9,OFFSET(Y237,1,0))</t>
  </si>
  <si>
    <t>=IF(OFFSET(Z237,1,0)="",Y237+'Shipping Program'!$H$9,OFFSET(Z237,1,0))</t>
  </si>
  <si>
    <t>=IF(J238&lt;&gt;"",J238 - ('Shipping Program'!$D$9 + 'Shipping Program'!$F$9 + 'Shipping Program'!$H$9), "")</t>
  </si>
  <si>
    <t>=S238+'Shipping Program'!$H$9</t>
  </si>
  <si>
    <t>=IF(OFFSET(Y238,1,0)="",X238+'Shipping Program'!$F$9,OFFSET(Y238,1,0))</t>
  </si>
  <si>
    <t>=IF(OFFSET(Z238,1,0)="",Y238+'Shipping Program'!$H$9,OFFSET(Z238,1,0))</t>
  </si>
  <si>
    <t>=IF(J239&lt;&gt;"",J239 - ('Shipping Program'!$D$9 + 'Shipping Program'!$F$9 + 'Shipping Program'!$H$9), "")</t>
  </si>
  <si>
    <t>=S239+'Shipping Program'!$H$9</t>
  </si>
  <si>
    <t>=IF(OFFSET(Y239,1,0)="",X239+'Shipping Program'!$F$9,OFFSET(Y239,1,0))</t>
  </si>
  <si>
    <t>=IF(OFFSET(Z239,1,0)="",Y239+'Shipping Program'!$H$9,OFFSET(Z239,1,0))</t>
  </si>
  <si>
    <t>=IF(J241&lt;&gt;"",J241 - ('Shipping Program'!$D$9 + 'Shipping Program'!$F$9 + 'Shipping Program'!$H$9), "")</t>
  </si>
  <si>
    <t>=S241+'Shipping Program'!$H$9</t>
  </si>
  <si>
    <t>=IF(OFFSET(Y241,1,0)="",X241+'Shipping Program'!$F$9,OFFSET(Y241,1,0))</t>
  </si>
  <si>
    <t>=IF(OFFSET(Z241,1,0)="",Y241+'Shipping Program'!$H$9,OFFSET(Z241,1,0))</t>
  </si>
  <si>
    <t>=IF(J242&lt;&gt;"",J242 - ('Shipping Program'!$D$9 + 'Shipping Program'!$F$9 + 'Shipping Program'!$H$9), "")</t>
  </si>
  <si>
    <t>=S242+'Shipping Program'!$H$9</t>
  </si>
  <si>
    <t>=IF(OFFSET(Y242,1,0)="",X242+'Shipping Program'!$F$9,OFFSET(Y242,1,0))</t>
  </si>
  <si>
    <t>=IF(OFFSET(Z242,1,0)="",Y242+'Shipping Program'!$H$9,OFFSET(Z242,1,0))</t>
  </si>
  <si>
    <t>=IF(J243&lt;&gt;"",J243 - ('Shipping Program'!$D$9 + 'Shipping Program'!$F$9 + 'Shipping Program'!$H$9), "")</t>
  </si>
  <si>
    <t>=S243+'Shipping Program'!$H$9</t>
  </si>
  <si>
    <t>=IF(OFFSET(Y243,1,0)="",X243+'Shipping Program'!$F$9,OFFSET(Y243,1,0))</t>
  </si>
  <si>
    <t>=IF(OFFSET(Z243,1,0)="",Y243+'Shipping Program'!$H$9,OFFSET(Z243,1,0))</t>
  </si>
  <si>
    <t>=IF(J244&lt;&gt;"",J244 - ('Shipping Program'!$D$9 + 'Shipping Program'!$F$9 + 'Shipping Program'!$H$9), "")</t>
  </si>
  <si>
    <t>=S244+'Shipping Program'!$H$9</t>
  </si>
  <si>
    <t>=IF(OFFSET(Y244,1,0)="",X244+'Shipping Program'!$F$9,OFFSET(Y244,1,0))</t>
  </si>
  <si>
    <t>=IF(OFFSET(Z244,1,0)="",Y244+'Shipping Program'!$H$9,OFFSET(Z244,1,0))</t>
  </si>
  <si>
    <t>=IF(J245&lt;&gt;"",J245 - ('Shipping Program'!$D$9 + 'Shipping Program'!$F$9 + 'Shipping Program'!$H$9), "")</t>
  </si>
  <si>
    <t>=S245+'Shipping Program'!$H$9</t>
  </si>
  <si>
    <t>=IF(OFFSET(Y245,1,0)="",X245+'Shipping Program'!$F$9,OFFSET(Y245,1,0))</t>
  </si>
  <si>
    <t>=IF(OFFSET(Z245,1,0)="",Y245+'Shipping Program'!$H$9,OFFSET(Z245,1,0))</t>
  </si>
  <si>
    <t>=IF(J246&lt;&gt;"",J246 - ('Shipping Program'!$D$9 + 'Shipping Program'!$F$9 + 'Shipping Program'!$H$9), "")</t>
  </si>
  <si>
    <t>=S246+'Shipping Program'!$H$9</t>
  </si>
  <si>
    <t>=IF(OFFSET(Y246,1,0)="",X246+'Shipping Program'!$F$9,OFFSET(Y246,1,0))</t>
  </si>
  <si>
    <t>=IF(OFFSET(Z246,1,0)="",Y246+'Shipping Program'!$H$9,OFFSET(Z246,1,0))</t>
  </si>
  <si>
    <t>=IF(J247&lt;&gt;"",J247 - ('Shipping Program'!$D$9 + 'Shipping Program'!$F$9 + 'Shipping Program'!$H$9), "")</t>
  </si>
  <si>
    <t>=S247+'Shipping Program'!$H$9</t>
  </si>
  <si>
    <t>=IF(OFFSET(Y247,1,0)="",X247+'Shipping Program'!$F$9,OFFSET(Y247,1,0))</t>
  </si>
  <si>
    <t>=IF(OFFSET(Z247,1,0)="",Y247+'Shipping Program'!$H$9,OFFSET(Z247,1,0))</t>
  </si>
  <si>
    <t>=IF(J249&lt;&gt;"",J249 - ('Shipping Program'!$D$9 + 'Shipping Program'!$F$9 + 'Shipping Program'!$H$9), "")</t>
  </si>
  <si>
    <t>=S249+'Shipping Program'!$H$9</t>
  </si>
  <si>
    <t>=IF(OFFSET(Y249,1,0)="",X249+'Shipping Program'!$F$9,OFFSET(Y249,1,0))</t>
  </si>
  <si>
    <t>=IF(OFFSET(Z249,1,0)="",Y249+'Shipping Program'!$H$9,OFFSET(Z249,1,0))</t>
  </si>
  <si>
    <t>=IF(J250&lt;&gt;"",J250 - ('Shipping Program'!$D$9 + 'Shipping Program'!$F$9 + 'Shipping Program'!$H$9), "")</t>
  </si>
  <si>
    <t>=S250+'Shipping Program'!$H$9</t>
  </si>
  <si>
    <t>=IF(OFFSET(Y250,1,0)="",X250+'Shipping Program'!$F$9,OFFSET(Y250,1,0))</t>
  </si>
  <si>
    <t>=IF(OFFSET(Z250,1,0)="",Y250+'Shipping Program'!$H$9,OFFSET(Z250,1,0))</t>
  </si>
  <si>
    <t>=IF(J251&lt;&gt;"",J251 - ('Shipping Program'!$D$9 + 'Shipping Program'!$F$9 + 'Shipping Program'!$H$9), "")</t>
  </si>
  <si>
    <t>=S251+'Shipping Program'!$H$9</t>
  </si>
  <si>
    <t>=IF(OFFSET(Y251,1,0)="",X251+'Shipping Program'!$F$9,OFFSET(Y251,1,0))</t>
  </si>
  <si>
    <t>=IF(OFFSET(Z251,1,0)="",Y251+'Shipping Program'!$H$9,OFFSET(Z251,1,0))</t>
  </si>
  <si>
    <t>=IF(J252&lt;&gt;"",J252 - ('Shipping Program'!$D$9 + 'Shipping Program'!$F$9 + 'Shipping Program'!$H$9), "")</t>
  </si>
  <si>
    <t>=S252+'Shipping Program'!$H$9</t>
  </si>
  <si>
    <t>=IF(OFFSET(Y252,1,0)="",X252+'Shipping Program'!$F$9,OFFSET(Y252,1,0))</t>
  </si>
  <si>
    <t>=IF(OFFSET(Z252,1,0)="",Y252+'Shipping Program'!$H$9,OFFSET(Z252,1,0))</t>
  </si>
  <si>
    <t>=IF(J253&lt;&gt;"",J253 - ('Shipping Program'!$D$9 + 'Shipping Program'!$F$9 + 'Shipping Program'!$H$9), "")</t>
  </si>
  <si>
    <t>=S253+'Shipping Program'!$H$9</t>
  </si>
  <si>
    <t>=IF(OFFSET(Y253,1,0)="",X253+'Shipping Program'!$F$9,OFFSET(Y253,1,0))</t>
  </si>
  <si>
    <t>=IF(OFFSET(Z253,1,0)="",Y253+'Shipping Program'!$H$9,OFFSET(Z253,1,0))</t>
  </si>
  <si>
    <t>=IF(J254&lt;&gt;"",J254 - ('Shipping Program'!$D$9 + 'Shipping Program'!$F$9 + 'Shipping Program'!$H$9), "")</t>
  </si>
  <si>
    <t>=S254+'Shipping Program'!$H$9</t>
  </si>
  <si>
    <t>=IF(OFFSET(Y254,1,0)="",X254+'Shipping Program'!$F$9,OFFSET(Y254,1,0))</t>
  </si>
  <si>
    <t>=IF(OFFSET(Z254,1,0)="",Y254+'Shipping Program'!$H$9,OFFSET(Z254,1,0))</t>
  </si>
  <si>
    <t>=IF(J255&lt;&gt;"",J255 - ('Shipping Program'!$D$9 + 'Shipping Program'!$F$9 + 'Shipping Program'!$H$9), "")</t>
  </si>
  <si>
    <t>=S255+'Shipping Program'!$H$9</t>
  </si>
  <si>
    <t>=IF(OFFSET(Y255,1,0)="",X255+'Shipping Program'!$F$9,OFFSET(Y255,1,0))</t>
  </si>
  <si>
    <t>=IF(OFFSET(Z255,1,0)="",Y255+'Shipping Program'!$H$9,OFFSET(Z255,1,0))</t>
  </si>
  <si>
    <t>=IF(J256&lt;&gt;"",J256 - ('Shipping Program'!$D$9 + 'Shipping Program'!$F$9 + 'Shipping Program'!$H$9), "")</t>
  </si>
  <si>
    <t>=S256+'Shipping Program'!$H$9</t>
  </si>
  <si>
    <t>=IF(OFFSET(Y256,1,0)="",X256+'Shipping Program'!$F$9,OFFSET(Y256,1,0))</t>
  </si>
  <si>
    <t>=IF(OFFSET(Z256,1,0)="",Y256+'Shipping Program'!$H$9,OFFSET(Z256,1,0))</t>
  </si>
  <si>
    <t>=IF(J257&lt;&gt;"",J257 - ('Shipping Program'!$D$9 + 'Shipping Program'!$F$9 + 'Shipping Program'!$H$9), "")</t>
  </si>
  <si>
    <t>=S257+'Shipping Program'!$H$9</t>
  </si>
  <si>
    <t>=IF(OFFSET(Y257,1,0)="",X257+'Shipping Program'!$F$9,OFFSET(Y257,1,0))</t>
  </si>
  <si>
    <t>=IF(OFFSET(Z257,1,0)="",Y257+'Shipping Program'!$H$9,OFFSET(Z257,1,0))</t>
  </si>
  <si>
    <t>=IF(J259&lt;&gt;"",J259 - ('Shipping Program'!$D$9 + 'Shipping Program'!$F$9 + 'Shipping Program'!$H$9), "")</t>
  </si>
  <si>
    <t>=S259+'Shipping Program'!$H$9</t>
  </si>
  <si>
    <t>=IF(OFFSET(Y259,1,0)="",X259+'Shipping Program'!$F$9,OFFSET(Y259,1,0))</t>
  </si>
  <si>
    <t>=IF(OFFSET(Z259,1,0)="",Y259+'Shipping Program'!$H$9,OFFSET(Z259,1,0))</t>
  </si>
  <si>
    <t>=IF(J260&lt;&gt;"",J260 - ('Shipping Program'!$D$9 + 'Shipping Program'!$F$9 + 'Shipping Program'!$H$9), "")</t>
  </si>
  <si>
    <t>=S260+'Shipping Program'!$H$9</t>
  </si>
  <si>
    <t>=IF(OFFSET(Y260,1,0)="",X260+'Shipping Program'!$F$9,OFFSET(Y260,1,0))</t>
  </si>
  <si>
    <t>=IF(OFFSET(Z260,1,0)="",Y260+'Shipping Program'!$H$9,OFFSET(Z260,1,0))</t>
  </si>
  <si>
    <t>=IF(J261&lt;&gt;"",J261 - ('Shipping Program'!$D$9 + 'Shipping Program'!$F$9 + 'Shipping Program'!$H$9), "")</t>
  </si>
  <si>
    <t>=S261+'Shipping Program'!$H$9</t>
  </si>
  <si>
    <t>=IF(OFFSET(Y261,1,0)="",X261+'Shipping Program'!$F$9,OFFSET(Y261,1,0))</t>
  </si>
  <si>
    <t>=IF(OFFSET(Z261,1,0)="",Y261+'Shipping Program'!$H$9,OFFSET(Z261,1,0))</t>
  </si>
  <si>
    <t>=IF(J263&lt;&gt;"",J263 - ('Shipping Program'!$D$9 + 'Shipping Program'!$F$9 + 'Shipping Program'!$H$9), "")</t>
  </si>
  <si>
    <t>=S263+'Shipping Program'!$H$9</t>
  </si>
  <si>
    <t>=IF(OFFSET(Y263,1,0)="",X263+'Shipping Program'!$F$9,OFFSET(Y263,1,0))</t>
  </si>
  <si>
    <t>=IF(OFFSET(Z263,1,0)="",Y263+'Shipping Program'!$H$9,OFFSET(Z263,1,0))</t>
  </si>
  <si>
    <t>=IF(J264&lt;&gt;"",J264 - ('Shipping Program'!$D$9 + 'Shipping Program'!$F$9 + 'Shipping Program'!$H$9), "")</t>
  </si>
  <si>
    <t>=S264+'Shipping Program'!$H$9</t>
  </si>
  <si>
    <t>=IF(OFFSET(Y264,1,0)="",X264+'Shipping Program'!$F$9,OFFSET(Y264,1,0))</t>
  </si>
  <si>
    <t>=IF(OFFSET(Z264,1,0)="",Y264+'Shipping Program'!$H$9,OFFSET(Z264,1,0))</t>
  </si>
  <si>
    <t>=IF(J265&lt;&gt;"",J265 - ('Shipping Program'!$D$9 + 'Shipping Program'!$F$9 + 'Shipping Program'!$H$9), "")</t>
  </si>
  <si>
    <t>=S265+'Shipping Program'!$H$9</t>
  </si>
  <si>
    <t>=IF(OFFSET(Y265,1,0)="",X265+'Shipping Program'!$F$9,OFFSET(Y265,1,0))</t>
  </si>
  <si>
    <t>=IF(OFFSET(Z265,1,0)="",Y265+'Shipping Program'!$H$9,OFFSET(Z265,1,0))</t>
  </si>
  <si>
    <t>=IF(J266&lt;&gt;"",J266 - ('Shipping Program'!$D$9 + 'Shipping Program'!$F$9 + 'Shipping Program'!$H$9), "")</t>
  </si>
  <si>
    <t>=S266+'Shipping Program'!$H$9</t>
  </si>
  <si>
    <t>=IF(OFFSET(Y266,1,0)="",X266+'Shipping Program'!$F$9,OFFSET(Y266,1,0))</t>
  </si>
  <si>
    <t>=IF(OFFSET(Z266,1,0)="",Y266+'Shipping Program'!$H$9,OFFSET(Z266,1,0))</t>
  </si>
  <si>
    <t>=IF(J268&lt;&gt;"",J268 - ('Shipping Program'!$D$9 + 'Shipping Program'!$F$9 + 'Shipping Program'!$H$9), "")</t>
  </si>
  <si>
    <t>=S268+'Shipping Program'!$H$9</t>
  </si>
  <si>
    <t>=IF(OFFSET(Y268,1,0)="",X268+'Shipping Program'!$F$9,OFFSET(Y268,1,0))</t>
  </si>
  <si>
    <t>=IF(OFFSET(Z268,1,0)="",Y268+'Shipping Program'!$H$9,OFFSET(Z268,1,0))</t>
  </si>
  <si>
    <t>=IF(J269&lt;&gt;"",J269 - ('Shipping Program'!$D$9 + 'Shipping Program'!$F$9 + 'Shipping Program'!$H$9), "")</t>
  </si>
  <si>
    <t>=S269+'Shipping Program'!$H$9</t>
  </si>
  <si>
    <t>=IF(OFFSET(Y269,1,0)="",X269+'Shipping Program'!$F$9,OFFSET(Y269,1,0))</t>
  </si>
  <si>
    <t>=IF(OFFSET(Z269,1,0)="",Y269+'Shipping Program'!$H$9,OFFSET(Z269,1,0))</t>
  </si>
  <si>
    <t>=IF(J270&lt;&gt;"",J270 - ('Shipping Program'!$D$9 + 'Shipping Program'!$F$9 + 'Shipping Program'!$H$9), "")</t>
  </si>
  <si>
    <t>=S270+'Shipping Program'!$H$9</t>
  </si>
  <si>
    <t>=IF(OFFSET(Y270,1,0)="",X270+'Shipping Program'!$F$9,OFFSET(Y270,1,0))</t>
  </si>
  <si>
    <t>=IF(OFFSET(Z270,1,0)="",Y270+'Shipping Program'!$H$9,OFFSET(Z270,1,0))</t>
  </si>
  <si>
    <t>=IF(J271&lt;&gt;"",J271 - ('Shipping Program'!$D$9 + 'Shipping Program'!$F$9 + 'Shipping Program'!$H$9), "")</t>
  </si>
  <si>
    <t>=S271+'Shipping Program'!$H$9</t>
  </si>
  <si>
    <t>=IF(OFFSET(Y271,1,0)="",X271+'Shipping Program'!$F$9,OFFSET(Y271,1,0))</t>
  </si>
  <si>
    <t>=IF(OFFSET(Z271,1,0)="",Y271+'Shipping Program'!$H$9,OFFSET(Z271,1,0))</t>
  </si>
  <si>
    <t>=IF(J272&lt;&gt;"",J272 - ('Shipping Program'!$D$9 + 'Shipping Program'!$F$9 + 'Shipping Program'!$H$9), "")</t>
  </si>
  <si>
    <t>=S272+'Shipping Program'!$H$9</t>
  </si>
  <si>
    <t>=IF(OFFSET(Y272,1,0)="",X272+'Shipping Program'!$F$9,OFFSET(Y272,1,0))</t>
  </si>
  <si>
    <t>=IF(OFFSET(Z272,1,0)="",Y272+'Shipping Program'!$H$9,OFFSET(Z272,1,0))</t>
  </si>
  <si>
    <t>=IF(J273&lt;&gt;"",J273 - ('Shipping Program'!$D$9 + 'Shipping Program'!$F$9 + 'Shipping Program'!$H$9), "")</t>
  </si>
  <si>
    <t>=S273+'Shipping Program'!$H$9</t>
  </si>
  <si>
    <t>=IF(OFFSET(Y273,1,0)="",X273+'Shipping Program'!$F$9,OFFSET(Y273,1,0))</t>
  </si>
  <si>
    <t>=IF(OFFSET(Z273,1,0)="",Y273+'Shipping Program'!$H$9,OFFSET(Z273,1,0))</t>
  </si>
  <si>
    <t>=IF(J274&lt;&gt;"",J274 - ('Shipping Program'!$D$9 + 'Shipping Program'!$F$9 + 'Shipping Program'!$H$9), "")</t>
  </si>
  <si>
    <t>=S274+'Shipping Program'!$H$9</t>
  </si>
  <si>
    <t>=IF(OFFSET(Y274,1,0)="",X274+'Shipping Program'!$F$9,OFFSET(Y274,1,0))</t>
  </si>
  <si>
    <t>=IF(OFFSET(Z274,1,0)="",Y274+'Shipping Program'!$H$9,OFFSET(Z274,1,0))</t>
  </si>
  <si>
    <t>=IF(J275&lt;&gt;"",J275 - ('Shipping Program'!$D$9 + 'Shipping Program'!$F$9 + 'Shipping Program'!$H$9), "")</t>
  </si>
  <si>
    <t>=S275+'Shipping Program'!$H$9</t>
  </si>
  <si>
    <t>=IF(OFFSET(Y275,1,0)="",X275+'Shipping Program'!$F$9,OFFSET(Y275,1,0))</t>
  </si>
  <si>
    <t>=IF(OFFSET(Z275,1,0)="",Y275+'Shipping Program'!$H$9,OFFSET(Z275,1,0))</t>
  </si>
  <si>
    <t>=IF(J276&lt;&gt;"",J276 - ('Shipping Program'!$D$9 + 'Shipping Program'!$F$9 + 'Shipping Program'!$H$9), "")</t>
  </si>
  <si>
    <t>=S276+'Shipping Program'!$H$9</t>
  </si>
  <si>
    <t>=IF(OFFSET(Y276,1,0)="",X276+'Shipping Program'!$F$9,OFFSET(Y276,1,0))</t>
  </si>
  <si>
    <t>=IF(OFFSET(Z276,1,0)="",Y276+'Shipping Program'!$H$9,OFFSET(Z276,1,0))</t>
  </si>
  <si>
    <t>=IF(J277&lt;&gt;"",J277 - ('Shipping Program'!$D$9 + 'Shipping Program'!$F$9 + 'Shipping Program'!$H$9), "")</t>
  </si>
  <si>
    <t>=S277+'Shipping Program'!$H$9</t>
  </si>
  <si>
    <t>=IF(OFFSET(Y277,1,0)="",X277+'Shipping Program'!$F$9,OFFSET(Y277,1,0))</t>
  </si>
  <si>
    <t>=IF(OFFSET(Z277,1,0)="",Y277+'Shipping Program'!$H$9,OFFSET(Z277,1,0))</t>
  </si>
  <si>
    <t>=IF(J278&lt;&gt;"",J278 - ('Shipping Program'!$D$9 + 'Shipping Program'!$F$9 + 'Shipping Program'!$H$9), "")</t>
  </si>
  <si>
    <t>=S278+'Shipping Program'!$H$9</t>
  </si>
  <si>
    <t>=IF(OFFSET(Y278,1,0)="",X278+'Shipping Program'!$F$9,OFFSET(Y278,1,0))</t>
  </si>
  <si>
    <t>=IF(OFFSET(Z278,1,0)="",Y278+'Shipping Program'!$H$9,OFFSET(Z278,1,0))</t>
  </si>
  <si>
    <t>=IF(J279&lt;&gt;"",J279 - ('Shipping Program'!$D$9 + 'Shipping Program'!$F$9 + 'Shipping Program'!$H$9), "")</t>
  </si>
  <si>
    <t>=S279+'Shipping Program'!$H$9</t>
  </si>
  <si>
    <t>=IF(OFFSET(Y279,1,0)="",X279+'Shipping Program'!$F$9,OFFSET(Y279,1,0))</t>
  </si>
  <si>
    <t>=IF(OFFSET(Z279,1,0)="",Y279+'Shipping Program'!$H$9,OFFSET(Z279,1,0))</t>
  </si>
  <si>
    <t>=IF(J280&lt;&gt;"",J280 - ('Shipping Program'!$D$9 + 'Shipping Program'!$F$9 + 'Shipping Program'!$H$9), "")</t>
  </si>
  <si>
    <t>=S280+'Shipping Program'!$H$9</t>
  </si>
  <si>
    <t>=IF(OFFSET(Y280,1,0)="",X280+'Shipping Program'!$F$9,OFFSET(Y280,1,0))</t>
  </si>
  <si>
    <t>=IF(OFFSET(Z280,1,0)="",Y280+'Shipping Program'!$H$9,OFFSET(Z280,1,0))</t>
  </si>
  <si>
    <t>=IF(J281&lt;&gt;"",J281 - ('Shipping Program'!$D$9 + 'Shipping Program'!$F$9 + 'Shipping Program'!$H$9), "")</t>
  </si>
  <si>
    <t>=S281+'Shipping Program'!$H$9</t>
  </si>
  <si>
    <t>=IF(OFFSET(Y281,1,0)="",X281+'Shipping Program'!$F$9,OFFSET(Y281,1,0))</t>
  </si>
  <si>
    <t>=IF(OFFSET(Z281,1,0)="",Y281+'Shipping Program'!$H$9,OFFSET(Z281,1,0))</t>
  </si>
  <si>
    <t>=IF(J282&lt;&gt;"",J282 - ('Shipping Program'!$D$9 + 'Shipping Program'!$F$9 + 'Shipping Program'!$H$9), "")</t>
  </si>
  <si>
    <t>=S282+'Shipping Program'!$H$9</t>
  </si>
  <si>
    <t>=IF(OFFSET(Y282,1,0)="",X282+'Shipping Program'!$F$9,OFFSET(Y282,1,0))</t>
  </si>
  <si>
    <t>=IF(OFFSET(Z282,1,0)="",Y282+'Shipping Program'!$H$9,OFFSET(Z282,1,0))</t>
  </si>
  <si>
    <t>=IF(J283&lt;&gt;"",J283 - ('Shipping Program'!$D$9 + 'Shipping Program'!$F$9 + 'Shipping Program'!$H$9), "")</t>
  </si>
  <si>
    <t>=S283+'Shipping Program'!$H$9</t>
  </si>
  <si>
    <t>=IF(OFFSET(Y283,1,0)="",X283+'Shipping Program'!$F$9,OFFSET(Y283,1,0))</t>
  </si>
  <si>
    <t>=IF(OFFSET(Z283,1,0)="",Y283+'Shipping Program'!$H$9,OFFSET(Z283,1,0))</t>
  </si>
  <si>
    <t>=IF(J284&lt;&gt;"",J284 - ('Shipping Program'!$D$9 + 'Shipping Program'!$F$9 + 'Shipping Program'!$H$9), "")</t>
  </si>
  <si>
    <t>=S284+'Shipping Program'!$H$9</t>
  </si>
  <si>
    <t>=IF(OFFSET(Y284,1,0)="",X284+'Shipping Program'!$F$9,OFFSET(Y284,1,0))</t>
  </si>
  <si>
    <t>=IF(OFFSET(Z284,1,0)="",Y284+'Shipping Program'!$H$9,OFFSET(Z284,1,0))</t>
  </si>
  <si>
    <t>=IF(J285&lt;&gt;"",J285 - ('Shipping Program'!$D$9 + 'Shipping Program'!$F$9 + 'Shipping Program'!$H$9), "")</t>
  </si>
  <si>
    <t>=S285+'Shipping Program'!$H$9</t>
  </si>
  <si>
    <t>=IF(OFFSET(Y285,1,0)="",X285+'Shipping Program'!$F$9,OFFSET(Y285,1,0))</t>
  </si>
  <si>
    <t>=IF(OFFSET(Z285,1,0)="",Y285+'Shipping Program'!$H$9,OFFSET(Z285,1,0))</t>
  </si>
  <si>
    <t>=IF(J286&lt;&gt;"",J286 - ('Shipping Program'!$D$9 + 'Shipping Program'!$F$9 + 'Shipping Program'!$H$9), "")</t>
  </si>
  <si>
    <t>=S286+'Shipping Program'!$H$9</t>
  </si>
  <si>
    <t>=IF(OFFSET(Y286,1,0)="",X286+'Shipping Program'!$F$9,OFFSET(Y286,1,0))</t>
  </si>
  <si>
    <t>=IF(OFFSET(Z286,1,0)="",Y286+'Shipping Program'!$H$9,OFFSET(Z286,1,0))</t>
  </si>
  <si>
    <t>=IF(J287&lt;&gt;"",J287 - ('Shipping Program'!$D$9 + 'Shipping Program'!$F$9 + 'Shipping Program'!$H$9), "")</t>
  </si>
  <si>
    <t>=S287+'Shipping Program'!$H$9</t>
  </si>
  <si>
    <t>=IF(OFFSET(Y287,1,0)="",X287+'Shipping Program'!$F$9,OFFSET(Y287,1,0))</t>
  </si>
  <si>
    <t>=IF(OFFSET(Z287,1,0)="",Y287+'Shipping Program'!$H$9,OFFSET(Z287,1,0))</t>
  </si>
  <si>
    <t>=IF(J288&lt;&gt;"",J288 - ('Shipping Program'!$D$9 + 'Shipping Program'!$F$9 + 'Shipping Program'!$H$9), "")</t>
  </si>
  <si>
    <t>=S288+'Shipping Program'!$H$9</t>
  </si>
  <si>
    <t>=IF(OFFSET(Y288,1,0)="",X288+'Shipping Program'!$F$9,OFFSET(Y288,1,0))</t>
  </si>
  <si>
    <t>=IF(OFFSET(Z288,1,0)="",Y288+'Shipping Program'!$H$9,OFFSET(Z288,1,0))</t>
  </si>
  <si>
    <t>=IF(J289&lt;&gt;"",J289 - ('Shipping Program'!$D$9 + 'Shipping Program'!$F$9 + 'Shipping Program'!$H$9), "")</t>
  </si>
  <si>
    <t>=S289+'Shipping Program'!$H$9</t>
  </si>
  <si>
    <t>=IF(OFFSET(Y289,1,0)="",X289+'Shipping Program'!$F$9,OFFSET(Y289,1,0))</t>
  </si>
  <si>
    <t>=IF(OFFSET(Z289,1,0)="",Y289+'Shipping Program'!$H$9,OFFSET(Z289,1,0))</t>
  </si>
  <si>
    <t>=IF(J291&lt;&gt;"",J291 - ('Shipping Program'!$D$9 + 'Shipping Program'!$F$9 + 'Shipping Program'!$H$9), "")</t>
  </si>
  <si>
    <t>=S291+'Shipping Program'!$H$9</t>
  </si>
  <si>
    <t>=IF(OFFSET(Y291,1,0)="",X291+'Shipping Program'!$F$9,OFFSET(Y291,1,0))</t>
  </si>
  <si>
    <t>=IF(OFFSET(Z291,1,0)="",Y291+'Shipping Program'!$H$9,OFFSET(Z291,1,0))</t>
  </si>
  <si>
    <t>=IF(J292&lt;&gt;"",J292 - ('Shipping Program'!$D$9 + 'Shipping Program'!$F$9 + 'Shipping Program'!$H$9), "")</t>
  </si>
  <si>
    <t>=S292+'Shipping Program'!$H$9</t>
  </si>
  <si>
    <t>=IF(OFFSET(Y292,1,0)="",X292+'Shipping Program'!$F$9,OFFSET(Y292,1,0))</t>
  </si>
  <si>
    <t>=IF(OFFSET(Z292,1,0)="",Y292+'Shipping Program'!$H$9,OFFSET(Z292,1,0))</t>
  </si>
  <si>
    <t>=IF(J293&lt;&gt;"",J293 - ('Shipping Program'!$D$9 + 'Shipping Program'!$F$9 + 'Shipping Program'!$H$9), "")</t>
  </si>
  <si>
    <t>=S293+'Shipping Program'!$H$9</t>
  </si>
  <si>
    <t>=IF(OFFSET(Y293,1,0)="",X293+'Shipping Program'!$F$9,OFFSET(Y293,1,0))</t>
  </si>
  <si>
    <t>=IF(OFFSET(Z293,1,0)="",Y293+'Shipping Program'!$H$9,OFFSET(Z293,1,0))</t>
  </si>
  <si>
    <t>=IF(J294&lt;&gt;"",J294 - ('Shipping Program'!$D$9 + 'Shipping Program'!$F$9 + 'Shipping Program'!$H$9), "")</t>
  </si>
  <si>
    <t>=S294+'Shipping Program'!$H$9</t>
  </si>
  <si>
    <t>=IF(OFFSET(Y294,1,0)="",X294+'Shipping Program'!$F$9,OFFSET(Y294,1,0))</t>
  </si>
  <si>
    <t>=IF(OFFSET(Z294,1,0)="",Y294+'Shipping Program'!$H$9,OFFSET(Z294,1,0))</t>
  </si>
  <si>
    <t>=IF(J295&lt;&gt;"",J295 - ('Shipping Program'!$D$9 + 'Shipping Program'!$F$9 + 'Shipping Program'!$H$9), "")</t>
  </si>
  <si>
    <t>=S295+'Shipping Program'!$H$9</t>
  </si>
  <si>
    <t>=IF(OFFSET(Y295,1,0)="",X295+'Shipping Program'!$F$9,OFFSET(Y295,1,0))</t>
  </si>
  <si>
    <t>=IF(OFFSET(Z295,1,0)="",Y295+'Shipping Program'!$H$9,OFFSET(Z295,1,0))</t>
  </si>
  <si>
    <t>=IF(J296&lt;&gt;"",J296 - ('Shipping Program'!$D$9 + 'Shipping Program'!$F$9 + 'Shipping Program'!$H$9), "")</t>
  </si>
  <si>
    <t>=S296+'Shipping Program'!$H$9</t>
  </si>
  <si>
    <t>=IF(OFFSET(Y296,1,0)="",X296+'Shipping Program'!$F$9,OFFSET(Y296,1,0))</t>
  </si>
  <si>
    <t>=IF(OFFSET(Z296,1,0)="",Y296+'Shipping Program'!$H$9,OFFSET(Z296,1,0))</t>
  </si>
  <si>
    <t>=IF(J297&lt;&gt;"",J297 - ('Shipping Program'!$D$9 + 'Shipping Program'!$F$9 + 'Shipping Program'!$H$9), "")</t>
  </si>
  <si>
    <t>=S297+'Shipping Program'!$H$9</t>
  </si>
  <si>
    <t>=IF(OFFSET(Y297,1,0)="",X297+'Shipping Program'!$F$9,OFFSET(Y297,1,0))</t>
  </si>
  <si>
    <t>=IF(OFFSET(Z297,1,0)="",Y297+'Shipping Program'!$H$9,OFFSET(Z297,1,0))</t>
  </si>
  <si>
    <t>=IF(J298&lt;&gt;"",J298 - ('Shipping Program'!$D$9 + 'Shipping Program'!$F$9 + 'Shipping Program'!$H$9), "")</t>
  </si>
  <si>
    <t>=S298+'Shipping Program'!$H$9</t>
  </si>
  <si>
    <t>=IF(OFFSET(Y298,1,0)="",X298+'Shipping Program'!$F$9,OFFSET(Y298,1,0))</t>
  </si>
  <si>
    <t>=IF(OFFSET(Z298,1,0)="",Y298+'Shipping Program'!$H$9,OFFSET(Z298,1,0))</t>
  </si>
  <si>
    <t>=IF(J299&lt;&gt;"",J299 - ('Shipping Program'!$D$9 + 'Shipping Program'!$F$9 + 'Shipping Program'!$H$9), "")</t>
  </si>
  <si>
    <t>=S299+'Shipping Program'!$H$9</t>
  </si>
  <si>
    <t>=IF(OFFSET(Y299,1,0)="",X299+'Shipping Program'!$F$9,OFFSET(Y299,1,0))</t>
  </si>
  <si>
    <t>=IF(OFFSET(Z299,1,0)="",Y299+'Shipping Program'!$H$9,OFFSET(Z299,1,0))</t>
  </si>
  <si>
    <t>=IF(J300&lt;&gt;"",J300 - ('Shipping Program'!$D$9 + 'Shipping Program'!$F$9 + 'Shipping Program'!$H$9), "")</t>
  </si>
  <si>
    <t>=S300+'Shipping Program'!$H$9</t>
  </si>
  <si>
    <t>=IF(OFFSET(Y300,1,0)="",X300+'Shipping Program'!$F$9,OFFSET(Y300,1,0))</t>
  </si>
  <si>
    <t>=IF(OFFSET(Z300,1,0)="",Y300+'Shipping Program'!$H$9,OFFSET(Z300,1,0))</t>
  </si>
  <si>
    <t>=IF(J301&lt;&gt;"",J301 - ('Shipping Program'!$D$9 + 'Shipping Program'!$F$9 + 'Shipping Program'!$H$9), "")</t>
  </si>
  <si>
    <t>=S301+'Shipping Program'!$H$9</t>
  </si>
  <si>
    <t>=IF(OFFSET(Y301,1,0)="",X301+'Shipping Program'!$F$9,OFFSET(Y301,1,0))</t>
  </si>
  <si>
    <t>=IF(OFFSET(Z301,1,0)="",Y301+'Shipping Program'!$H$9,OFFSET(Z301,1,0))</t>
  </si>
  <si>
    <t>=IF(J302&lt;&gt;"",J302 - ('Shipping Program'!$D$9 + 'Shipping Program'!$F$9 + 'Shipping Program'!$H$9), "")</t>
  </si>
  <si>
    <t>=S302+'Shipping Program'!$H$9</t>
  </si>
  <si>
    <t>=IF(OFFSET(Y302,1,0)="",X302+'Shipping Program'!$F$9,OFFSET(Y302,1,0))</t>
  </si>
  <si>
    <t>=IF(OFFSET(Z302,1,0)="",Y302+'Shipping Program'!$H$9,OFFSET(Z302,1,0))</t>
  </si>
  <si>
    <t>=IF(J303&lt;&gt;"",J303 - ('Shipping Program'!$D$9 + 'Shipping Program'!$F$9 + 'Shipping Program'!$H$9), "")</t>
  </si>
  <si>
    <t>=S303+'Shipping Program'!$H$9</t>
  </si>
  <si>
    <t>=IF(OFFSET(Y303,1,0)="",X303+'Shipping Program'!$F$9,OFFSET(Y303,1,0))</t>
  </si>
  <si>
    <t>=IF(OFFSET(Z303,1,0)="",Y303+'Shipping Program'!$H$9,OFFSET(Z303,1,0))</t>
  </si>
  <si>
    <t>=IF(J304&lt;&gt;"",J304 - ('Shipping Program'!$D$9 + 'Shipping Program'!$F$9 + 'Shipping Program'!$H$9), "")</t>
  </si>
  <si>
    <t>=S304+'Shipping Program'!$H$9</t>
  </si>
  <si>
    <t>=IF(OFFSET(Y304,1,0)="",X304+'Shipping Program'!$F$9,OFFSET(Y304,1,0))</t>
  </si>
  <si>
    <t>=IF(OFFSET(Z304,1,0)="",Y304+'Shipping Program'!$H$9,OFFSET(Z304,1,0))</t>
  </si>
  <si>
    <t>=IF(J305&lt;&gt;"",J305 - ('Shipping Program'!$D$9 + 'Shipping Program'!$F$9 + 'Shipping Program'!$H$9), "")</t>
  </si>
  <si>
    <t>=S305+'Shipping Program'!$H$9</t>
  </si>
  <si>
    <t>=IF(OFFSET(Y305,1,0)="",X305+'Shipping Program'!$F$9,OFFSET(Y305,1,0))</t>
  </si>
  <si>
    <t>=IF(OFFSET(Z305,1,0)="",Y305+'Shipping Program'!$H$9,OFFSET(Z305,1,0))</t>
  </si>
  <si>
    <t>=IF(J306&lt;&gt;"",J306 - ('Shipping Program'!$D$9 + 'Shipping Program'!$F$9 + 'Shipping Program'!$H$9), "")</t>
  </si>
  <si>
    <t>=S306+'Shipping Program'!$H$9</t>
  </si>
  <si>
    <t>=IF(OFFSET(Y306,1,0)="",X306+'Shipping Program'!$F$9,OFFSET(Y306,1,0))</t>
  </si>
  <si>
    <t>=IF(OFFSET(Z306,1,0)="",Y306+'Shipping Program'!$H$9,OFFSET(Z306,1,0))</t>
  </si>
  <si>
    <t>=IF(J308&lt;&gt;"",J308 - ('Shipping Program'!$D$9 + 'Shipping Program'!$F$9 + 'Shipping Program'!$H$9), "")</t>
  </si>
  <si>
    <t>=S308+'Shipping Program'!$H$9</t>
  </si>
  <si>
    <t>=IF(OFFSET(Y308,1,0)="",X308+'Shipping Program'!$F$9,OFFSET(Y308,1,0))</t>
  </si>
  <si>
    <t>=IF(OFFSET(Z308,1,0)="",Y308+'Shipping Program'!$H$9,OFFSET(Z308,1,0))</t>
  </si>
  <si>
    <t>=IF(J309&lt;&gt;"",J309 - ('Shipping Program'!$D$9 + 'Shipping Program'!$F$9 + 'Shipping Program'!$H$9), "")</t>
  </si>
  <si>
    <t>=S309+'Shipping Program'!$H$9</t>
  </si>
  <si>
    <t>=IF(OFFSET(Y309,1,0)="",X309+'Shipping Program'!$F$9,OFFSET(Y309,1,0))</t>
  </si>
  <si>
    <t>=IF(OFFSET(Z309,1,0)="",Y309+'Shipping Program'!$H$9,OFFSET(Z309,1,0))</t>
  </si>
  <si>
    <t>C:\Users\cnsghlijin\Downloads\20260923_CN01-2305033_Sazgar Pakistan Paintshop 15 Jph.xlsx</t>
    <phoneticPr fontId="1" type="noConversion"/>
  </si>
  <si>
    <t>V14 date checked</t>
  </si>
  <si>
    <t>V14 date issues</t>
  </si>
  <si>
    <t>V14 summary refreshed</t>
  </si>
  <si>
    <t>=IFERROR(XLOOKUP(P4,'Shipping Program'!$B$32:$B$78,'Shipping Program'!$A$32:$A$78),IFERROR(INDEX(_V7Batches!$B:$B,MATCH(P4&amp;"",_V7Batches!$A:$A,0)),""))</t>
  </si>
  <si>
    <t>=IFERROR(XLOOKUP(P4,'Shipping Program'!$B$32:$B$78,'Shipping Program'!$E$32:$E$78),IFERROR(INDEX(_V7Batches!$D:$D,MATCH(P4&amp;"",_V7Batches!$A:$A,0)),""))</t>
  </si>
  <si>
    <t>=IFERROR(XLOOKUP(P5,'Shipping Program'!$B$32:$B$78,'Shipping Program'!$A$32:$A$78),IFERROR(INDEX(_V7Batches!$B:$B,MATCH(P5&amp;"",_V7Batches!$A:$A,0)),""))</t>
  </si>
  <si>
    <t>=IFERROR(XLOOKUP(P5,'Shipping Program'!$B$32:$B$78,'Shipping Program'!$E$32:$E$78),IFERROR(INDEX(_V7Batches!$D:$D,MATCH(P5&amp;"",_V7Batches!$A:$A,0)),""))</t>
  </si>
  <si>
    <t>=VLOOKUP(I6,'Shipping Program'!$A$32:$B$78,2)-1</t>
  </si>
  <si>
    <t>=IFERROR(XLOOKUP(P6,'Shipping Program'!$B$32:$B$78,'Shipping Program'!$A$32:$A$78),IFERROR(INDEX(_V7Batches!$B:$B,MATCH(P6&amp;"",_V7Batches!$A:$A,0)),""))</t>
  </si>
  <si>
    <t>=IFERROR(XLOOKUP(P6,'Shipping Program'!$B$32:$B$78,'Shipping Program'!$E$32:$E$78),IFERROR(INDEX(_V7Batches!$D:$D,MATCH(P6&amp;"",_V7Batches!$A:$A,0)),""))</t>
  </si>
  <si>
    <t>=VLOOKUP(I7,'Shipping Program'!$A$32:$B$78,2)-1</t>
  </si>
  <si>
    <t>=IFERROR(XLOOKUP(P7,'Shipping Program'!$B$32:$B$78,'Shipping Program'!$A$32:$A$78),IFERROR(INDEX(_V7Batches!$B:$B,MATCH(P7&amp;"",_V7Batches!$A:$A,0)),""))</t>
  </si>
  <si>
    <t>=IFERROR(XLOOKUP(P7,'Shipping Program'!$B$32:$B$78,'Shipping Program'!$E$32:$E$78),IFERROR(INDEX(_V7Batches!$D:$D,MATCH(P7&amp;"",_V7Batches!$A:$A,0)),""))</t>
  </si>
  <si>
    <t>=VLOOKUP(I8,'Shipping Program'!$A$32:$B$78,2)-1</t>
  </si>
  <si>
    <t>=IFERROR(XLOOKUP(P8,'Shipping Program'!$B$32:$B$78,'Shipping Program'!$A$32:$A$78),IFERROR(INDEX(_V7Batches!$B:$B,MATCH(P8&amp;"",_V7Batches!$A:$A,0)),""))</t>
  </si>
  <si>
    <t>=IFERROR(XLOOKUP(P8,'Shipping Program'!$B$32:$B$78,'Shipping Program'!$E$32:$E$78),IFERROR(INDEX(_V7Batches!$D:$D,MATCH(P8&amp;"",_V7Batches!$A:$A,0)),""))</t>
  </si>
  <si>
    <t>=VLOOKUP(I9,'Shipping Program'!$A$32:$B$78,2)-1</t>
  </si>
  <si>
    <t>=IFERROR(XLOOKUP(P9,'Shipping Program'!$B$32:$B$78,'Shipping Program'!$A$32:$A$78),IFERROR(INDEX(_V7Batches!$B:$B,MATCH(P9&amp;"",_V7Batches!$A:$A,0)),""))</t>
  </si>
  <si>
    <t>=IFERROR(XLOOKUP(P9,'Shipping Program'!$B$32:$B$78,'Shipping Program'!$E$32:$E$78),IFERROR(INDEX(_V7Batches!$D:$D,MATCH(P9&amp;"",_V7Batches!$A:$A,0)),""))</t>
  </si>
  <si>
    <t>=VLOOKUP(I11,'Shipping Program'!$A$32:$B$78,2)-1</t>
  </si>
  <si>
    <t>=IFERROR(XLOOKUP(P11,'Shipping Program'!$B$32:$B$78,'Shipping Program'!$A$32:$A$78),IFERROR(INDEX(_V7Batches!$B:$B,MATCH(P11&amp;"",_V7Batches!$A:$A,0)),""))</t>
  </si>
  <si>
    <t>=IFERROR(XLOOKUP(P11,'Shipping Program'!$B$32:$B$78,'Shipping Program'!$E$32:$E$78),IFERROR(INDEX(_V7Batches!$D:$D,MATCH(P11&amp;"",_V7Batches!$A:$A,0)),""))</t>
  </si>
  <si>
    <t>=VLOOKUP(I12,'Shipping Program'!$A$32:$B$78,2)-1</t>
  </si>
  <si>
    <t>=IFERROR(XLOOKUP(P12,'Shipping Program'!$B$32:$B$78,'Shipping Program'!$A$32:$A$78),IFERROR(INDEX(_V7Batches!$B:$B,MATCH(P12&amp;"",_V7Batches!$A:$A,0)),""))</t>
  </si>
  <si>
    <t>=IFERROR(XLOOKUP(P12,'Shipping Program'!$B$32:$B$78,'Shipping Program'!$E$32:$E$78),IFERROR(INDEX(_V7Batches!$D:$D,MATCH(P12&amp;"",_V7Batches!$A:$A,0)),""))</t>
  </si>
  <si>
    <t>=VLOOKUP(I13,'Shipping Program'!$A$32:$B$78,2)-1</t>
  </si>
  <si>
    <t>=IFERROR(XLOOKUP(P13,'Shipping Program'!$B$32:$B$78,'Shipping Program'!$A$32:$A$78),IFERROR(INDEX(_V7Batches!$B:$B,MATCH(P13&amp;"",_V7Batches!$A:$A,0)),""))</t>
  </si>
  <si>
    <t>=IFERROR(XLOOKUP(P13,'Shipping Program'!$B$32:$B$78,'Shipping Program'!$E$32:$E$78),IFERROR(INDEX(_V7Batches!$D:$D,MATCH(P13&amp;"",_V7Batches!$A:$A,0)),""))</t>
  </si>
  <si>
    <t>=VLOOKUP(I14,'Shipping Program'!$A$32:$B$78,2)-1</t>
  </si>
  <si>
    <t>=IFERROR(XLOOKUP(P14,'Shipping Program'!$B$32:$B$78,'Shipping Program'!$A$32:$A$78),IFERROR(INDEX(_V7Batches!$B:$B,MATCH(P14&amp;"",_V7Batches!$A:$A,0)),""))</t>
  </si>
  <si>
    <t>=IFERROR(XLOOKUP(P14,'Shipping Program'!$B$32:$B$78,'Shipping Program'!$E$32:$E$78),IFERROR(INDEX(_V7Batches!$D:$D,MATCH(P14&amp;"",_V7Batches!$A:$A,0)),""))</t>
  </si>
  <si>
    <t>=IFERROR(XLOOKUP(P15,'Shipping Program'!$B$32:$B$78,'Shipping Program'!$A$32:$A$78),IFERROR(INDEX(_V7Batches!$B:$B,MATCH(P15&amp;"",_V7Batches!$A:$A,0)),""))</t>
  </si>
  <si>
    <t>=IFERROR(XLOOKUP(P15,'Shipping Program'!$B$32:$B$78,'Shipping Program'!$E$32:$E$78),IFERROR(INDEX(_V7Batches!$D:$D,MATCH(P15&amp;"",_V7Batches!$A:$A,0)),""))</t>
  </si>
  <si>
    <t>=VLOOKUP(I16,'Shipping Program'!$A$32:$B$78,2)-1</t>
  </si>
  <si>
    <t>=IFERROR(XLOOKUP(P16,'Shipping Program'!$B$32:$B$78,'Shipping Program'!$A$32:$A$78),IFERROR(INDEX(_V7Batches!$B:$B,MATCH(P16&amp;"",_V7Batches!$A:$A,0)),""))</t>
  </si>
  <si>
    <t>=IFERROR(XLOOKUP(P16,'Shipping Program'!$B$32:$B$78,'Shipping Program'!$E$32:$E$78),IFERROR(INDEX(_V7Batches!$D:$D,MATCH(P16&amp;"",_V7Batches!$A:$A,0)),""))</t>
  </si>
  <si>
    <t>=VLOOKUP(I17,'Shipping Program'!$A$32:$B$78,2)-1</t>
  </si>
  <si>
    <t>=IFERROR(XLOOKUP(P17,'Shipping Program'!$B$32:$B$78,'Shipping Program'!$A$32:$A$78),IFERROR(INDEX(_V7Batches!$B:$B,MATCH(P17&amp;"",_V7Batches!$A:$A,0)),""))</t>
  </si>
  <si>
    <t>=IFERROR(XLOOKUP(P17,'Shipping Program'!$B$32:$B$78,'Shipping Program'!$E$32:$E$78),IFERROR(INDEX(_V7Batches!$D:$D,MATCH(P17&amp;"",_V7Batches!$A:$A,0)),""))</t>
  </si>
  <si>
    <t>=VLOOKUP(I18,'Shipping Program'!$A$32:$B$78,2)-1</t>
  </si>
  <si>
    <t>=IFERROR(XLOOKUP(P18,'Shipping Program'!$B$32:$B$78,'Shipping Program'!$A$32:$A$78),IFERROR(INDEX(_V7Batches!$B:$B,MATCH(P18&amp;"",_V7Batches!$A:$A,0)),""))</t>
  </si>
  <si>
    <t>=IFERROR(XLOOKUP(P18,'Shipping Program'!$B$32:$B$78,'Shipping Program'!$E$32:$E$78),IFERROR(INDEX(_V7Batches!$D:$D,MATCH(P18&amp;"",_V7Batches!$A:$A,0)),""))</t>
  </si>
  <si>
    <t>=IFERROR(XLOOKUP(P20,'Shipping Program'!$B$32:$B$78,'Shipping Program'!$A$32:$A$78),IFERROR(INDEX(_V7Batches!$B:$B,MATCH(P20&amp;"",_V7Batches!$A:$A,0)),""))</t>
  </si>
  <si>
    <t>=IFERROR(XLOOKUP(P20,'Shipping Program'!$B$32:$B$78,'Shipping Program'!$E$32:$E$78),IFERROR(INDEX(_V7Batches!$D:$D,MATCH(P20&amp;"",_V7Batches!$A:$A,0)),""))</t>
  </si>
  <si>
    <t>=VLOOKUP(I21,'Shipping Program'!$A$32:$B$78,2)-1</t>
  </si>
  <si>
    <t>=IFERROR(XLOOKUP(P21,'Shipping Program'!$B$32:$B$78,'Shipping Program'!$A$32:$A$78),IFERROR(INDEX(_V7Batches!$B:$B,MATCH(P21&amp;"",_V7Batches!$A:$A,0)),""))</t>
  </si>
  <si>
    <t>=IFERROR(XLOOKUP(P21,'Shipping Program'!$B$32:$B$78,'Shipping Program'!$E$32:$E$78),IFERROR(INDEX(_V7Batches!$D:$D,MATCH(P21&amp;"",_V7Batches!$A:$A,0)),""))</t>
  </si>
  <si>
    <t>=VLOOKUP(I22,'Shipping Program'!$A$32:$B$78,2)-1</t>
  </si>
  <si>
    <t>=IFERROR(XLOOKUP(P22,'Shipping Program'!$B$32:$B$78,'Shipping Program'!$A$32:$A$78),IFERROR(INDEX(_V7Batches!$B:$B,MATCH(P22&amp;"",_V7Batches!$A:$A,0)),""))</t>
  </si>
  <si>
    <t>=IFERROR(XLOOKUP(P22,'Shipping Program'!$B$32:$B$78,'Shipping Program'!$E$32:$E$78),IFERROR(INDEX(_V7Batches!$D:$D,MATCH(P22&amp;"",_V7Batches!$A:$A,0)),""))</t>
  </si>
  <si>
    <t>=VLOOKUP(I23,'Shipping Program'!$A$32:$B$78,2)-1</t>
  </si>
  <si>
    <t>=IFERROR(XLOOKUP(P23,'Shipping Program'!$B$32:$B$78,'Shipping Program'!$A$32:$A$78),IFERROR(INDEX(_V7Batches!$B:$B,MATCH(P23&amp;"",_V7Batches!$A:$A,0)),""))</t>
  </si>
  <si>
    <t>=IFERROR(XLOOKUP(P23,'Shipping Program'!$B$32:$B$78,'Shipping Program'!$E$32:$E$78),IFERROR(INDEX(_V7Batches!$D:$D,MATCH(P23&amp;"",_V7Batches!$A:$A,0)),""))</t>
  </si>
  <si>
    <t>=VLOOKUP(I24,'Shipping Program'!$A$32:$B$78,2)-1</t>
  </si>
  <si>
    <t>=IFERROR(XLOOKUP(P24,'Shipping Program'!$B$32:$B$78,'Shipping Program'!$A$32:$A$78),IFERROR(INDEX(_V7Batches!$B:$B,MATCH(P24&amp;"",_V7Batches!$A:$A,0)),""))</t>
  </si>
  <si>
    <t>=IFERROR(XLOOKUP(P24,'Shipping Program'!$B$32:$B$78,'Shipping Program'!$E$32:$E$78),IFERROR(INDEX(_V7Batches!$D:$D,MATCH(P24&amp;"",_V7Batches!$A:$A,0)),""))</t>
  </si>
  <si>
    <t>=VLOOKUP(I25,'Shipping Program'!$A$32:$B$78,2)-1</t>
  </si>
  <si>
    <t>=IFERROR(XLOOKUP(P25,'Shipping Program'!$B$32:$B$78,'Shipping Program'!$A$32:$A$78),IFERROR(INDEX(_V7Batches!$B:$B,MATCH(P25&amp;"",_V7Batches!$A:$A,0)),""))</t>
  </si>
  <si>
    <t>=IFERROR(XLOOKUP(P25,'Shipping Program'!$B$32:$B$78,'Shipping Program'!$E$32:$E$78),IFERROR(INDEX(_V7Batches!$D:$D,MATCH(P25&amp;"",_V7Batches!$A:$A,0)),""))</t>
  </si>
  <si>
    <t>=VLOOKUP(I26,'Shipping Program'!$A$32:$B$78,2)-1</t>
  </si>
  <si>
    <t>=IFERROR(XLOOKUP(P26,'Shipping Program'!$B$32:$B$78,'Shipping Program'!$A$32:$A$78),IFERROR(INDEX(_V7Batches!$B:$B,MATCH(P26&amp;"",_V7Batches!$A:$A,0)),""))</t>
  </si>
  <si>
    <t>=IFERROR(XLOOKUP(P26,'Shipping Program'!$B$32:$B$78,'Shipping Program'!$E$32:$E$78),IFERROR(INDEX(_V7Batches!$D:$D,MATCH(P26&amp;"",_V7Batches!$A:$A,0)),""))</t>
  </si>
  <si>
    <t>=VLOOKUP(I27,'Shipping Program'!$A$32:$B$78,2)-1</t>
  </si>
  <si>
    <t>=IFERROR(XLOOKUP(P27,'Shipping Program'!$B$32:$B$78,'Shipping Program'!$A$32:$A$78),IFERROR(INDEX(_V7Batches!$B:$B,MATCH(P27&amp;"",_V7Batches!$A:$A,0)),""))</t>
  </si>
  <si>
    <t>=IFERROR(XLOOKUP(P27,'Shipping Program'!$B$32:$B$78,'Shipping Program'!$E$32:$E$78),IFERROR(INDEX(_V7Batches!$D:$D,MATCH(P27&amp;"",_V7Batches!$A:$A,0)),""))</t>
  </si>
  <si>
    <t>=VLOOKUP(I28,'Shipping Program'!$A$32:$B$78,2)-1</t>
  </si>
  <si>
    <t>=IFERROR(XLOOKUP(P28,'Shipping Program'!$B$32:$B$78,'Shipping Program'!$A$32:$A$78),IFERROR(INDEX(_V7Batches!$B:$B,MATCH(P28&amp;"",_V7Batches!$A:$A,0)),""))</t>
  </si>
  <si>
    <t>=IFERROR(XLOOKUP(P28,'Shipping Program'!$B$32:$B$78,'Shipping Program'!$E$32:$E$78),IFERROR(INDEX(_V7Batches!$D:$D,MATCH(P28&amp;"",_V7Batches!$A:$A,0)),""))</t>
  </si>
  <si>
    <t>=VLOOKUP(I29,'Shipping Program'!$A$32:$B$78,2)-1</t>
  </si>
  <si>
    <t>=IFERROR(XLOOKUP(P29,'Shipping Program'!$B$32:$B$78,'Shipping Program'!$A$32:$A$78),IFERROR(INDEX(_V7Batches!$B:$B,MATCH(P29&amp;"",_V7Batches!$A:$A,0)),""))</t>
  </si>
  <si>
    <t>=IFERROR(XLOOKUP(P29,'Shipping Program'!$B$32:$B$78,'Shipping Program'!$E$32:$E$78),IFERROR(INDEX(_V7Batches!$D:$D,MATCH(P29&amp;"",_V7Batches!$A:$A,0)),""))</t>
  </si>
  <si>
    <t>=VLOOKUP(I30,'Shipping Program'!$A$32:$B$78,2)-1</t>
  </si>
  <si>
    <t>=IFERROR(XLOOKUP(P30,'Shipping Program'!$B$32:$B$78,'Shipping Program'!$A$32:$A$78),IFERROR(INDEX(_V7Batches!$B:$B,MATCH(P30&amp;"",_V7Batches!$A:$A,0)),""))</t>
  </si>
  <si>
    <t>=IFERROR(XLOOKUP(P30,'Shipping Program'!$B$32:$B$78,'Shipping Program'!$E$32:$E$78),IFERROR(INDEX(_V7Batches!$D:$D,MATCH(P30&amp;"",_V7Batches!$A:$A,0)),""))</t>
  </si>
  <si>
    <t>=VLOOKUP(I31,'Shipping Program'!$A$32:$B$78,2)-1</t>
  </si>
  <si>
    <t>=IFERROR(XLOOKUP(P31,'Shipping Program'!$B$32:$B$78,'Shipping Program'!$A$32:$A$78),IFERROR(INDEX(_V7Batches!$B:$B,MATCH(P31&amp;"",_V7Batches!$A:$A,0)),""))</t>
  </si>
  <si>
    <t>=IFERROR(XLOOKUP(P31,'Shipping Program'!$B$32:$B$78,'Shipping Program'!$E$32:$E$78),IFERROR(INDEX(_V7Batches!$D:$D,MATCH(P31&amp;"",_V7Batches!$A:$A,0)),""))</t>
  </si>
  <si>
    <t>=VLOOKUP(I32,'Shipping Program'!$A$32:$B$78,2)-1</t>
  </si>
  <si>
    <t>=IFERROR(XLOOKUP(P32,'Shipping Program'!$B$32:$B$78,'Shipping Program'!$A$32:$A$78),IFERROR(INDEX(_V7Batches!$B:$B,MATCH(P32&amp;"",_V7Batches!$A:$A,0)),""))</t>
  </si>
  <si>
    <t>=IFERROR(XLOOKUP(P32,'Shipping Program'!$B$32:$B$78,'Shipping Program'!$E$32:$E$78),IFERROR(INDEX(_V7Batches!$D:$D,MATCH(P32&amp;"",_V7Batches!$A:$A,0)),""))</t>
  </si>
  <si>
    <t>=VLOOKUP(I34,'Shipping Program'!$A$32:$B$78,2)-1</t>
  </si>
  <si>
    <t>=IFERROR(XLOOKUP(P34,'Shipping Program'!$B$32:$B$78,'Shipping Program'!$A$32:$A$78),IFERROR(INDEX(_V7Batches!$B:$B,MATCH(P34&amp;"",_V7Batches!$A:$A,0)),""))</t>
  </si>
  <si>
    <t>=IFERROR(XLOOKUP(P34,'Shipping Program'!$B$32:$B$78,'Shipping Program'!$E$32:$E$78),IFERROR(INDEX(_V7Batches!$D:$D,MATCH(P34&amp;"",_V7Batches!$A:$A,0)),""))</t>
  </si>
  <si>
    <t>=VLOOKUP(I35,'Shipping Program'!$A$32:$B$78,2)-1</t>
  </si>
  <si>
    <t>=IFERROR(XLOOKUP(P35,'Shipping Program'!$B$32:$B$78,'Shipping Program'!$A$32:$A$78),IFERROR(INDEX(_V7Batches!$B:$B,MATCH(P35&amp;"",_V7Batches!$A:$A,0)),""))</t>
  </si>
  <si>
    <t>=IFERROR(XLOOKUP(P35,'Shipping Program'!$B$32:$B$78,'Shipping Program'!$E$32:$E$78),IFERROR(INDEX(_V7Batches!$D:$D,MATCH(P35&amp;"",_V7Batches!$A:$A,0)),""))</t>
  </si>
  <si>
    <t>=VLOOKUP(I36,'Shipping Program'!$A$32:$B$78,2)-1</t>
  </si>
  <si>
    <t>=IFERROR(XLOOKUP(P36,'Shipping Program'!$B$32:$B$78,'Shipping Program'!$A$32:$A$78),IFERROR(INDEX(_V7Batches!$B:$B,MATCH(P36&amp;"",_V7Batches!$A:$A,0)),""))</t>
  </si>
  <si>
    <t>=IFERROR(XLOOKUP(P36,'Shipping Program'!$B$32:$B$78,'Shipping Program'!$E$32:$E$78),IFERROR(INDEX(_V7Batches!$D:$D,MATCH(P36&amp;"",_V7Batches!$A:$A,0)),""))</t>
  </si>
  <si>
    <t>=VLOOKUP(I37,'Shipping Program'!$A$32:$B$78,2)-1</t>
  </si>
  <si>
    <t>=IFERROR(XLOOKUP(P37,'Shipping Program'!$B$32:$B$78,'Shipping Program'!$A$32:$A$78),IFERROR(INDEX(_V7Batches!$B:$B,MATCH(P37&amp;"",_V7Batches!$A:$A,0)),""))</t>
  </si>
  <si>
    <t>=IFERROR(XLOOKUP(P37,'Shipping Program'!$B$32:$B$78,'Shipping Program'!$E$32:$E$78),IFERROR(INDEX(_V7Batches!$D:$D,MATCH(P37&amp;"",_V7Batches!$A:$A,0)),""))</t>
  </si>
  <si>
    <t>=VLOOKUP(I38,'Shipping Program'!$A$32:$B$78,2)-1</t>
  </si>
  <si>
    <t>=IFERROR(XLOOKUP(P38,'Shipping Program'!$B$32:$B$78,'Shipping Program'!$A$32:$A$78),IFERROR(INDEX(_V7Batches!$B:$B,MATCH(P38&amp;"",_V7Batches!$A:$A,0)),""))</t>
  </si>
  <si>
    <t>=IFERROR(XLOOKUP(P38,'Shipping Program'!$B$32:$B$78,'Shipping Program'!$E$32:$E$78),IFERROR(INDEX(_V7Batches!$D:$D,MATCH(P38&amp;"",_V7Batches!$A:$A,0)),""))</t>
  </si>
  <si>
    <t>=VLOOKUP(I39,'Shipping Program'!$A$32:$B$78,2)-1</t>
  </si>
  <si>
    <t>=IFERROR(XLOOKUP(P39,'Shipping Program'!$B$32:$B$78,'Shipping Program'!$A$32:$A$78),IFERROR(INDEX(_V7Batches!$B:$B,MATCH(P39&amp;"",_V7Batches!$A:$A,0)),""))</t>
  </si>
  <si>
    <t>=IFERROR(XLOOKUP(P39,'Shipping Program'!$B$32:$B$78,'Shipping Program'!$E$32:$E$78),IFERROR(INDEX(_V7Batches!$D:$D,MATCH(P39&amp;"",_V7Batches!$A:$A,0)),""))</t>
  </si>
  <si>
    <t>=VLOOKUP(I41,'Shipping Program'!$A$32:$B$78,2)-1</t>
  </si>
  <si>
    <t>=IFERROR(XLOOKUP(P41,'Shipping Program'!$B$32:$B$78,'Shipping Program'!$A$32:$A$78),IFERROR(INDEX(_V7Batches!$B:$B,MATCH(P41&amp;"",_V7Batches!$A:$A,0)),""))</t>
  </si>
  <si>
    <t>=IFERROR(XLOOKUP(P41,'Shipping Program'!$B$32:$B$78,'Shipping Program'!$E$32:$E$78),IFERROR(INDEX(_V7Batches!$D:$D,MATCH(P41&amp;"",_V7Batches!$A:$A,0)),""))</t>
  </si>
  <si>
    <t>=VLOOKUP(I42,'Shipping Program'!$A$32:$B$78,2)-1</t>
  </si>
  <si>
    <t>=IFERROR(XLOOKUP(P42,'Shipping Program'!$B$32:$B$78,'Shipping Program'!$A$32:$A$78),IFERROR(INDEX(_V7Batches!$B:$B,MATCH(P42&amp;"",_V7Batches!$A:$A,0)),""))</t>
  </si>
  <si>
    <t>=IFERROR(XLOOKUP(P42,'Shipping Program'!$B$32:$B$78,'Shipping Program'!$E$32:$E$78),IFERROR(INDEX(_V7Batches!$D:$D,MATCH(P42&amp;"",_V7Batches!$A:$A,0)),""))</t>
  </si>
  <si>
    <t>=VLOOKUP(I43,'Shipping Program'!$A$32:$B$78,2)-1</t>
  </si>
  <si>
    <t>=IFERROR(XLOOKUP(P43,'Shipping Program'!$B$32:$B$78,'Shipping Program'!$A$32:$A$78),IFERROR(INDEX(_V7Batches!$B:$B,MATCH(P43&amp;"",_V7Batches!$A:$A,0)),""))</t>
  </si>
  <si>
    <t>=IFERROR(XLOOKUP(P43,'Shipping Program'!$B$32:$B$78,'Shipping Program'!$E$32:$E$78),IFERROR(INDEX(_V7Batches!$D:$D,MATCH(P43&amp;"",_V7Batches!$A:$A,0)),""))</t>
  </si>
  <si>
    <t>=VLOOKUP(I44,'Shipping Program'!$A$32:$B$78,2)-1</t>
  </si>
  <si>
    <t>=IFERROR(XLOOKUP(P44,'Shipping Program'!$B$32:$B$78,'Shipping Program'!$A$32:$A$78),IFERROR(INDEX(_V7Batches!$B:$B,MATCH(P44&amp;"",_V7Batches!$A:$A,0)),""))</t>
  </si>
  <si>
    <t>=IFERROR(XLOOKUP(P44,'Shipping Program'!$B$32:$B$78,'Shipping Program'!$E$32:$E$78),IFERROR(INDEX(_V7Batches!$D:$D,MATCH(P44&amp;"",_V7Batches!$A:$A,0)),""))</t>
  </si>
  <si>
    <t>=VLOOKUP(I45,'Shipping Program'!$A$32:$B$78,2)-1</t>
  </si>
  <si>
    <t>=IFERROR(XLOOKUP(P45,'Shipping Program'!$B$32:$B$78,'Shipping Program'!$A$32:$A$78),IFERROR(INDEX(_V7Batches!$B:$B,MATCH(P45&amp;"",_V7Batches!$A:$A,0)),""))</t>
  </si>
  <si>
    <t>=IFERROR(XLOOKUP(P45,'Shipping Program'!$B$32:$B$78,'Shipping Program'!$E$32:$E$78),IFERROR(INDEX(_V7Batches!$D:$D,MATCH(P45&amp;"",_V7Batches!$A:$A,0)),""))</t>
  </si>
  <si>
    <t>=VLOOKUP(I46,'Shipping Program'!$A$32:$B$78,2)-1</t>
  </si>
  <si>
    <t>=IFERROR(XLOOKUP(P46,'Shipping Program'!$B$32:$B$78,'Shipping Program'!$A$32:$A$78),IFERROR(INDEX(_V7Batches!$B:$B,MATCH(P46&amp;"",_V7Batches!$A:$A,0)),""))</t>
  </si>
  <si>
    <t>=IFERROR(XLOOKUP(P46,'Shipping Program'!$B$32:$B$78,'Shipping Program'!$E$32:$E$78),IFERROR(INDEX(_V7Batches!$D:$D,MATCH(P46&amp;"",_V7Batches!$A:$A,0)),""))</t>
  </si>
  <si>
    <t>=VLOOKUP(I47,'Shipping Program'!$A$32:$B$78,2)-1</t>
  </si>
  <si>
    <t>=IFERROR(XLOOKUP(P47,'Shipping Program'!$B$32:$B$78,'Shipping Program'!$A$32:$A$78),IFERROR(INDEX(_V7Batches!$B:$B,MATCH(P47&amp;"",_V7Batches!$A:$A,0)),""))</t>
  </si>
  <si>
    <t>=IFERROR(XLOOKUP(P47,'Shipping Program'!$B$32:$B$78,'Shipping Program'!$E$32:$E$78),IFERROR(INDEX(_V7Batches!$D:$D,MATCH(P47&amp;"",_V7Batches!$A:$A,0)),""))</t>
  </si>
  <si>
    <t>=VLOOKUP(I49,'Shipping Program'!$A$32:$B$78,2)-1</t>
  </si>
  <si>
    <t>=IFERROR(XLOOKUP(P49,'Shipping Program'!$B$32:$B$78,'Shipping Program'!$A$32:$A$78),IFERROR(INDEX(_V7Batches!$B:$B,MATCH(P49&amp;"",_V7Batches!$A:$A,0)),""))</t>
  </si>
  <si>
    <t>=IFERROR(XLOOKUP(P49,'Shipping Program'!$B$32:$B$78,'Shipping Program'!$E$32:$E$78),IFERROR(INDEX(_V7Batches!$D:$D,MATCH(P49&amp;"",_V7Batches!$A:$A,0)),""))</t>
  </si>
  <si>
    <t>=VLOOKUP(I50,'Shipping Program'!$A$32:$B$78,2)-1</t>
  </si>
  <si>
    <t>=IFERROR(XLOOKUP(P50,'Shipping Program'!$B$32:$B$78,'Shipping Program'!$A$32:$A$78),IFERROR(INDEX(_V7Batches!$B:$B,MATCH(P50&amp;"",_V7Batches!$A:$A,0)),""))</t>
  </si>
  <si>
    <t>=IFERROR(XLOOKUP(P50,'Shipping Program'!$B$32:$B$78,'Shipping Program'!$E$32:$E$78),IFERROR(INDEX(_V7Batches!$D:$D,MATCH(P50&amp;"",_V7Batches!$A:$A,0)),""))</t>
  </si>
  <si>
    <t>=VLOOKUP(I51,'Shipping Program'!$A$32:$B$78,2)-1</t>
  </si>
  <si>
    <t>=IFERROR(XLOOKUP(P51,'Shipping Program'!$B$32:$B$78,'Shipping Program'!$A$32:$A$78),IFERROR(INDEX(_V7Batches!$B:$B,MATCH(P51&amp;"",_V7Batches!$A:$A,0)),""))</t>
  </si>
  <si>
    <t>=IFERROR(XLOOKUP(P51,'Shipping Program'!$B$32:$B$78,'Shipping Program'!$E$32:$E$78),IFERROR(INDEX(_V7Batches!$D:$D,MATCH(P51&amp;"",_V7Batches!$A:$A,0)),""))</t>
  </si>
  <si>
    <t>=VLOOKUP(I52,'Shipping Program'!$A$32:$B$78,2)-1</t>
  </si>
  <si>
    <t>=IFERROR(XLOOKUP(P52,'Shipping Program'!$B$32:$B$78,'Shipping Program'!$A$32:$A$78),IFERROR(INDEX(_V7Batches!$B:$B,MATCH(P52&amp;"",_V7Batches!$A:$A,0)),""))</t>
  </si>
  <si>
    <t>=IFERROR(XLOOKUP(P52,'Shipping Program'!$B$32:$B$78,'Shipping Program'!$E$32:$E$78),IFERROR(INDEX(_V7Batches!$D:$D,MATCH(P52&amp;"",_V7Batches!$A:$A,0)),""))</t>
  </si>
  <si>
    <t>=VLOOKUP(I54,'Shipping Program'!$A$32:$B$78,2)-1</t>
  </si>
  <si>
    <t>=IFERROR(XLOOKUP(P54,'Shipping Program'!$B$32:$B$78,'Shipping Program'!$A$32:$A$78),IFERROR(INDEX(_V7Batches!$B:$B,MATCH(P54&amp;"",_V7Batches!$A:$A,0)),""))</t>
  </si>
  <si>
    <t>=IFERROR(XLOOKUP(P54,'Shipping Program'!$B$32:$B$78,'Shipping Program'!$E$32:$E$78),IFERROR(INDEX(_V7Batches!$D:$D,MATCH(P54&amp;"",_V7Batches!$A:$A,0)),""))</t>
  </si>
  <si>
    <t>=VLOOKUP(I55,'Shipping Program'!$A$32:$B$78,2)-1</t>
  </si>
  <si>
    <t>=IFERROR(XLOOKUP(P55,'Shipping Program'!$B$32:$B$78,'Shipping Program'!$A$32:$A$78),IFERROR(INDEX(_V7Batches!$B:$B,MATCH(P55&amp;"",_V7Batches!$A:$A,0)),""))</t>
  </si>
  <si>
    <t>=IFERROR(XLOOKUP(P55,'Shipping Program'!$B$32:$B$78,'Shipping Program'!$E$32:$E$78),IFERROR(INDEX(_V7Batches!$D:$D,MATCH(P55&amp;"",_V7Batches!$A:$A,0)),""))</t>
  </si>
  <si>
    <t>=VLOOKUP(I56,'Shipping Program'!$A$32:$B$78,2)-1</t>
  </si>
  <si>
    <t>=IFERROR(XLOOKUP(P56,'Shipping Program'!$B$32:$B$78,'Shipping Program'!$A$32:$A$78),IFERROR(INDEX(_V7Batches!$B:$B,MATCH(P56&amp;"",_V7Batches!$A:$A,0)),""))</t>
  </si>
  <si>
    <t>=IFERROR(XLOOKUP(P56,'Shipping Program'!$B$32:$B$78,'Shipping Program'!$E$32:$E$78),IFERROR(INDEX(_V7Batches!$D:$D,MATCH(P56&amp;"",_V7Batches!$A:$A,0)),""))</t>
  </si>
  <si>
    <t>=VLOOKUP(I57,'Shipping Program'!$A$32:$B$78,2)-1</t>
  </si>
  <si>
    <t>=IFERROR(XLOOKUP(P57,'Shipping Program'!$B$32:$B$78,'Shipping Program'!$A$32:$A$78),IFERROR(INDEX(_V7Batches!$B:$B,MATCH(P57&amp;"",_V7Batches!$A:$A,0)),""))</t>
  </si>
  <si>
    <t>=IFERROR(XLOOKUP(P57,'Shipping Program'!$B$32:$B$78,'Shipping Program'!$E$32:$E$78),IFERROR(INDEX(_V7Batches!$D:$D,MATCH(P57&amp;"",_V7Batches!$A:$A,0)),""))</t>
  </si>
  <si>
    <t>=VLOOKUP(I58,'Shipping Program'!$A$32:$B$78,2)-1</t>
  </si>
  <si>
    <t>=IFERROR(XLOOKUP(P58,'Shipping Program'!$B$32:$B$78,'Shipping Program'!$A$32:$A$78),IFERROR(INDEX(_V7Batches!$B:$B,MATCH(P58&amp;"",_V7Batches!$A:$A,0)),""))</t>
  </si>
  <si>
    <t>=IFERROR(XLOOKUP(P58,'Shipping Program'!$B$32:$B$78,'Shipping Program'!$E$32:$E$78),IFERROR(INDEX(_V7Batches!$D:$D,MATCH(P58&amp;"",_V7Batches!$A:$A,0)),""))</t>
  </si>
  <si>
    <t>=VLOOKUP(I59,'Shipping Program'!$A$32:$B$78,2)-1</t>
  </si>
  <si>
    <t>=IFERROR(XLOOKUP(P59,'Shipping Program'!$B$32:$B$78,'Shipping Program'!$A$32:$A$78),IFERROR(INDEX(_V7Batches!$B:$B,MATCH(P59&amp;"",_V7Batches!$A:$A,0)),""))</t>
  </si>
  <si>
    <t>=IFERROR(XLOOKUP(P59,'Shipping Program'!$B$32:$B$78,'Shipping Program'!$E$32:$E$78),IFERROR(INDEX(_V7Batches!$D:$D,MATCH(P59&amp;"",_V7Batches!$A:$A,0)),""))</t>
  </si>
  <si>
    <t>=VLOOKUP(I60,'Shipping Program'!$A$32:$B$78,2)-1</t>
  </si>
  <si>
    <t>=IFERROR(XLOOKUP(P60,'Shipping Program'!$B$32:$B$78,'Shipping Program'!$A$32:$A$78),IFERROR(INDEX(_V7Batches!$B:$B,MATCH(P60&amp;"",_V7Batches!$A:$A,0)),""))</t>
  </si>
  <si>
    <t>=IFERROR(XLOOKUP(P60,'Shipping Program'!$B$32:$B$78,'Shipping Program'!$E$32:$E$78),IFERROR(INDEX(_V7Batches!$D:$D,MATCH(P60&amp;"",_V7Batches!$A:$A,0)),""))</t>
  </si>
  <si>
    <t>=VLOOKUP(I61,'Shipping Program'!$A$32:$B$78,2)-1</t>
  </si>
  <si>
    <t>=IFERROR(XLOOKUP(P61,'Shipping Program'!$B$32:$B$78,'Shipping Program'!$A$32:$A$78),IFERROR(INDEX(_V7Batches!$B:$B,MATCH(P61&amp;"",_V7Batches!$A:$A,0)),""))</t>
  </si>
  <si>
    <t>=IFERROR(XLOOKUP(P61,'Shipping Program'!$B$32:$B$78,'Shipping Program'!$E$32:$E$78),IFERROR(INDEX(_V7Batches!$D:$D,MATCH(P61&amp;"",_V7Batches!$A:$A,0)),""))</t>
  </si>
  <si>
    <t>=VLOOKUP(I62,'Shipping Program'!$A$32:$B$78,2)-1</t>
  </si>
  <si>
    <t>=IFERROR(XLOOKUP(P62,'Shipping Program'!$B$32:$B$78,'Shipping Program'!$A$32:$A$78),IFERROR(INDEX(_V7Batches!$B:$B,MATCH(P62&amp;"",_V7Batches!$A:$A,0)),""))</t>
  </si>
  <si>
    <t>=IFERROR(XLOOKUP(P62,'Shipping Program'!$B$32:$B$78,'Shipping Program'!$E$32:$E$78),IFERROR(INDEX(_V7Batches!$D:$D,MATCH(P62&amp;"",_V7Batches!$A:$A,0)),""))</t>
  </si>
  <si>
    <t>=VLOOKUP(I63,'Shipping Program'!$A$32:$B$78,2)-1</t>
  </si>
  <si>
    <t>=IFERROR(XLOOKUP(P63,'Shipping Program'!$B$32:$B$78,'Shipping Program'!$A$32:$A$78),IFERROR(INDEX(_V7Batches!$B:$B,MATCH(P63&amp;"",_V7Batches!$A:$A,0)),""))</t>
  </si>
  <si>
    <t>=IFERROR(XLOOKUP(P63,'Shipping Program'!$B$32:$B$78,'Shipping Program'!$E$32:$E$78),IFERROR(INDEX(_V7Batches!$D:$D,MATCH(P63&amp;"",_V7Batches!$A:$A,0)),""))</t>
  </si>
  <si>
    <t>=VLOOKUP(I64,'Shipping Program'!$A$32:$B$78,2)-1</t>
  </si>
  <si>
    <t>=IFERROR(XLOOKUP(P64,'Shipping Program'!$B$32:$B$78,'Shipping Program'!$A$32:$A$78),IFERROR(INDEX(_V7Batches!$B:$B,MATCH(P64&amp;"",_V7Batches!$A:$A,0)),""))</t>
  </si>
  <si>
    <t>=IFERROR(XLOOKUP(P64,'Shipping Program'!$B$32:$B$78,'Shipping Program'!$E$32:$E$78),IFERROR(INDEX(_V7Batches!$D:$D,MATCH(P64&amp;"",_V7Batches!$A:$A,0)),""))</t>
  </si>
  <si>
    <t>=VLOOKUP(I65,'Shipping Program'!$A$32:$B$78,2)-1</t>
  </si>
  <si>
    <t>=IFERROR(XLOOKUP(P65,'Shipping Program'!$B$32:$B$78,'Shipping Program'!$A$32:$A$78),IFERROR(INDEX(_V7Batches!$B:$B,MATCH(P65&amp;"",_V7Batches!$A:$A,0)),""))</t>
  </si>
  <si>
    <t>=IFERROR(XLOOKUP(P65,'Shipping Program'!$B$32:$B$78,'Shipping Program'!$E$32:$E$78),IFERROR(INDEX(_V7Batches!$D:$D,MATCH(P65&amp;"",_V7Batches!$A:$A,0)),""))</t>
  </si>
  <si>
    <t>=VLOOKUP(I67,'Shipping Program'!$A$32:$B$78,2)-1</t>
  </si>
  <si>
    <t>=IFERROR(XLOOKUP(P67,'Shipping Program'!$B$32:$B$78,'Shipping Program'!$A$32:$A$78),IFERROR(INDEX(_V7Batches!$B:$B,MATCH(P67&amp;"",_V7Batches!$A:$A,0)),""))</t>
  </si>
  <si>
    <t>=IFERROR(XLOOKUP(P67,'Shipping Program'!$B$32:$B$78,'Shipping Program'!$E$32:$E$78),IFERROR(INDEX(_V7Batches!$D:$D,MATCH(P67&amp;"",_V7Batches!$A:$A,0)),""))</t>
  </si>
  <si>
    <t>=VLOOKUP(I69,'Shipping Program'!$A$32:$B$78,2)-1</t>
  </si>
  <si>
    <t>=IFERROR(XLOOKUP(P69,'Shipping Program'!$B$32:$B$78,'Shipping Program'!$A$32:$A$78),IFERROR(INDEX(_V7Batches!$B:$B,MATCH(P69&amp;"",_V7Batches!$A:$A,0)),""))</t>
  </si>
  <si>
    <t>=IFERROR(XLOOKUP(P69,'Shipping Program'!$B$32:$B$78,'Shipping Program'!$E$32:$E$78),IFERROR(INDEX(_V7Batches!$D:$D,MATCH(P69&amp;"",_V7Batches!$A:$A,0)),""))</t>
  </si>
  <si>
    <t>=VLOOKUP(I70,'Shipping Program'!$A$32:$B$78,2)-1</t>
  </si>
  <si>
    <t>=IFERROR(XLOOKUP(P70,'Shipping Program'!$B$32:$B$78,'Shipping Program'!$A$32:$A$78),IFERROR(INDEX(_V7Batches!$B:$B,MATCH(P70&amp;"",_V7Batches!$A:$A,0)),""))</t>
  </si>
  <si>
    <t>=IFERROR(XLOOKUP(P70,'Shipping Program'!$B$32:$B$78,'Shipping Program'!$E$32:$E$78),IFERROR(INDEX(_V7Batches!$D:$D,MATCH(P70&amp;"",_V7Batches!$A:$A,0)),""))</t>
  </si>
  <si>
    <t>=VLOOKUP(I71,'Shipping Program'!$A$32:$B$78,2)-1</t>
  </si>
  <si>
    <t>=IFERROR(XLOOKUP(P71,'Shipping Program'!$B$32:$B$78,'Shipping Program'!$A$32:$A$78),IFERROR(INDEX(_V7Batches!$B:$B,MATCH(P71&amp;"",_V7Batches!$A:$A,0)),""))</t>
  </si>
  <si>
    <t>=IFERROR(XLOOKUP(P71,'Shipping Program'!$B$32:$B$78,'Shipping Program'!$E$32:$E$78),IFERROR(INDEX(_V7Batches!$D:$D,MATCH(P71&amp;"",_V7Batches!$A:$A,0)),""))</t>
  </si>
  <si>
    <t>=VLOOKUP(I72,'Shipping Program'!$A$32:$B$78,2)-1</t>
  </si>
  <si>
    <t>=IFERROR(XLOOKUP(P72,'Shipping Program'!$B$32:$B$78,'Shipping Program'!$A$32:$A$78),IFERROR(INDEX(_V7Batches!$B:$B,MATCH(P72&amp;"",_V7Batches!$A:$A,0)),""))</t>
  </si>
  <si>
    <t>=IFERROR(XLOOKUP(P72,'Shipping Program'!$B$32:$B$78,'Shipping Program'!$E$32:$E$78),IFERROR(INDEX(_V7Batches!$D:$D,MATCH(P72&amp;"",_V7Batches!$A:$A,0)),""))</t>
  </si>
  <si>
    <t>=VLOOKUP(I73,'Shipping Program'!$A$32:$B$78,2)-1</t>
  </si>
  <si>
    <t>=IFERROR(XLOOKUP(P73,'Shipping Program'!$B$32:$B$78,'Shipping Program'!$A$32:$A$78),IFERROR(INDEX(_V7Batches!$B:$B,MATCH(P73&amp;"",_V7Batches!$A:$A,0)),""))</t>
  </si>
  <si>
    <t>=IFERROR(XLOOKUP(P73,'Shipping Program'!$B$32:$B$78,'Shipping Program'!$E$32:$E$78),IFERROR(INDEX(_V7Batches!$D:$D,MATCH(P73&amp;"",_V7Batches!$A:$A,0)),""))</t>
  </si>
  <si>
    <t>=VLOOKUP(I74,'Shipping Program'!$A$32:$B$78,2)-1</t>
  </si>
  <si>
    <t>=IFERROR(XLOOKUP(P74,'Shipping Program'!$B$32:$B$78,'Shipping Program'!$A$32:$A$78),IFERROR(INDEX(_V7Batches!$B:$B,MATCH(P74&amp;"",_V7Batches!$A:$A,0)),""))</t>
  </si>
  <si>
    <t>=IFERROR(XLOOKUP(P74,'Shipping Program'!$B$32:$B$78,'Shipping Program'!$E$32:$E$78),IFERROR(INDEX(_V7Batches!$D:$D,MATCH(P74&amp;"",_V7Batches!$A:$A,0)),""))</t>
  </si>
  <si>
    <t>=VLOOKUP(I75,'Shipping Program'!$A$32:$B$78,2)-1</t>
  </si>
  <si>
    <t>=IFERROR(XLOOKUP(P75,'Shipping Program'!$B$32:$B$78,'Shipping Program'!$A$32:$A$78),IFERROR(INDEX(_V7Batches!$B:$B,MATCH(P75&amp;"",_V7Batches!$A:$A,0)),""))</t>
  </si>
  <si>
    <t>=IFERROR(XLOOKUP(P75,'Shipping Program'!$B$32:$B$78,'Shipping Program'!$E$32:$E$78),IFERROR(INDEX(_V7Batches!$D:$D,MATCH(P75&amp;"",_V7Batches!$A:$A,0)),""))</t>
  </si>
  <si>
    <t>=VLOOKUP(I76,'Shipping Program'!$A$32:$B$78,2)-1</t>
  </si>
  <si>
    <t>=IFERROR(XLOOKUP(P76,'Shipping Program'!$B$32:$B$78,'Shipping Program'!$A$32:$A$78),IFERROR(INDEX(_V7Batches!$B:$B,MATCH(P76&amp;"",_V7Batches!$A:$A,0)),""))</t>
  </si>
  <si>
    <t>=IFERROR(XLOOKUP(P76,'Shipping Program'!$B$32:$B$78,'Shipping Program'!$E$32:$E$78),IFERROR(INDEX(_V7Batches!$D:$D,MATCH(P76&amp;"",_V7Batches!$A:$A,0)),""))</t>
  </si>
  <si>
    <t>=VLOOKUP(I77,'Shipping Program'!$A$32:$B$78,2)-1</t>
  </si>
  <si>
    <t>=IFERROR(XLOOKUP(P77,'Shipping Program'!$B$32:$B$78,'Shipping Program'!$A$32:$A$78),IFERROR(INDEX(_V7Batches!$B:$B,MATCH(P77&amp;"",_V7Batches!$A:$A,0)),""))</t>
  </si>
  <si>
    <t>=IFERROR(XLOOKUP(P77,'Shipping Program'!$B$32:$B$78,'Shipping Program'!$E$32:$E$78),IFERROR(INDEX(_V7Batches!$D:$D,MATCH(P77&amp;"",_V7Batches!$A:$A,0)),""))</t>
  </si>
  <si>
    <t>=VLOOKUP(I78,'Shipping Program'!$A$32:$B$78,2)-1</t>
  </si>
  <si>
    <t>=IFERROR(XLOOKUP(P78,'Shipping Program'!$B$32:$B$78,'Shipping Program'!$A$32:$A$78),IFERROR(INDEX(_V7Batches!$B:$B,MATCH(P78&amp;"",_V7Batches!$A:$A,0)),""))</t>
  </si>
  <si>
    <t>=IFERROR(XLOOKUP(P78,'Shipping Program'!$B$32:$B$78,'Shipping Program'!$E$32:$E$78),IFERROR(INDEX(_V7Batches!$D:$D,MATCH(P78&amp;"",_V7Batches!$A:$A,0)),""))</t>
  </si>
  <si>
    <t>=VLOOKUP(I81,'Shipping Program'!$A$32:$B$78,2)-1</t>
  </si>
  <si>
    <t>=IFERROR(XLOOKUP(P81,'Shipping Program'!$B$32:$B$78,'Shipping Program'!$A$32:$A$78),IFERROR(INDEX(_V7Batches!$B:$B,MATCH(P81&amp;"",_V7Batches!$A:$A,0)),""))</t>
  </si>
  <si>
    <t>=IFERROR(XLOOKUP(P81,'Shipping Program'!$B$32:$B$78,'Shipping Program'!$E$32:$E$78),IFERROR(INDEX(_V7Batches!$D:$D,MATCH(P81&amp;"",_V7Batches!$A:$A,0)),""))</t>
  </si>
  <si>
    <t>=VLOOKUP(I82,'Shipping Program'!$A$32:$B$78,2)-1</t>
  </si>
  <si>
    <t>=IFERROR(XLOOKUP(P82,'Shipping Program'!$B$32:$B$78,'Shipping Program'!$A$32:$A$78),IFERROR(INDEX(_V7Batches!$B:$B,MATCH(P82&amp;"",_V7Batches!$A:$A,0)),""))</t>
  </si>
  <si>
    <t>=IFERROR(XLOOKUP(P82,'Shipping Program'!$B$32:$B$78,'Shipping Program'!$E$32:$E$78),IFERROR(INDEX(_V7Batches!$D:$D,MATCH(P82&amp;"",_V7Batches!$A:$A,0)),""))</t>
  </si>
  <si>
    <t>=VLOOKUP(I84,'Shipping Program'!$A$32:$B$78,2)-1</t>
  </si>
  <si>
    <t>=IFERROR(XLOOKUP(P84,'Shipping Program'!$B$32:$B$78,'Shipping Program'!$A$32:$A$78),IFERROR(INDEX(_V7Batches!$B:$B,MATCH(P84&amp;"",_V7Batches!$A:$A,0)),""))</t>
  </si>
  <si>
    <t>=IFERROR(XLOOKUP(P84,'Shipping Program'!$B$32:$B$78,'Shipping Program'!$E$32:$E$78),IFERROR(INDEX(_V7Batches!$D:$D,MATCH(P84&amp;"",_V7Batches!$A:$A,0)),""))</t>
  </si>
  <si>
    <t>=VLOOKUP(I85,'Shipping Program'!$A$32:$B$78,2)-1</t>
  </si>
  <si>
    <t>=IFERROR(XLOOKUP(P85,'Shipping Program'!$B$32:$B$78,'Shipping Program'!$A$32:$A$78),IFERROR(INDEX(_V7Batches!$B:$B,MATCH(P85&amp;"",_V7Batches!$A:$A,0)),""))</t>
  </si>
  <si>
    <t>=IFERROR(XLOOKUP(P85,'Shipping Program'!$B$32:$B$78,'Shipping Program'!$E$32:$E$78),IFERROR(INDEX(_V7Batches!$D:$D,MATCH(P85&amp;"",_V7Batches!$A:$A,0)),""))</t>
  </si>
  <si>
    <t>=VLOOKUP(I86,'Shipping Program'!$A$32:$B$78,2)-1</t>
  </si>
  <si>
    <t>=IFERROR(XLOOKUP(P86,'Shipping Program'!$B$32:$B$78,'Shipping Program'!$A$32:$A$78),IFERROR(INDEX(_V7Batches!$B:$B,MATCH(P86&amp;"",_V7Batches!$A:$A,0)),""))</t>
  </si>
  <si>
    <t>=IFERROR(XLOOKUP(P86,'Shipping Program'!$B$32:$B$78,'Shipping Program'!$E$32:$E$78),IFERROR(INDEX(_V7Batches!$D:$D,MATCH(P86&amp;"",_V7Batches!$A:$A,0)),""))</t>
  </si>
  <si>
    <t>=VLOOKUP(I87,'Shipping Program'!$A$32:$B$78,2)-1</t>
  </si>
  <si>
    <t>=IFERROR(XLOOKUP(P87,'Shipping Program'!$B$32:$B$78,'Shipping Program'!$A$32:$A$78),IFERROR(INDEX(_V7Batches!$B:$B,MATCH(P87&amp;"",_V7Batches!$A:$A,0)),""))</t>
  </si>
  <si>
    <t>=IFERROR(XLOOKUP(P87,'Shipping Program'!$B$32:$B$78,'Shipping Program'!$E$32:$E$78),IFERROR(INDEX(_V7Batches!$D:$D,MATCH(P87&amp;"",_V7Batches!$A:$A,0)),""))</t>
  </si>
  <si>
    <t>=VLOOKUP(I88,'Shipping Program'!$A$32:$B$78,2)-1</t>
  </si>
  <si>
    <t>=IFERROR(XLOOKUP(P88,'Shipping Program'!$B$32:$B$78,'Shipping Program'!$A$32:$A$78),IFERROR(INDEX(_V7Batches!$B:$B,MATCH(P88&amp;"",_V7Batches!$A:$A,0)),""))</t>
  </si>
  <si>
    <t>=IFERROR(XLOOKUP(P88,'Shipping Program'!$B$32:$B$78,'Shipping Program'!$E$32:$E$78),IFERROR(INDEX(_V7Batches!$D:$D,MATCH(P88&amp;"",_V7Batches!$A:$A,0)),""))</t>
  </si>
  <si>
    <t>=VLOOKUP(I89,'Shipping Program'!$A$32:$B$78,2)-1</t>
  </si>
  <si>
    <t>=IFERROR(XLOOKUP(P89,'Shipping Program'!$B$32:$B$78,'Shipping Program'!$A$32:$A$78),IFERROR(INDEX(_V7Batches!$B:$B,MATCH(P89&amp;"",_V7Batches!$A:$A,0)),""))</t>
  </si>
  <si>
    <t>=IFERROR(XLOOKUP(P89,'Shipping Program'!$B$32:$B$78,'Shipping Program'!$E$32:$E$78),IFERROR(INDEX(_V7Batches!$D:$D,MATCH(P89&amp;"",_V7Batches!$A:$A,0)),""))</t>
  </si>
  <si>
    <t>=VLOOKUP(I90,'Shipping Program'!$A$32:$B$78,2)-1</t>
  </si>
  <si>
    <t>=IFERROR(XLOOKUP(P90,'Shipping Program'!$B$32:$B$78,'Shipping Program'!$A$32:$A$78),IFERROR(INDEX(_V7Batches!$B:$B,MATCH(P90&amp;"",_V7Batches!$A:$A,0)),""))</t>
  </si>
  <si>
    <t>=IFERROR(XLOOKUP(P90,'Shipping Program'!$B$32:$B$78,'Shipping Program'!$E$32:$E$78),IFERROR(INDEX(_V7Batches!$D:$D,MATCH(P90&amp;"",_V7Batches!$A:$A,0)),""))</t>
  </si>
  <si>
    <t>=VLOOKUP(I91,'Shipping Program'!$A$32:$B$78,2)-1</t>
  </si>
  <si>
    <t>=IFERROR(XLOOKUP(P91,'Shipping Program'!$B$32:$B$78,'Shipping Program'!$A$32:$A$78),IFERROR(INDEX(_V7Batches!$B:$B,MATCH(P91&amp;"",_V7Batches!$A:$A,0)),""))</t>
  </si>
  <si>
    <t>=IFERROR(XLOOKUP(P91,'Shipping Program'!$B$32:$B$78,'Shipping Program'!$E$32:$E$78),IFERROR(INDEX(_V7Batches!$D:$D,MATCH(P91&amp;"",_V7Batches!$A:$A,0)),""))</t>
  </si>
  <si>
    <t>=VLOOKUP(I92,'Shipping Program'!$A$32:$B$78,2)-1</t>
  </si>
  <si>
    <t>=IFERROR(XLOOKUP(P92,'Shipping Program'!$B$32:$B$78,'Shipping Program'!$A$32:$A$78),IFERROR(INDEX(_V7Batches!$B:$B,MATCH(P92&amp;"",_V7Batches!$A:$A,0)),""))</t>
  </si>
  <si>
    <t>=IFERROR(XLOOKUP(P92,'Shipping Program'!$B$32:$B$78,'Shipping Program'!$E$32:$E$78),IFERROR(INDEX(_V7Batches!$D:$D,MATCH(P92&amp;"",_V7Batches!$A:$A,0)),""))</t>
  </si>
  <si>
    <t>=VLOOKUP(I93,'Shipping Program'!$A$32:$B$78,2)-1</t>
  </si>
  <si>
    <t>=IFERROR(XLOOKUP(P93,'Shipping Program'!$B$32:$B$78,'Shipping Program'!$A$32:$A$78),IFERROR(INDEX(_V7Batches!$B:$B,MATCH(P93&amp;"",_V7Batches!$A:$A,0)),""))</t>
  </si>
  <si>
    <t>=IFERROR(XLOOKUP(P93,'Shipping Program'!$B$32:$B$78,'Shipping Program'!$E$32:$E$78),IFERROR(INDEX(_V7Batches!$D:$D,MATCH(P93&amp;"",_V7Batches!$A:$A,0)),""))</t>
  </si>
  <si>
    <t>=VLOOKUP(I94,'Shipping Program'!$A$32:$B$78,2)-1</t>
  </si>
  <si>
    <t>=IFERROR(XLOOKUP(P94,'Shipping Program'!$B$32:$B$78,'Shipping Program'!$A$32:$A$78),IFERROR(INDEX(_V7Batches!$B:$B,MATCH(P94&amp;"",_V7Batches!$A:$A,0)),""))</t>
  </si>
  <si>
    <t>=IFERROR(XLOOKUP(P94,'Shipping Program'!$B$32:$B$78,'Shipping Program'!$E$32:$E$78),IFERROR(INDEX(_V7Batches!$D:$D,MATCH(P94&amp;"",_V7Batches!$A:$A,0)),""))</t>
  </si>
  <si>
    <t>=VLOOKUP(I95,'Shipping Program'!$A$32:$B$78,2)-1</t>
  </si>
  <si>
    <t>=IFERROR(XLOOKUP(P95,'Shipping Program'!$B$32:$B$78,'Shipping Program'!$A$32:$A$78),IFERROR(INDEX(_V7Batches!$B:$B,MATCH(P95&amp;"",_V7Batches!$A:$A,0)),""))</t>
  </si>
  <si>
    <t>=IFERROR(XLOOKUP(P95,'Shipping Program'!$B$32:$B$78,'Shipping Program'!$E$32:$E$78),IFERROR(INDEX(_V7Batches!$D:$D,MATCH(P95&amp;"",_V7Batches!$A:$A,0)),""))</t>
  </si>
  <si>
    <t>=VLOOKUP(I98,'Shipping Program'!$A$32:$B$78,2)-1</t>
  </si>
  <si>
    <t>=IFERROR(XLOOKUP(P98,'Shipping Program'!$B$32:$B$78,'Shipping Program'!$A$32:$A$78),IFERROR(INDEX(_V7Batches!$B:$B,MATCH(P98&amp;"",_V7Batches!$A:$A,0)),""))</t>
  </si>
  <si>
    <t>=IFERROR(XLOOKUP(P98,'Shipping Program'!$B$32:$B$78,'Shipping Program'!$E$32:$E$78),IFERROR(INDEX(_V7Batches!$D:$D,MATCH(P98&amp;"",_V7Batches!$A:$A,0)),""))</t>
  </si>
  <si>
    <t>=VLOOKUP(I99,'Shipping Program'!$A$32:$B$78,2)-1</t>
  </si>
  <si>
    <t>=IFERROR(XLOOKUP(P99,'Shipping Program'!$B$32:$B$78,'Shipping Program'!$A$32:$A$78),IFERROR(INDEX(_V7Batches!$B:$B,MATCH(P99&amp;"",_V7Batches!$A:$A,0)),""))</t>
  </si>
  <si>
    <t>=IFERROR(XLOOKUP(P99,'Shipping Program'!$B$32:$B$78,'Shipping Program'!$E$32:$E$78),IFERROR(INDEX(_V7Batches!$D:$D,MATCH(P99&amp;"",_V7Batches!$A:$A,0)),""))</t>
  </si>
  <si>
    <t>=VLOOKUP(I100,'Shipping Program'!$A$32:$B$78,2)-1</t>
  </si>
  <si>
    <t>=IFERROR(XLOOKUP(P100,'Shipping Program'!$B$32:$B$78,'Shipping Program'!$A$32:$A$78),IFERROR(INDEX(_V7Batches!$B:$B,MATCH(P100&amp;"",_V7Batches!$A:$A,0)),""))</t>
  </si>
  <si>
    <t>=IFERROR(XLOOKUP(P100,'Shipping Program'!$B$32:$B$78,'Shipping Program'!$E$32:$E$78),IFERROR(INDEX(_V7Batches!$D:$D,MATCH(P100&amp;"",_V7Batches!$A:$A,0)),""))</t>
  </si>
  <si>
    <t>=VLOOKUP(I101,'Shipping Program'!$A$32:$B$78,2)-1</t>
  </si>
  <si>
    <t>=IFERROR(XLOOKUP(P101,'Shipping Program'!$B$32:$B$78,'Shipping Program'!$A$32:$A$78),IFERROR(INDEX(_V7Batches!$B:$B,MATCH(P101&amp;"",_V7Batches!$A:$A,0)),""))</t>
  </si>
  <si>
    <t>=IFERROR(XLOOKUP(P101,'Shipping Program'!$B$32:$B$78,'Shipping Program'!$E$32:$E$78),IFERROR(INDEX(_V7Batches!$D:$D,MATCH(P101&amp;"",_V7Batches!$A:$A,0)),""))</t>
  </si>
  <si>
    <t>=VLOOKUP(I102,'Shipping Program'!$A$32:$B$78,2)-1</t>
  </si>
  <si>
    <t>=IFERROR(XLOOKUP(P102,'Shipping Program'!$B$32:$B$78,'Shipping Program'!$A$32:$A$78),IFERROR(INDEX(_V7Batches!$B:$B,MATCH(P102&amp;"",_V7Batches!$A:$A,0)),""))</t>
  </si>
  <si>
    <t>=IFERROR(XLOOKUP(P102,'Shipping Program'!$B$32:$B$78,'Shipping Program'!$E$32:$E$78),IFERROR(INDEX(_V7Batches!$D:$D,MATCH(P102&amp;"",_V7Batches!$A:$A,0)),""))</t>
  </si>
  <si>
    <t>=VLOOKUP(I103,'Shipping Program'!$A$32:$B$78,2)-1</t>
  </si>
  <si>
    <t>=IFERROR(XLOOKUP(P103,'Shipping Program'!$B$32:$B$78,'Shipping Program'!$A$32:$A$78),IFERROR(INDEX(_V7Batches!$B:$B,MATCH(P103&amp;"",_V7Batches!$A:$A,0)),""))</t>
  </si>
  <si>
    <t>=IFERROR(XLOOKUP(P103,'Shipping Program'!$B$32:$B$78,'Shipping Program'!$E$32:$E$78),IFERROR(INDEX(_V7Batches!$D:$D,MATCH(P103&amp;"",_V7Batches!$A:$A,0)),""))</t>
  </si>
  <si>
    <t>=VLOOKUP(I104,'Shipping Program'!$A$32:$B$78,2)-1</t>
  </si>
  <si>
    <t>=IFERROR(XLOOKUP(P104,'Shipping Program'!$B$32:$B$78,'Shipping Program'!$A$32:$A$78),IFERROR(INDEX(_V7Batches!$B:$B,MATCH(P104&amp;"",_V7Batches!$A:$A,0)),""))</t>
  </si>
  <si>
    <t>=IFERROR(XLOOKUP(P104,'Shipping Program'!$B$32:$B$78,'Shipping Program'!$E$32:$E$78),IFERROR(INDEX(_V7Batches!$D:$D,MATCH(P104&amp;"",_V7Batches!$A:$A,0)),""))</t>
  </si>
  <si>
    <t>=VLOOKUP(I105,'Shipping Program'!$A$32:$B$78,2)-1</t>
  </si>
  <si>
    <t>=IFERROR(XLOOKUP(P105,'Shipping Program'!$B$32:$B$78,'Shipping Program'!$A$32:$A$78),IFERROR(INDEX(_V7Batches!$B:$B,MATCH(P105&amp;"",_V7Batches!$A:$A,0)),""))</t>
  </si>
  <si>
    <t>=IFERROR(XLOOKUP(P105,'Shipping Program'!$B$32:$B$78,'Shipping Program'!$E$32:$E$78),IFERROR(INDEX(_V7Batches!$D:$D,MATCH(P105&amp;"",_V7Batches!$A:$A,0)),""))</t>
  </si>
  <si>
    <t>=VLOOKUP(I106,'Shipping Program'!$A$32:$B$78,2)-1</t>
  </si>
  <si>
    <t>=IFERROR(XLOOKUP(P106,'Shipping Program'!$B$32:$B$78,'Shipping Program'!$A$32:$A$78),IFERROR(INDEX(_V7Batches!$B:$B,MATCH(P106&amp;"",_V7Batches!$A:$A,0)),""))</t>
  </si>
  <si>
    <t>=IFERROR(XLOOKUP(P106,'Shipping Program'!$B$32:$B$78,'Shipping Program'!$E$32:$E$78),IFERROR(INDEX(_V7Batches!$D:$D,MATCH(P106&amp;"",_V7Batches!$A:$A,0)),""))</t>
  </si>
  <si>
    <t>=VLOOKUP(I107,'Shipping Program'!$A$32:$B$78,2)-1</t>
  </si>
  <si>
    <t>=IFERROR(XLOOKUP(P107,'Shipping Program'!$B$32:$B$78,'Shipping Program'!$A$32:$A$78),IFERROR(INDEX(_V7Batches!$B:$B,MATCH(P107&amp;"",_V7Batches!$A:$A,0)),""))</t>
  </si>
  <si>
    <t>=IFERROR(XLOOKUP(P107,'Shipping Program'!$B$32:$B$78,'Shipping Program'!$E$32:$E$78),IFERROR(INDEX(_V7Batches!$D:$D,MATCH(P107&amp;"",_V7Batches!$A:$A,0)),""))</t>
  </si>
  <si>
    <t>=VLOOKUP(I108,'Shipping Program'!$A$32:$B$78,2)-1</t>
  </si>
  <si>
    <t>=IFERROR(XLOOKUP(P108,'Shipping Program'!$B$32:$B$78,'Shipping Program'!$A$32:$A$78),IFERROR(INDEX(_V7Batches!$B:$B,MATCH(P108&amp;"",_V7Batches!$A:$A,0)),""))</t>
  </si>
  <si>
    <t>=IFERROR(XLOOKUP(P108,'Shipping Program'!$B$32:$B$78,'Shipping Program'!$E$32:$E$78),IFERROR(INDEX(_V7Batches!$D:$D,MATCH(P108&amp;"",_V7Batches!$A:$A,0)),""))</t>
  </si>
  <si>
    <t>=VLOOKUP(I109,'Shipping Program'!$A$32:$B$78,2)-1</t>
  </si>
  <si>
    <t>=IFERROR(XLOOKUP(P109,'Shipping Program'!$B$32:$B$78,'Shipping Program'!$A$32:$A$78),IFERROR(INDEX(_V7Batches!$B:$B,MATCH(P109&amp;"",_V7Batches!$A:$A,0)),""))</t>
  </si>
  <si>
    <t>=IFERROR(XLOOKUP(P109,'Shipping Program'!$B$32:$B$78,'Shipping Program'!$E$32:$E$78),IFERROR(INDEX(_V7Batches!$D:$D,MATCH(P109&amp;"",_V7Batches!$A:$A,0)),""))</t>
  </si>
  <si>
    <t>=VLOOKUP(I110,'Shipping Program'!$A$32:$B$78,2)-1</t>
  </si>
  <si>
    <t>=IFERROR(XLOOKUP(P110,'Shipping Program'!$B$32:$B$78,'Shipping Program'!$A$32:$A$78),IFERROR(INDEX(_V7Batches!$B:$B,MATCH(P110&amp;"",_V7Batches!$A:$A,0)),""))</t>
  </si>
  <si>
    <t>=IFERROR(XLOOKUP(P110,'Shipping Program'!$B$32:$B$78,'Shipping Program'!$E$32:$E$78),IFERROR(INDEX(_V7Batches!$D:$D,MATCH(P110&amp;"",_V7Batches!$A:$A,0)),""))</t>
  </si>
  <si>
    <t>=VLOOKUP(I111,'Shipping Program'!$A$32:$B$78,2)-1</t>
  </si>
  <si>
    <t>=IFERROR(XLOOKUP(P111,'Shipping Program'!$B$32:$B$78,'Shipping Program'!$A$32:$A$78),IFERROR(INDEX(_V7Batches!$B:$B,MATCH(P111&amp;"",_V7Batches!$A:$A,0)),""))</t>
  </si>
  <si>
    <t>=IFERROR(XLOOKUP(P111,'Shipping Program'!$B$32:$B$78,'Shipping Program'!$E$32:$E$78),IFERROR(INDEX(_V7Batches!$D:$D,MATCH(P111&amp;"",_V7Batches!$A:$A,0)),""))</t>
  </si>
  <si>
    <t>=VLOOKUP(I112,'Shipping Program'!$A$32:$B$78,2)-1</t>
  </si>
  <si>
    <t>=IFERROR(XLOOKUP(P112,'Shipping Program'!$B$32:$B$78,'Shipping Program'!$A$32:$A$78),IFERROR(INDEX(_V7Batches!$B:$B,MATCH(P112&amp;"",_V7Batches!$A:$A,0)),""))</t>
  </si>
  <si>
    <t>=IFERROR(XLOOKUP(P112,'Shipping Program'!$B$32:$B$78,'Shipping Program'!$E$32:$E$78),IFERROR(INDEX(_V7Batches!$D:$D,MATCH(P112&amp;"",_V7Batches!$A:$A,0)),""))</t>
  </si>
  <si>
    <t>=VLOOKUP(I113,'Shipping Program'!$A$32:$B$78,2)-1</t>
  </si>
  <si>
    <t>=IFERROR(XLOOKUP(P113,'Shipping Program'!$B$32:$B$78,'Shipping Program'!$A$32:$A$78),IFERROR(INDEX(_V7Batches!$B:$B,MATCH(P113&amp;"",_V7Batches!$A:$A,0)),""))</t>
  </si>
  <si>
    <t>=IFERROR(XLOOKUP(P113,'Shipping Program'!$B$32:$B$78,'Shipping Program'!$E$32:$E$78),IFERROR(INDEX(_V7Batches!$D:$D,MATCH(P113&amp;"",_V7Batches!$A:$A,0)),""))</t>
  </si>
  <si>
    <t>=VLOOKUP(I115,'Shipping Program'!$A$32:$B$78,2)-1</t>
  </si>
  <si>
    <t>=IFERROR(XLOOKUP(P115,'Shipping Program'!$B$32:$B$78,'Shipping Program'!$A$32:$A$78),IFERROR(INDEX(_V7Batches!$B:$B,MATCH(P115&amp;"",_V7Batches!$A:$A,0)),""))</t>
  </si>
  <si>
    <t>=IFERROR(XLOOKUP(P115,'Shipping Program'!$B$32:$B$78,'Shipping Program'!$E$32:$E$78),IFERROR(INDEX(_V7Batches!$D:$D,MATCH(P115&amp;"",_V7Batches!$A:$A,0)),""))</t>
  </si>
  <si>
    <t>=VLOOKUP(I116,'Shipping Program'!$A$32:$B$78,2)-1</t>
  </si>
  <si>
    <t>=IFERROR(XLOOKUP(P116,'Shipping Program'!$B$32:$B$78,'Shipping Program'!$A$32:$A$78),IFERROR(INDEX(_V7Batches!$B:$B,MATCH(P116&amp;"",_V7Batches!$A:$A,0)),""))</t>
  </si>
  <si>
    <t>=IFERROR(XLOOKUP(P116,'Shipping Program'!$B$32:$B$78,'Shipping Program'!$E$32:$E$78),IFERROR(INDEX(_V7Batches!$D:$D,MATCH(P116&amp;"",_V7Batches!$A:$A,0)),""))</t>
  </si>
  <si>
    <t>=VLOOKUP(I117,'Shipping Program'!$A$32:$B$78,2)-1</t>
  </si>
  <si>
    <t>=IFERROR(XLOOKUP(P117,'Shipping Program'!$B$32:$B$78,'Shipping Program'!$A$32:$A$78),IFERROR(INDEX(_V7Batches!$B:$B,MATCH(P117&amp;"",_V7Batches!$A:$A,0)),""))</t>
  </si>
  <si>
    <t>=IFERROR(XLOOKUP(P117,'Shipping Program'!$B$32:$B$78,'Shipping Program'!$E$32:$E$78),IFERROR(INDEX(_V7Batches!$D:$D,MATCH(P117&amp;"",_V7Batches!$A:$A,0)),""))</t>
  </si>
  <si>
    <t>=VLOOKUP(I118,'Shipping Program'!$A$32:$B$78,2)-1</t>
  </si>
  <si>
    <t>=IFERROR(XLOOKUP(P118,'Shipping Program'!$B$32:$B$78,'Shipping Program'!$A$32:$A$78),IFERROR(INDEX(_V7Batches!$B:$B,MATCH(P118&amp;"",_V7Batches!$A:$A,0)),""))</t>
  </si>
  <si>
    <t>=IFERROR(XLOOKUP(P118,'Shipping Program'!$B$32:$B$78,'Shipping Program'!$E$32:$E$78),IFERROR(INDEX(_V7Batches!$D:$D,MATCH(P118&amp;"",_V7Batches!$A:$A,0)),""))</t>
  </si>
  <si>
    <t>=VLOOKUP(I119,'Shipping Program'!$A$32:$B$78,2)-1</t>
  </si>
  <si>
    <t>=IFERROR(XLOOKUP(P119,'Shipping Program'!$B$32:$B$78,'Shipping Program'!$A$32:$A$78),IFERROR(INDEX(_V7Batches!$B:$B,MATCH(P119&amp;"",_V7Batches!$A:$A,0)),""))</t>
  </si>
  <si>
    <t>=IFERROR(XLOOKUP(P119,'Shipping Program'!$B$32:$B$78,'Shipping Program'!$E$32:$E$78),IFERROR(INDEX(_V7Batches!$D:$D,MATCH(P119&amp;"",_V7Batches!$A:$A,0)),""))</t>
  </si>
  <si>
    <t>=VLOOKUP(I120,'Shipping Program'!$A$32:$B$78,2)-1</t>
  </si>
  <si>
    <t>=IFERROR(XLOOKUP(P120,'Shipping Program'!$B$32:$B$78,'Shipping Program'!$A$32:$A$78),IFERROR(INDEX(_V7Batches!$B:$B,MATCH(P120&amp;"",_V7Batches!$A:$A,0)),""))</t>
  </si>
  <si>
    <t>=IFERROR(XLOOKUP(P120,'Shipping Program'!$B$32:$B$78,'Shipping Program'!$E$32:$E$78),IFERROR(INDEX(_V7Batches!$D:$D,MATCH(P120&amp;"",_V7Batches!$A:$A,0)),""))</t>
  </si>
  <si>
    <t>=VLOOKUP(I121,'Shipping Program'!$A$32:$B$78,2)-1</t>
  </si>
  <si>
    <t>=IFERROR(XLOOKUP(P121,'Shipping Program'!$B$32:$B$78,'Shipping Program'!$A$32:$A$78),IFERROR(INDEX(_V7Batches!$B:$B,MATCH(P121&amp;"",_V7Batches!$A:$A,0)),""))</t>
  </si>
  <si>
    <t>=IFERROR(XLOOKUP(P121,'Shipping Program'!$B$32:$B$78,'Shipping Program'!$E$32:$E$78),IFERROR(INDEX(_V7Batches!$D:$D,MATCH(P121&amp;"",_V7Batches!$A:$A,0)),""))</t>
  </si>
  <si>
    <t>=VLOOKUP(I123,'Shipping Program'!$A$32:$B$78,2)-1</t>
  </si>
  <si>
    <t>=IFERROR(XLOOKUP(P123,'Shipping Program'!$B$32:$B$78,'Shipping Program'!$A$32:$A$78),IFERROR(INDEX(_V7Batches!$B:$B,MATCH(P123&amp;"",_V7Batches!$A:$A,0)),""))</t>
  </si>
  <si>
    <t>=IFERROR(XLOOKUP(P123,'Shipping Program'!$B$32:$B$78,'Shipping Program'!$E$32:$E$78),IFERROR(INDEX(_V7Batches!$D:$D,MATCH(P123&amp;"",_V7Batches!$A:$A,0)),""))</t>
  </si>
  <si>
    <t>=VLOOKUP(I124,'Shipping Program'!$A$32:$B$78,2)-1</t>
  </si>
  <si>
    <t>=IFERROR(XLOOKUP(P124,'Shipping Program'!$B$32:$B$78,'Shipping Program'!$A$32:$A$78),IFERROR(INDEX(_V7Batches!$B:$B,MATCH(P124&amp;"",_V7Batches!$A:$A,0)),""))</t>
  </si>
  <si>
    <t>=IFERROR(XLOOKUP(P124,'Shipping Program'!$B$32:$B$78,'Shipping Program'!$E$32:$E$78),IFERROR(INDEX(_V7Batches!$D:$D,MATCH(P124&amp;"",_V7Batches!$A:$A,0)),""))</t>
  </si>
  <si>
    <t>=VLOOKUP(I125,'Shipping Program'!$A$32:$B$78,2)-1</t>
  </si>
  <si>
    <t>=IFERROR(XLOOKUP(P125,'Shipping Program'!$B$32:$B$78,'Shipping Program'!$A$32:$A$78),IFERROR(INDEX(_V7Batches!$B:$B,MATCH(P125&amp;"",_V7Batches!$A:$A,0)),""))</t>
  </si>
  <si>
    <t>=IFERROR(XLOOKUP(P125,'Shipping Program'!$B$32:$B$78,'Shipping Program'!$E$32:$E$78),IFERROR(INDEX(_V7Batches!$D:$D,MATCH(P125&amp;"",_V7Batches!$A:$A,0)),""))</t>
  </si>
  <si>
    <t>=VLOOKUP(I126,'Shipping Program'!$A$32:$B$78,2)-1</t>
  </si>
  <si>
    <t>=IFERROR(XLOOKUP(P126,'Shipping Program'!$B$32:$B$78,'Shipping Program'!$A$32:$A$78),IFERROR(INDEX(_V7Batches!$B:$B,MATCH(P126&amp;"",_V7Batches!$A:$A,0)),""))</t>
  </si>
  <si>
    <t>=IFERROR(XLOOKUP(P126,'Shipping Program'!$B$32:$B$78,'Shipping Program'!$E$32:$E$78),IFERROR(INDEX(_V7Batches!$D:$D,MATCH(P126&amp;"",_V7Batches!$A:$A,0)),""))</t>
  </si>
  <si>
    <t>=VLOOKUP(I127,'Shipping Program'!$A$32:$B$78,2)-1</t>
  </si>
  <si>
    <t>=IFERROR(XLOOKUP(P127,'Shipping Program'!$B$32:$B$78,'Shipping Program'!$A$32:$A$78),IFERROR(INDEX(_V7Batches!$B:$B,MATCH(P127&amp;"",_V7Batches!$A:$A,0)),""))</t>
  </si>
  <si>
    <t>=IFERROR(XLOOKUP(P127,'Shipping Program'!$B$32:$B$78,'Shipping Program'!$E$32:$E$78),IFERROR(INDEX(_V7Batches!$D:$D,MATCH(P127&amp;"",_V7Batches!$A:$A,0)),""))</t>
  </si>
  <si>
    <t>=VLOOKUP(I128,'Shipping Program'!$A$32:$B$78,2)-1</t>
  </si>
  <si>
    <t>=IFERROR(XLOOKUP(P128,'Shipping Program'!$B$32:$B$78,'Shipping Program'!$A$32:$A$78),IFERROR(INDEX(_V7Batches!$B:$B,MATCH(P128&amp;"",_V7Batches!$A:$A,0)),""))</t>
  </si>
  <si>
    <t>=IFERROR(XLOOKUP(P128,'Shipping Program'!$B$32:$B$78,'Shipping Program'!$E$32:$E$78),IFERROR(INDEX(_V7Batches!$D:$D,MATCH(P128&amp;"",_V7Batches!$A:$A,0)),""))</t>
  </si>
  <si>
    <t>=VLOOKUP(I130,'Shipping Program'!$A$32:$B$78,2)-1</t>
  </si>
  <si>
    <t>=IFERROR(XLOOKUP(P130,'Shipping Program'!$B$32:$B$78,'Shipping Program'!$A$32:$A$78),IFERROR(INDEX(_V7Batches!$B:$B,MATCH(P130&amp;"",_V7Batches!$A:$A,0)),""))</t>
  </si>
  <si>
    <t>=IFERROR(XLOOKUP(P130,'Shipping Program'!$B$32:$B$78,'Shipping Program'!$E$32:$E$78),IFERROR(INDEX(_V7Batches!$D:$D,MATCH(P130&amp;"",_V7Batches!$A:$A,0)),""))</t>
  </si>
  <si>
    <t>=VLOOKUP(I131,'Shipping Program'!$A$32:$B$78,2)-1</t>
  </si>
  <si>
    <t>=IFERROR(XLOOKUP(P131,'Shipping Program'!$B$32:$B$78,'Shipping Program'!$A$32:$A$78),IFERROR(INDEX(_V7Batches!$B:$B,MATCH(P131&amp;"",_V7Batches!$A:$A,0)),""))</t>
  </si>
  <si>
    <t>=IFERROR(XLOOKUP(P131,'Shipping Program'!$B$32:$B$78,'Shipping Program'!$E$32:$E$78),IFERROR(INDEX(_V7Batches!$D:$D,MATCH(P131&amp;"",_V7Batches!$A:$A,0)),""))</t>
  </si>
  <si>
    <t>=VLOOKUP(I132,'Shipping Program'!$A$32:$B$78,2)-1</t>
  </si>
  <si>
    <t>=IFERROR(XLOOKUP(P132,'Shipping Program'!$B$32:$B$78,'Shipping Program'!$A$32:$A$78),IFERROR(INDEX(_V7Batches!$B:$B,MATCH(P132&amp;"",_V7Batches!$A:$A,0)),""))</t>
  </si>
  <si>
    <t>=IFERROR(XLOOKUP(P132,'Shipping Program'!$B$32:$B$78,'Shipping Program'!$E$32:$E$78),IFERROR(INDEX(_V7Batches!$D:$D,MATCH(P132&amp;"",_V7Batches!$A:$A,0)),""))</t>
  </si>
  <si>
    <t>=VLOOKUP(I133,'Shipping Program'!$A$32:$B$78,2)-1</t>
  </si>
  <si>
    <t>=IFERROR(XLOOKUP(P133,'Shipping Program'!$B$32:$B$78,'Shipping Program'!$A$32:$A$78),IFERROR(INDEX(_V7Batches!$B:$B,MATCH(P133&amp;"",_V7Batches!$A:$A,0)),""))</t>
  </si>
  <si>
    <t>=IFERROR(XLOOKUP(P133,'Shipping Program'!$B$32:$B$78,'Shipping Program'!$E$32:$E$78),IFERROR(INDEX(_V7Batches!$D:$D,MATCH(P133&amp;"",_V7Batches!$A:$A,0)),""))</t>
  </si>
  <si>
    <t>=VLOOKUP(I134,'Shipping Program'!$A$32:$B$78,2)-1</t>
  </si>
  <si>
    <t>=IFERROR(XLOOKUP(P134,'Shipping Program'!$B$32:$B$78,'Shipping Program'!$A$32:$A$78),IFERROR(INDEX(_V7Batches!$B:$B,MATCH(P134&amp;"",_V7Batches!$A:$A,0)),""))</t>
  </si>
  <si>
    <t>=IFERROR(XLOOKUP(P134,'Shipping Program'!$B$32:$B$78,'Shipping Program'!$E$32:$E$78),IFERROR(INDEX(_V7Batches!$D:$D,MATCH(P134&amp;"",_V7Batches!$A:$A,0)),""))</t>
  </si>
  <si>
    <t>=VLOOKUP(I135,'Shipping Program'!$A$32:$B$78,2)-1</t>
  </si>
  <si>
    <t>=IFERROR(XLOOKUP(P135,'Shipping Program'!$B$32:$B$78,'Shipping Program'!$A$32:$A$78),IFERROR(INDEX(_V7Batches!$B:$B,MATCH(P135&amp;"",_V7Batches!$A:$A,0)),""))</t>
  </si>
  <si>
    <t>=IFERROR(XLOOKUP(P135,'Shipping Program'!$B$32:$B$78,'Shipping Program'!$E$32:$E$78),IFERROR(INDEX(_V7Batches!$D:$D,MATCH(P135&amp;"",_V7Batches!$A:$A,0)),""))</t>
  </si>
  <si>
    <t>=VLOOKUP(I137,'Shipping Program'!$A$32:$B$78,2)-1</t>
  </si>
  <si>
    <t>=IFERROR(XLOOKUP(P137,'Shipping Program'!$B$32:$B$78,'Shipping Program'!$A$32:$A$78),IFERROR(INDEX(_V7Batches!$B:$B,MATCH(P137&amp;"",_V7Batches!$A:$A,0)),""))</t>
  </si>
  <si>
    <t>=IFERROR(XLOOKUP(P137,'Shipping Program'!$B$32:$B$78,'Shipping Program'!$E$32:$E$78),IFERROR(INDEX(_V7Batches!$D:$D,MATCH(P137&amp;"",_V7Batches!$A:$A,0)),""))</t>
  </si>
  <si>
    <t>=VLOOKUP(I138,'Shipping Program'!$A$32:$B$78,2)-1</t>
  </si>
  <si>
    <t>=IFERROR(XLOOKUP(P138,'Shipping Program'!$B$32:$B$78,'Shipping Program'!$A$32:$A$78),IFERROR(INDEX(_V7Batches!$B:$B,MATCH(P138&amp;"",_V7Batches!$A:$A,0)),""))</t>
  </si>
  <si>
    <t>=IFERROR(XLOOKUP(P138,'Shipping Program'!$B$32:$B$78,'Shipping Program'!$E$32:$E$78),IFERROR(INDEX(_V7Batches!$D:$D,MATCH(P138&amp;"",_V7Batches!$A:$A,0)),""))</t>
  </si>
  <si>
    <t>=VLOOKUP(I139,'Shipping Program'!$A$32:$B$78,2)-1</t>
  </si>
  <si>
    <t>=IFERROR(XLOOKUP(P139,'Shipping Program'!$B$32:$B$78,'Shipping Program'!$A$32:$A$78),IFERROR(INDEX(_V7Batches!$B:$B,MATCH(P139&amp;"",_V7Batches!$A:$A,0)),""))</t>
  </si>
  <si>
    <t>=IFERROR(XLOOKUP(P139,'Shipping Program'!$B$32:$B$78,'Shipping Program'!$E$32:$E$78),IFERROR(INDEX(_V7Batches!$D:$D,MATCH(P139&amp;"",_V7Batches!$A:$A,0)),""))</t>
  </si>
  <si>
    <t>=VLOOKUP(I140,'Shipping Program'!$A$32:$B$78,2)-1</t>
  </si>
  <si>
    <t>=IFERROR(XLOOKUP(P140,'Shipping Program'!$B$32:$B$78,'Shipping Program'!$A$32:$A$78),IFERROR(INDEX(_V7Batches!$B:$B,MATCH(P140&amp;"",_V7Batches!$A:$A,0)),""))</t>
  </si>
  <si>
    <t>=IFERROR(XLOOKUP(P140,'Shipping Program'!$B$32:$B$78,'Shipping Program'!$E$32:$E$78),IFERROR(INDEX(_V7Batches!$D:$D,MATCH(P140&amp;"",_V7Batches!$A:$A,0)),""))</t>
  </si>
  <si>
    <t>=VLOOKUP(I141,'Shipping Program'!$A$32:$B$78,2)-1</t>
  </si>
  <si>
    <t>=IFERROR(XLOOKUP(P141,'Shipping Program'!$B$32:$B$78,'Shipping Program'!$A$32:$A$78),IFERROR(INDEX(_V7Batches!$B:$B,MATCH(P141&amp;"",_V7Batches!$A:$A,0)),""))</t>
  </si>
  <si>
    <t>=IFERROR(XLOOKUP(P141,'Shipping Program'!$B$32:$B$78,'Shipping Program'!$E$32:$E$78),IFERROR(INDEX(_V7Batches!$D:$D,MATCH(P141&amp;"",_V7Batches!$A:$A,0)),""))</t>
  </si>
  <si>
    <t>=VLOOKUP(I142,'Shipping Program'!$A$32:$B$78,2)-1</t>
  </si>
  <si>
    <t>=IFERROR(XLOOKUP(P142,'Shipping Program'!$B$32:$B$78,'Shipping Program'!$A$32:$A$78),IFERROR(INDEX(_V7Batches!$B:$B,MATCH(P142&amp;"",_V7Batches!$A:$A,0)),""))</t>
  </si>
  <si>
    <t>=IFERROR(XLOOKUP(P142,'Shipping Program'!$B$32:$B$78,'Shipping Program'!$E$32:$E$78),IFERROR(INDEX(_V7Batches!$D:$D,MATCH(P142&amp;"",_V7Batches!$A:$A,0)),""))</t>
  </si>
  <si>
    <t>=VLOOKUP(I144,'Shipping Program'!$A$32:$B$78,2)-1</t>
  </si>
  <si>
    <t>=IFERROR(XLOOKUP(P144,'Shipping Program'!$B$32:$B$78,'Shipping Program'!$A$32:$A$78),IFERROR(INDEX(_V7Batches!$B:$B,MATCH(P144&amp;"",_V7Batches!$A:$A,0)),""))</t>
  </si>
  <si>
    <t>=IFERROR(XLOOKUP(P144,'Shipping Program'!$B$32:$B$78,'Shipping Program'!$E$32:$E$78),IFERROR(INDEX(_V7Batches!$D:$D,MATCH(P144&amp;"",_V7Batches!$A:$A,0)),""))</t>
  </si>
  <si>
    <t>=VLOOKUP(I145,'Shipping Program'!$A$32:$B$78,2)-1</t>
  </si>
  <si>
    <t>=IFERROR(XLOOKUP(P145,'Shipping Program'!$B$32:$B$78,'Shipping Program'!$A$32:$A$78),IFERROR(INDEX(_V7Batches!$B:$B,MATCH(P145&amp;"",_V7Batches!$A:$A,0)),""))</t>
  </si>
  <si>
    <t>=IFERROR(XLOOKUP(P145,'Shipping Program'!$B$32:$B$78,'Shipping Program'!$E$32:$E$78),IFERROR(INDEX(_V7Batches!$D:$D,MATCH(P145&amp;"",_V7Batches!$A:$A,0)),""))</t>
  </si>
  <si>
    <t>=VLOOKUP(I146,'Shipping Program'!$A$32:$B$78,2)-1</t>
  </si>
  <si>
    <t>=IFERROR(XLOOKUP(P146,'Shipping Program'!$B$32:$B$78,'Shipping Program'!$A$32:$A$78),IFERROR(INDEX(_V7Batches!$B:$B,MATCH(P146&amp;"",_V7Batches!$A:$A,0)),""))</t>
  </si>
  <si>
    <t>=IFERROR(XLOOKUP(P146,'Shipping Program'!$B$32:$B$78,'Shipping Program'!$E$32:$E$78),IFERROR(INDEX(_V7Batches!$D:$D,MATCH(P146&amp;"",_V7Batches!$A:$A,0)),""))</t>
  </si>
  <si>
    <t>=VLOOKUP(I148,'Shipping Program'!$A$32:$B$78,2)-1</t>
  </si>
  <si>
    <t>=IFERROR(XLOOKUP(P148,'Shipping Program'!$B$32:$B$78,'Shipping Program'!$A$32:$A$78),IFERROR(INDEX(_V7Batches!$B:$B,MATCH(P148&amp;"",_V7Batches!$A:$A,0)),""))</t>
  </si>
  <si>
    <t>=IFERROR(XLOOKUP(P148,'Shipping Program'!$B$32:$B$78,'Shipping Program'!$E$32:$E$78),IFERROR(INDEX(_V7Batches!$D:$D,MATCH(P148&amp;"",_V7Batches!$A:$A,0)),""))</t>
  </si>
  <si>
    <t>=VLOOKUP(I149,'Shipping Program'!$A$32:$B$78,2)-1</t>
  </si>
  <si>
    <t>=IFERROR(XLOOKUP(P149,'Shipping Program'!$B$32:$B$78,'Shipping Program'!$A$32:$A$78),IFERROR(INDEX(_V7Batches!$B:$B,MATCH(P149&amp;"",_V7Batches!$A:$A,0)),""))</t>
  </si>
  <si>
    <t>=IFERROR(XLOOKUP(P149,'Shipping Program'!$B$32:$B$78,'Shipping Program'!$E$32:$E$78),IFERROR(INDEX(_V7Batches!$D:$D,MATCH(P149&amp;"",_V7Batches!$A:$A,0)),""))</t>
  </si>
  <si>
    <t>=VLOOKUP(I151,'Shipping Program'!$A$32:$B$78,2)-1</t>
  </si>
  <si>
    <t>=IFERROR(XLOOKUP(P151,'Shipping Program'!$B$32:$B$78,'Shipping Program'!$A$32:$A$78),IFERROR(INDEX(_V7Batches!$B:$B,MATCH(P151&amp;"",_V7Batches!$A:$A,0)),""))</t>
  </si>
  <si>
    <t>=IFERROR(XLOOKUP(P151,'Shipping Program'!$B$32:$B$78,'Shipping Program'!$E$32:$E$78),IFERROR(INDEX(_V7Batches!$D:$D,MATCH(P151&amp;"",_V7Batches!$A:$A,0)),""))</t>
  </si>
  <si>
    <t>=VLOOKUP(I152,'Shipping Program'!$A$32:$B$78,2)-1</t>
  </si>
  <si>
    <t>=IFERROR(XLOOKUP(P152,'Shipping Program'!$B$32:$B$78,'Shipping Program'!$A$32:$A$78),IFERROR(INDEX(_V7Batches!$B:$B,MATCH(P152&amp;"",_V7Batches!$A:$A,0)),""))</t>
  </si>
  <si>
    <t>=IFERROR(XLOOKUP(P152,'Shipping Program'!$B$32:$B$78,'Shipping Program'!$E$32:$E$78),IFERROR(INDEX(_V7Batches!$D:$D,MATCH(P152&amp;"",_V7Batches!$A:$A,0)),""))</t>
  </si>
  <si>
    <t>=VLOOKUP(I153,'Shipping Program'!$A$32:$B$78,2)-1</t>
  </si>
  <si>
    <t>=IFERROR(XLOOKUP(P153,'Shipping Program'!$B$32:$B$78,'Shipping Program'!$A$32:$A$78),IFERROR(INDEX(_V7Batches!$B:$B,MATCH(P153&amp;"",_V7Batches!$A:$A,0)),""))</t>
  </si>
  <si>
    <t>=IFERROR(XLOOKUP(P153,'Shipping Program'!$B$32:$B$78,'Shipping Program'!$E$32:$E$78),IFERROR(INDEX(_V7Batches!$D:$D,MATCH(P153&amp;"",_V7Batches!$A:$A,0)),""))</t>
  </si>
  <si>
    <t>=VLOOKUP(I155,'Shipping Program'!$A$32:$B$78,2)-1</t>
  </si>
  <si>
    <t>=IFERROR(XLOOKUP(P155,'Shipping Program'!$B$32:$B$78,'Shipping Program'!$A$32:$A$78),IFERROR(INDEX(_V7Batches!$B:$B,MATCH(P155&amp;"",_V7Batches!$A:$A,0)),""))</t>
  </si>
  <si>
    <t>=IFERROR(XLOOKUP(P155,'Shipping Program'!$B$32:$B$78,'Shipping Program'!$E$32:$E$78),IFERROR(INDEX(_V7Batches!$D:$D,MATCH(P155&amp;"",_V7Batches!$A:$A,0)),""))</t>
  </si>
  <si>
    <t>=VLOOKUP(I156,'Shipping Program'!$A$32:$B$78,2)-1</t>
  </si>
  <si>
    <t>=IFERROR(XLOOKUP(P156,'Shipping Program'!$B$32:$B$78,'Shipping Program'!$A$32:$A$78),IFERROR(INDEX(_V7Batches!$B:$B,MATCH(P156&amp;"",_V7Batches!$A:$A,0)),""))</t>
  </si>
  <si>
    <t>=IFERROR(XLOOKUP(P156,'Shipping Program'!$B$32:$B$78,'Shipping Program'!$E$32:$E$78),IFERROR(INDEX(_V7Batches!$D:$D,MATCH(P156&amp;"",_V7Batches!$A:$A,0)),""))</t>
  </si>
  <si>
    <t>=VLOOKUP(I158,'Shipping Program'!$A$32:$B$78,2)-1</t>
  </si>
  <si>
    <t>=IFERROR(XLOOKUP(P158,'Shipping Program'!$B$32:$B$78,'Shipping Program'!$A$32:$A$78),IFERROR(INDEX(_V7Batches!$B:$B,MATCH(P158&amp;"",_V7Batches!$A:$A,0)),""))</t>
  </si>
  <si>
    <t>=IFERROR(XLOOKUP(P158,'Shipping Program'!$B$32:$B$78,'Shipping Program'!$E$32:$E$78),IFERROR(INDEX(_V7Batches!$D:$D,MATCH(P158&amp;"",_V7Batches!$A:$A,0)),""))</t>
  </si>
  <si>
    <t>=VLOOKUP(I159,'Shipping Program'!$A$32:$B$78,2)-1</t>
  </si>
  <si>
    <t>=IFERROR(XLOOKUP(P159,'Shipping Program'!$B$32:$B$78,'Shipping Program'!$A$32:$A$78),IFERROR(INDEX(_V7Batches!$B:$B,MATCH(P159&amp;"",_V7Batches!$A:$A,0)),""))</t>
  </si>
  <si>
    <t>=IFERROR(XLOOKUP(P159,'Shipping Program'!$B$32:$B$78,'Shipping Program'!$E$32:$E$78),IFERROR(INDEX(_V7Batches!$D:$D,MATCH(P159&amp;"",_V7Batches!$A:$A,0)),""))</t>
  </si>
  <si>
    <t>=VLOOKUP(I160,'Shipping Program'!$A$32:$B$78,2)-1</t>
  </si>
  <si>
    <t>=IFERROR(XLOOKUP(P160,'Shipping Program'!$B$32:$B$78,'Shipping Program'!$A$32:$A$78),IFERROR(INDEX(_V7Batches!$B:$B,MATCH(P160&amp;"",_V7Batches!$A:$A,0)),""))</t>
  </si>
  <si>
    <t>=IFERROR(XLOOKUP(P160,'Shipping Program'!$B$32:$B$78,'Shipping Program'!$E$32:$E$78),IFERROR(INDEX(_V7Batches!$D:$D,MATCH(P160&amp;"",_V7Batches!$A:$A,0)),""))</t>
  </si>
  <si>
    <t>=VLOOKUP(I161,'Shipping Program'!$A$32:$B$78,2)-1</t>
  </si>
  <si>
    <t>=IFERROR(XLOOKUP(P161,'Shipping Program'!$B$32:$B$78,'Shipping Program'!$A$32:$A$78),IFERROR(INDEX(_V7Batches!$B:$B,MATCH(P161&amp;"",_V7Batches!$A:$A,0)),""))</t>
  </si>
  <si>
    <t>=IFERROR(XLOOKUP(P161,'Shipping Program'!$B$32:$B$78,'Shipping Program'!$E$32:$E$78),IFERROR(INDEX(_V7Batches!$D:$D,MATCH(P161&amp;"",_V7Batches!$A:$A,0)),""))</t>
  </si>
  <si>
    <t>=VLOOKUP(I162,'Shipping Program'!$A$32:$B$78,2)-1</t>
  </si>
  <si>
    <t>=IFERROR(XLOOKUP(P162,'Shipping Program'!$B$32:$B$78,'Shipping Program'!$A$32:$A$78),IFERROR(INDEX(_V7Batches!$B:$B,MATCH(P162&amp;"",_V7Batches!$A:$A,0)),""))</t>
  </si>
  <si>
    <t>=IFERROR(XLOOKUP(P162,'Shipping Program'!$B$32:$B$78,'Shipping Program'!$E$32:$E$78),IFERROR(INDEX(_V7Batches!$D:$D,MATCH(P162&amp;"",_V7Batches!$A:$A,0)),""))</t>
  </si>
  <si>
    <t>=VLOOKUP(I163,'Shipping Program'!$A$32:$B$78,2)-1</t>
  </si>
  <si>
    <t>=IFERROR(XLOOKUP(P163,'Shipping Program'!$B$32:$B$78,'Shipping Program'!$A$32:$A$78),IFERROR(INDEX(_V7Batches!$B:$B,MATCH(P163&amp;"",_V7Batches!$A:$A,0)),""))</t>
  </si>
  <si>
    <t>=IFERROR(XLOOKUP(P163,'Shipping Program'!$B$32:$B$78,'Shipping Program'!$E$32:$E$78),IFERROR(INDEX(_V7Batches!$D:$D,MATCH(P163&amp;"",_V7Batches!$A:$A,0)),""))</t>
  </si>
  <si>
    <t>=VLOOKUP(I165,'Shipping Program'!$A$32:$B$78,2)-1</t>
  </si>
  <si>
    <t>=IFERROR(XLOOKUP(P165,'Shipping Program'!$B$32:$B$78,'Shipping Program'!$A$32:$A$78),IFERROR(INDEX(_V7Batches!$B:$B,MATCH(P165&amp;"",_V7Batches!$A:$A,0)),""))</t>
  </si>
  <si>
    <t>=IFERROR(XLOOKUP(P165,'Shipping Program'!$B$32:$B$78,'Shipping Program'!$E$32:$E$78),IFERROR(INDEX(_V7Batches!$D:$D,MATCH(P165&amp;"",_V7Batches!$A:$A,0)),""))</t>
  </si>
  <si>
    <t>=VLOOKUP(I166,'Shipping Program'!$A$32:$B$78,2)-1</t>
  </si>
  <si>
    <t>=IFERROR(XLOOKUP(P166,'Shipping Program'!$B$32:$B$78,'Shipping Program'!$A$32:$A$78),IFERROR(INDEX(_V7Batches!$B:$B,MATCH(P166&amp;"",_V7Batches!$A:$A,0)),""))</t>
  </si>
  <si>
    <t>=IFERROR(XLOOKUP(P166,'Shipping Program'!$B$32:$B$78,'Shipping Program'!$E$32:$E$78),IFERROR(INDEX(_V7Batches!$D:$D,MATCH(P166&amp;"",_V7Batches!$A:$A,0)),""))</t>
  </si>
  <si>
    <t>=VLOOKUP(I167,'Shipping Program'!$A$32:$B$78,2)-1</t>
  </si>
  <si>
    <t>=IFERROR(XLOOKUP(P167,'Shipping Program'!$B$32:$B$78,'Shipping Program'!$A$32:$A$78),IFERROR(INDEX(_V7Batches!$B:$B,MATCH(P167&amp;"",_V7Batches!$A:$A,0)),""))</t>
  </si>
  <si>
    <t>=IFERROR(XLOOKUP(P167,'Shipping Program'!$B$32:$B$78,'Shipping Program'!$E$32:$E$78),IFERROR(INDEX(_V7Batches!$D:$D,MATCH(P167&amp;"",_V7Batches!$A:$A,0)),""))</t>
  </si>
  <si>
    <t>=VLOOKUP(I168,'Shipping Program'!$A$32:$B$78,2)-1</t>
  </si>
  <si>
    <t>=IFERROR(XLOOKUP(P168,'Shipping Program'!$B$32:$B$78,'Shipping Program'!$A$32:$A$78),IFERROR(INDEX(_V7Batches!$B:$B,MATCH(P168&amp;"",_V7Batches!$A:$A,0)),""))</t>
  </si>
  <si>
    <t>=IFERROR(XLOOKUP(P168,'Shipping Program'!$B$32:$B$78,'Shipping Program'!$E$32:$E$78),IFERROR(INDEX(_V7Batches!$D:$D,MATCH(P168&amp;"",_V7Batches!$A:$A,0)),""))</t>
  </si>
  <si>
    <t>=VLOOKUP(I169,'Shipping Program'!$A$32:$B$78,2)-1</t>
  </si>
  <si>
    <t>=IFERROR(XLOOKUP(P169,'Shipping Program'!$B$32:$B$78,'Shipping Program'!$A$32:$A$78),IFERROR(INDEX(_V7Batches!$B:$B,MATCH(P169&amp;"",_V7Batches!$A:$A,0)),""))</t>
  </si>
  <si>
    <t>=IFERROR(XLOOKUP(P169,'Shipping Program'!$B$32:$B$78,'Shipping Program'!$E$32:$E$78),IFERROR(INDEX(_V7Batches!$D:$D,MATCH(P169&amp;"",_V7Batches!$A:$A,0)),""))</t>
  </si>
  <si>
    <t>=VLOOKUP(I172,'Shipping Program'!$A$32:$B$78,2)-1</t>
  </si>
  <si>
    <t>=IFERROR(XLOOKUP(P172,'Shipping Program'!$B$32:$B$78,'Shipping Program'!$A$32:$A$78),IFERROR(INDEX(_V7Batches!$B:$B,MATCH(P172&amp;"",_V7Batches!$A:$A,0)),""))</t>
  </si>
  <si>
    <t>=IFERROR(XLOOKUP(P172,'Shipping Program'!$B$32:$B$78,'Shipping Program'!$E$32:$E$78),IFERROR(INDEX(_V7Batches!$D:$D,MATCH(P172&amp;"",_V7Batches!$A:$A,0)),""))</t>
  </si>
  <si>
    <t>=VLOOKUP(I173,'Shipping Program'!$A$32:$B$78,2)-1</t>
  </si>
  <si>
    <t>=IFERROR(XLOOKUP(P173,'Shipping Program'!$B$32:$B$78,'Shipping Program'!$A$32:$A$78),IFERROR(INDEX(_V7Batches!$B:$B,MATCH(P173&amp;"",_V7Batches!$A:$A,0)),""))</t>
  </si>
  <si>
    <t>=IFERROR(XLOOKUP(P173,'Shipping Program'!$B$32:$B$78,'Shipping Program'!$E$32:$E$78),IFERROR(INDEX(_V7Batches!$D:$D,MATCH(P173&amp;"",_V7Batches!$A:$A,0)),""))</t>
  </si>
  <si>
    <t>=VLOOKUP(I174,'Shipping Program'!$A$32:$B$78,2)-1</t>
  </si>
  <si>
    <t>=IFERROR(XLOOKUP(P174,'Shipping Program'!$B$32:$B$78,'Shipping Program'!$A$32:$A$78),IFERROR(INDEX(_V7Batches!$B:$B,MATCH(P174&amp;"",_V7Batches!$A:$A,0)),""))</t>
  </si>
  <si>
    <t>=IFERROR(XLOOKUP(P174,'Shipping Program'!$B$32:$B$78,'Shipping Program'!$E$32:$E$78),IFERROR(INDEX(_V7Batches!$D:$D,MATCH(P174&amp;"",_V7Batches!$A:$A,0)),""))</t>
  </si>
  <si>
    <t>=VLOOKUP(I175,'Shipping Program'!$A$32:$B$78,2)-1</t>
  </si>
  <si>
    <t>=IFERROR(XLOOKUP(P175,'Shipping Program'!$B$32:$B$78,'Shipping Program'!$A$32:$A$78),IFERROR(INDEX(_V7Batches!$B:$B,MATCH(P175&amp;"",_V7Batches!$A:$A,0)),""))</t>
  </si>
  <si>
    <t>=IFERROR(XLOOKUP(P175,'Shipping Program'!$B$32:$B$78,'Shipping Program'!$E$32:$E$78),IFERROR(INDEX(_V7Batches!$D:$D,MATCH(P175&amp;"",_V7Batches!$A:$A,0)),""))</t>
  </si>
  <si>
    <t>=VLOOKUP(I176,'Shipping Program'!$A$32:$B$78,2)-1</t>
  </si>
  <si>
    <t>=IFERROR(XLOOKUP(P176,'Shipping Program'!$B$32:$B$78,'Shipping Program'!$A$32:$A$78),IFERROR(INDEX(_V7Batches!$B:$B,MATCH(P176&amp;"",_V7Batches!$A:$A,0)),""))</t>
  </si>
  <si>
    <t>=IFERROR(XLOOKUP(P176,'Shipping Program'!$B$32:$B$78,'Shipping Program'!$E$32:$E$78),IFERROR(INDEX(_V7Batches!$D:$D,MATCH(P176&amp;"",_V7Batches!$A:$A,0)),""))</t>
  </si>
  <si>
    <t>=VLOOKUP(I177,'Shipping Program'!$A$32:$B$78,2)-1</t>
  </si>
  <si>
    <t>=IFERROR(XLOOKUP(P177,'Shipping Program'!$B$32:$B$78,'Shipping Program'!$A$32:$A$78),IFERROR(INDEX(_V7Batches!$B:$B,MATCH(P177&amp;"",_V7Batches!$A:$A,0)),""))</t>
  </si>
  <si>
    <t>=IFERROR(XLOOKUP(P177,'Shipping Program'!$B$32:$B$78,'Shipping Program'!$E$32:$E$78),IFERROR(INDEX(_V7Batches!$D:$D,MATCH(P177&amp;"",_V7Batches!$A:$A,0)),""))</t>
  </si>
  <si>
    <t>=VLOOKUP(I178,'Shipping Program'!$A$32:$B$78,2)-1</t>
  </si>
  <si>
    <t>=IFERROR(XLOOKUP(P178,'Shipping Program'!$B$32:$B$78,'Shipping Program'!$A$32:$A$78),IFERROR(INDEX(_V7Batches!$B:$B,MATCH(P178&amp;"",_V7Batches!$A:$A,0)),""))</t>
  </si>
  <si>
    <t>=IFERROR(XLOOKUP(P178,'Shipping Program'!$B$32:$B$78,'Shipping Program'!$E$32:$E$78),IFERROR(INDEX(_V7Batches!$D:$D,MATCH(P178&amp;"",_V7Batches!$A:$A,0)),""))</t>
  </si>
  <si>
    <t>=VLOOKUP(I179,'Shipping Program'!$A$32:$B$78,2)-1</t>
  </si>
  <si>
    <t>=IFERROR(XLOOKUP(P179,'Shipping Program'!$B$32:$B$78,'Shipping Program'!$A$32:$A$78),IFERROR(INDEX(_V7Batches!$B:$B,MATCH(P179&amp;"",_V7Batches!$A:$A,0)),""))</t>
  </si>
  <si>
    <t>=IFERROR(XLOOKUP(P179,'Shipping Program'!$B$32:$B$78,'Shipping Program'!$E$32:$E$78),IFERROR(INDEX(_V7Batches!$D:$D,MATCH(P179&amp;"",_V7Batches!$A:$A,0)),""))</t>
  </si>
  <si>
    <t>=VLOOKUP(I180,'Shipping Program'!$A$32:$B$78,2)-1</t>
  </si>
  <si>
    <t>=IFERROR(XLOOKUP(P180,'Shipping Program'!$B$32:$B$78,'Shipping Program'!$A$32:$A$78),IFERROR(INDEX(_V7Batches!$B:$B,MATCH(P180&amp;"",_V7Batches!$A:$A,0)),""))</t>
  </si>
  <si>
    <t>=IFERROR(XLOOKUP(P180,'Shipping Program'!$B$32:$B$78,'Shipping Program'!$E$32:$E$78),IFERROR(INDEX(_V7Batches!$D:$D,MATCH(P180&amp;"",_V7Batches!$A:$A,0)),""))</t>
  </si>
  <si>
    <t>=VLOOKUP(I181,'Shipping Program'!$A$32:$B$78,2)-1</t>
  </si>
  <si>
    <t>=IFERROR(XLOOKUP(P181,'Shipping Program'!$B$32:$B$78,'Shipping Program'!$A$32:$A$78),IFERROR(INDEX(_V7Batches!$B:$B,MATCH(P181&amp;"",_V7Batches!$A:$A,0)),""))</t>
  </si>
  <si>
    <t>=IFERROR(XLOOKUP(P181,'Shipping Program'!$B$32:$B$78,'Shipping Program'!$E$32:$E$78),IFERROR(INDEX(_V7Batches!$D:$D,MATCH(P181&amp;"",_V7Batches!$A:$A,0)),""))</t>
  </si>
  <si>
    <t>=VLOOKUP(I182,'Shipping Program'!$A$32:$B$78,2)-1</t>
  </si>
  <si>
    <t>=IFERROR(XLOOKUP(P182,'Shipping Program'!$B$32:$B$78,'Shipping Program'!$A$32:$A$78),IFERROR(INDEX(_V7Batches!$B:$B,MATCH(P182&amp;"",_V7Batches!$A:$A,0)),""))</t>
  </si>
  <si>
    <t>=IFERROR(XLOOKUP(P182,'Shipping Program'!$B$32:$B$78,'Shipping Program'!$E$32:$E$78),IFERROR(INDEX(_V7Batches!$D:$D,MATCH(P182&amp;"",_V7Batches!$A:$A,0)),""))</t>
  </si>
  <si>
    <t>=VLOOKUP(I184,'Shipping Program'!$A$32:$B$78,2)-1</t>
  </si>
  <si>
    <t>=IFERROR(XLOOKUP(P184,'Shipping Program'!$B$32:$B$78,'Shipping Program'!$A$32:$A$78),IFERROR(INDEX(_V7Batches!$B:$B,MATCH(P184&amp;"",_V7Batches!$A:$A,0)),""))</t>
  </si>
  <si>
    <t>=IFERROR(XLOOKUP(P184,'Shipping Program'!$B$32:$B$78,'Shipping Program'!$E$32:$E$78),IFERROR(INDEX(_V7Batches!$D:$D,MATCH(P184&amp;"",_V7Batches!$A:$A,0)),""))</t>
  </si>
  <si>
    <t>=VLOOKUP(I185,'Shipping Program'!$A$32:$B$78,2)-1</t>
  </si>
  <si>
    <t>=IFERROR(XLOOKUP(P185,'Shipping Program'!$B$32:$B$78,'Shipping Program'!$A$32:$A$78),IFERROR(INDEX(_V7Batches!$B:$B,MATCH(P185&amp;"",_V7Batches!$A:$A,0)),""))</t>
  </si>
  <si>
    <t>=IFERROR(XLOOKUP(P185,'Shipping Program'!$B$32:$B$78,'Shipping Program'!$E$32:$E$78),IFERROR(INDEX(_V7Batches!$D:$D,MATCH(P185&amp;"",_V7Batches!$A:$A,0)),""))</t>
  </si>
  <si>
    <t>=VLOOKUP(I186,'Shipping Program'!$A$32:$B$78,2)-1</t>
  </si>
  <si>
    <t>=IFERROR(XLOOKUP(P186,'Shipping Program'!$B$32:$B$78,'Shipping Program'!$A$32:$A$78),IFERROR(INDEX(_V7Batches!$B:$B,MATCH(P186&amp;"",_V7Batches!$A:$A,0)),""))</t>
  </si>
  <si>
    <t>=IFERROR(XLOOKUP(P186,'Shipping Program'!$B$32:$B$78,'Shipping Program'!$E$32:$E$78),IFERROR(INDEX(_V7Batches!$D:$D,MATCH(P186&amp;"",_V7Batches!$A:$A,0)),""))</t>
  </si>
  <si>
    <t>=VLOOKUP(I187,'Shipping Program'!$A$32:$B$78,2)-1</t>
  </si>
  <si>
    <t>=IFERROR(XLOOKUP(P187,'Shipping Program'!$B$32:$B$78,'Shipping Program'!$A$32:$A$78),IFERROR(INDEX(_V7Batches!$B:$B,MATCH(P187&amp;"",_V7Batches!$A:$A,0)),""))</t>
  </si>
  <si>
    <t>=IFERROR(XLOOKUP(P187,'Shipping Program'!$B$32:$B$78,'Shipping Program'!$E$32:$E$78),IFERROR(INDEX(_V7Batches!$D:$D,MATCH(P187&amp;"",_V7Batches!$A:$A,0)),""))</t>
  </si>
  <si>
    <t>=VLOOKUP(I188,'Shipping Program'!$A$32:$B$78,2)-1</t>
  </si>
  <si>
    <t>=IFERROR(XLOOKUP(P188,'Shipping Program'!$B$32:$B$78,'Shipping Program'!$A$32:$A$78),IFERROR(INDEX(_V7Batches!$B:$B,MATCH(P188&amp;"",_V7Batches!$A:$A,0)),""))</t>
  </si>
  <si>
    <t>=IFERROR(XLOOKUP(P188,'Shipping Program'!$B$32:$B$78,'Shipping Program'!$E$32:$E$78),IFERROR(INDEX(_V7Batches!$D:$D,MATCH(P188&amp;"",_V7Batches!$A:$A,0)),""))</t>
  </si>
  <si>
    <t>=VLOOKUP(I190,'Shipping Program'!$A$32:$B$78,2)-1</t>
  </si>
  <si>
    <t>=IFERROR(XLOOKUP(P190,'Shipping Program'!$B$32:$B$78,'Shipping Program'!$A$32:$A$78),IFERROR(INDEX(_V7Batches!$B:$B,MATCH(P190&amp;"",_V7Batches!$A:$A,0)),""))</t>
  </si>
  <si>
    <t>=IFERROR(XLOOKUP(P190,'Shipping Program'!$B$32:$B$78,'Shipping Program'!$E$32:$E$78),IFERROR(INDEX(_V7Batches!$D:$D,MATCH(P190&amp;"",_V7Batches!$A:$A,0)),""))</t>
  </si>
  <si>
    <t>=VLOOKUP(I191,'Shipping Program'!$A$32:$B$78,2)-1</t>
  </si>
  <si>
    <t>=IFERROR(XLOOKUP(P191,'Shipping Program'!$B$32:$B$78,'Shipping Program'!$A$32:$A$78),IFERROR(INDEX(_V7Batches!$B:$B,MATCH(P191&amp;"",_V7Batches!$A:$A,0)),""))</t>
  </si>
  <si>
    <t>=IFERROR(XLOOKUP(P191,'Shipping Program'!$B$32:$B$78,'Shipping Program'!$E$32:$E$78),IFERROR(INDEX(_V7Batches!$D:$D,MATCH(P191&amp;"",_V7Batches!$A:$A,0)),""))</t>
  </si>
  <si>
    <t>=VLOOKUP(I193,'Shipping Program'!$A$32:$B$78,2)-1</t>
  </si>
  <si>
    <t>=IFERROR(XLOOKUP(P193,'Shipping Program'!$B$32:$B$78,'Shipping Program'!$A$32:$A$78),IFERROR(INDEX(_V7Batches!$B:$B,MATCH(P193&amp;"",_V7Batches!$A:$A,0)),""))</t>
  </si>
  <si>
    <t>=IFERROR(XLOOKUP(P193,'Shipping Program'!$B$32:$B$78,'Shipping Program'!$E$32:$E$78),IFERROR(INDEX(_V7Batches!$D:$D,MATCH(P193&amp;"",_V7Batches!$A:$A,0)),""))</t>
  </si>
  <si>
    <t>=VLOOKUP(I194,'Shipping Program'!$A$32:$B$78,2)-1</t>
  </si>
  <si>
    <t>=IFERROR(XLOOKUP(P194,'Shipping Program'!$B$32:$B$78,'Shipping Program'!$A$32:$A$78),IFERROR(INDEX(_V7Batches!$B:$B,MATCH(P194&amp;"",_V7Batches!$A:$A,0)),""))</t>
  </si>
  <si>
    <t>=IFERROR(XLOOKUP(P194,'Shipping Program'!$B$32:$B$78,'Shipping Program'!$E$32:$E$78),IFERROR(INDEX(_V7Batches!$D:$D,MATCH(P194&amp;"",_V7Batches!$A:$A,0)),""))</t>
  </si>
  <si>
    <t>=VLOOKUP(I196,'Shipping Program'!$A$32:$B$78,2)-1</t>
  </si>
  <si>
    <t>=IFERROR(XLOOKUP(P196,'Shipping Program'!$B$32:$B$78,'Shipping Program'!$A$32:$A$78),IFERROR(INDEX(_V7Batches!$B:$B,MATCH(P196&amp;"",_V7Batches!$A:$A,0)),""))</t>
  </si>
  <si>
    <t>=IFERROR(XLOOKUP(P196,'Shipping Program'!$B$32:$B$78,'Shipping Program'!$E$32:$E$78),IFERROR(INDEX(_V7Batches!$D:$D,MATCH(P196&amp;"",_V7Batches!$A:$A,0)),""))</t>
  </si>
  <si>
    <t>=VLOOKUP(I197,'Shipping Program'!$A$32:$B$78,2)-1</t>
  </si>
  <si>
    <t>=IFERROR(XLOOKUP(P197,'Shipping Program'!$B$32:$B$78,'Shipping Program'!$A$32:$A$78),IFERROR(INDEX(_V7Batches!$B:$B,MATCH(P197&amp;"",_V7Batches!$A:$A,0)),""))</t>
  </si>
  <si>
    <t>=IFERROR(XLOOKUP(P197,'Shipping Program'!$B$32:$B$78,'Shipping Program'!$E$32:$E$78),IFERROR(INDEX(_V7Batches!$D:$D,MATCH(P197&amp;"",_V7Batches!$A:$A,0)),""))</t>
  </si>
  <si>
    <t>=VLOOKUP(I198,'Shipping Program'!$A$32:$B$78,2)-1</t>
  </si>
  <si>
    <t>=IFERROR(XLOOKUP(P198,'Shipping Program'!$B$32:$B$78,'Shipping Program'!$A$32:$A$78),IFERROR(INDEX(_V7Batches!$B:$B,MATCH(P198&amp;"",_V7Batches!$A:$A,0)),""))</t>
  </si>
  <si>
    <t>=IFERROR(XLOOKUP(P198,'Shipping Program'!$B$32:$B$78,'Shipping Program'!$E$32:$E$78),IFERROR(INDEX(_V7Batches!$D:$D,MATCH(P198&amp;"",_V7Batches!$A:$A,0)),""))</t>
  </si>
  <si>
    <t>=VLOOKUP(I199,'Shipping Program'!$A$32:$B$78,2)-1</t>
  </si>
  <si>
    <t>=IFERROR(XLOOKUP(P199,'Shipping Program'!$B$32:$B$78,'Shipping Program'!$A$32:$A$78),IFERROR(INDEX(_V7Batches!$B:$B,MATCH(P199&amp;"",_V7Batches!$A:$A,0)),""))</t>
  </si>
  <si>
    <t>=IFERROR(XLOOKUP(P199,'Shipping Program'!$B$32:$B$78,'Shipping Program'!$E$32:$E$78),IFERROR(INDEX(_V7Batches!$D:$D,MATCH(P199&amp;"",_V7Batches!$A:$A,0)),""))</t>
  </si>
  <si>
    <t>=VLOOKUP(I200,'Shipping Program'!$A$32:$B$78,2)-1</t>
  </si>
  <si>
    <t>=IFERROR(XLOOKUP(P200,'Shipping Program'!$B$32:$B$78,'Shipping Program'!$A$32:$A$78),IFERROR(INDEX(_V7Batches!$B:$B,MATCH(P200&amp;"",_V7Batches!$A:$A,0)),""))</t>
  </si>
  <si>
    <t>=IFERROR(XLOOKUP(P200,'Shipping Program'!$B$32:$B$78,'Shipping Program'!$E$32:$E$78),IFERROR(INDEX(_V7Batches!$D:$D,MATCH(P200&amp;"",_V7Batches!$A:$A,0)),""))</t>
  </si>
  <si>
    <t>=VLOOKUP(I202,'Shipping Program'!$A$32:$B$78,2)-1</t>
  </si>
  <si>
    <t>=IFERROR(XLOOKUP(P202,'Shipping Program'!$B$32:$B$78,'Shipping Program'!$A$32:$A$78),IFERROR(INDEX(_V7Batches!$B:$B,MATCH(P202&amp;"",_V7Batches!$A:$A,0)),""))</t>
  </si>
  <si>
    <t>=IFERROR(XLOOKUP(P202,'Shipping Program'!$B$32:$B$78,'Shipping Program'!$E$32:$E$78),IFERROR(INDEX(_V7Batches!$D:$D,MATCH(P202&amp;"",_V7Batches!$A:$A,0)),""))</t>
  </si>
  <si>
    <t>=VLOOKUP(I204,'Shipping Program'!$A$32:$B$78,2)-1</t>
  </si>
  <si>
    <t>=IFERROR(XLOOKUP(P204,'Shipping Program'!$B$32:$B$78,'Shipping Program'!$A$32:$A$78),IFERROR(INDEX(_V7Batches!$B:$B,MATCH(P204&amp;"",_V7Batches!$A:$A,0)),""))</t>
  </si>
  <si>
    <t>=IFERROR(XLOOKUP(P204,'Shipping Program'!$B$32:$B$78,'Shipping Program'!$E$32:$E$78),IFERROR(INDEX(_V7Batches!$D:$D,MATCH(P204&amp;"",_V7Batches!$A:$A,0)),""))</t>
  </si>
  <si>
    <t>=VLOOKUP(I206,'Shipping Program'!$A$32:$B$78,2)-1</t>
  </si>
  <si>
    <t>=IFERROR(XLOOKUP(P206,'Shipping Program'!$B$32:$B$78,'Shipping Program'!$A$32:$A$78),IFERROR(INDEX(_V7Batches!$B:$B,MATCH(P206&amp;"",_V7Batches!$A:$A,0)),""))</t>
  </si>
  <si>
    <t>=IFERROR(XLOOKUP(P206,'Shipping Program'!$B$32:$B$78,'Shipping Program'!$E$32:$E$78),IFERROR(INDEX(_V7Batches!$D:$D,MATCH(P206&amp;"",_V7Batches!$A:$A,0)),""))</t>
  </si>
  <si>
    <t>=VLOOKUP(I207,'Shipping Program'!$A$32:$B$78,2)-1</t>
  </si>
  <si>
    <t>=IFERROR(XLOOKUP(P207,'Shipping Program'!$B$32:$B$78,'Shipping Program'!$A$32:$A$78),IFERROR(INDEX(_V7Batches!$B:$B,MATCH(P207&amp;"",_V7Batches!$A:$A,0)),""))</t>
  </si>
  <si>
    <t>=IFERROR(XLOOKUP(P207,'Shipping Program'!$B$32:$B$78,'Shipping Program'!$E$32:$E$78),IFERROR(INDEX(_V7Batches!$D:$D,MATCH(P207&amp;"",_V7Batches!$A:$A,0)),""))</t>
  </si>
  <si>
    <t>=VLOOKUP(I208,'Shipping Program'!$A$32:$B$78,2)-1</t>
  </si>
  <si>
    <t>=IFERROR(XLOOKUP(P208,'Shipping Program'!$B$32:$B$78,'Shipping Program'!$A$32:$A$78),IFERROR(INDEX(_V7Batches!$B:$B,MATCH(P208&amp;"",_V7Batches!$A:$A,0)),""))</t>
  </si>
  <si>
    <t>=IFERROR(XLOOKUP(P208,'Shipping Program'!$B$32:$B$78,'Shipping Program'!$E$32:$E$78),IFERROR(INDEX(_V7Batches!$D:$D,MATCH(P208&amp;"",_V7Batches!$A:$A,0)),""))</t>
  </si>
  <si>
    <t>=VLOOKUP(I209,'Shipping Program'!$A$32:$B$78,2)-1</t>
  </si>
  <si>
    <t>=IFERROR(XLOOKUP(P209,'Shipping Program'!$B$32:$B$78,'Shipping Program'!$A$32:$A$78),IFERROR(INDEX(_V7Batches!$B:$B,MATCH(P209&amp;"",_V7Batches!$A:$A,0)),""))</t>
  </si>
  <si>
    <t>=IFERROR(XLOOKUP(P209,'Shipping Program'!$B$32:$B$78,'Shipping Program'!$E$32:$E$78),IFERROR(INDEX(_V7Batches!$D:$D,MATCH(P209&amp;"",_V7Batches!$A:$A,0)),""))</t>
  </si>
  <si>
    <t>=VLOOKUP(I212,'Shipping Program'!$A$32:$B$78,2)-1</t>
  </si>
  <si>
    <t>=IFERROR(XLOOKUP(P212,'Shipping Program'!$B$32:$B$78,'Shipping Program'!$A$32:$A$78),IFERROR(INDEX(_V7Batches!$B:$B,MATCH(P212&amp;"",_V7Batches!$A:$A,0)),""))</t>
  </si>
  <si>
    <t>=IFERROR(XLOOKUP(P212,'Shipping Program'!$B$32:$B$78,'Shipping Program'!$E$32:$E$78),IFERROR(INDEX(_V7Batches!$D:$D,MATCH(P212&amp;"",_V7Batches!$A:$A,0)),""))</t>
  </si>
  <si>
    <t>=VLOOKUP(I214,'Shipping Program'!$A$32:$B$78,2)-1</t>
  </si>
  <si>
    <t>=IFERROR(XLOOKUP(P214,'Shipping Program'!$B$32:$B$78,'Shipping Program'!$A$32:$A$78),IFERROR(INDEX(_V7Batches!$B:$B,MATCH(P214&amp;"",_V7Batches!$A:$A,0)),""))</t>
  </si>
  <si>
    <t>=IFERROR(XLOOKUP(P214,'Shipping Program'!$B$32:$B$78,'Shipping Program'!$E$32:$E$78),IFERROR(INDEX(_V7Batches!$D:$D,MATCH(P214&amp;"",_V7Batches!$A:$A,0)),""))</t>
  </si>
  <si>
    <t>=VLOOKUP(I215,'Shipping Program'!$A$32:$B$78,2)-1</t>
  </si>
  <si>
    <t>=IFERROR(XLOOKUP(P215,'Shipping Program'!$B$32:$B$78,'Shipping Program'!$A$32:$A$78),IFERROR(INDEX(_V7Batches!$B:$B,MATCH(P215&amp;"",_V7Batches!$A:$A,0)),""))</t>
  </si>
  <si>
    <t>=IFERROR(XLOOKUP(P215,'Shipping Program'!$B$32:$B$78,'Shipping Program'!$E$32:$E$78),IFERROR(INDEX(_V7Batches!$D:$D,MATCH(P215&amp;"",_V7Batches!$A:$A,0)),""))</t>
  </si>
  <si>
    <t>=VLOOKUP(I218,'Shipping Program'!$A$32:$B$78,2)-1</t>
  </si>
  <si>
    <t>=IFERROR(XLOOKUP(P218,'Shipping Program'!$B$32:$B$78,'Shipping Program'!$A$32:$A$78),IFERROR(INDEX(_V7Batches!$B:$B,MATCH(P218&amp;"",_V7Batches!$A:$A,0)),""))</t>
  </si>
  <si>
    <t>=IFERROR(XLOOKUP(P218,'Shipping Program'!$B$32:$B$78,'Shipping Program'!$E$32:$E$78),IFERROR(INDEX(_V7Batches!$D:$D,MATCH(P218&amp;"",_V7Batches!$A:$A,0)),""))</t>
  </si>
  <si>
    <t>=VLOOKUP(I219,'Shipping Program'!$A$32:$B$78,2)-1</t>
  </si>
  <si>
    <t>=IFERROR(XLOOKUP(P219,'Shipping Program'!$B$32:$B$78,'Shipping Program'!$A$32:$A$78),IFERROR(INDEX(_V7Batches!$B:$B,MATCH(P219&amp;"",_V7Batches!$A:$A,0)),""))</t>
  </si>
  <si>
    <t>=IFERROR(XLOOKUP(P219,'Shipping Program'!$B$32:$B$78,'Shipping Program'!$E$32:$E$78),IFERROR(INDEX(_V7Batches!$D:$D,MATCH(P219&amp;"",_V7Batches!$A:$A,0)),""))</t>
  </si>
  <si>
    <t>=VLOOKUP(I220,'Shipping Program'!$A$32:$B$78,2)-1</t>
  </si>
  <si>
    <t>=IFERROR(XLOOKUP(P220,'Shipping Program'!$B$32:$B$78,'Shipping Program'!$A$32:$A$78),IFERROR(INDEX(_V7Batches!$B:$B,MATCH(P220&amp;"",_V7Batches!$A:$A,0)),""))</t>
  </si>
  <si>
    <t>=IFERROR(XLOOKUP(P220,'Shipping Program'!$B$32:$B$78,'Shipping Program'!$E$32:$E$78),IFERROR(INDEX(_V7Batches!$D:$D,MATCH(P220&amp;"",_V7Batches!$A:$A,0)),""))</t>
  </si>
  <si>
    <t>=VLOOKUP(I222,'Shipping Program'!$A$32:$B$78,2)-1</t>
  </si>
  <si>
    <t>=IFERROR(XLOOKUP(P222,'Shipping Program'!$B$32:$B$78,'Shipping Program'!$A$32:$A$78),IFERROR(INDEX(_V7Batches!$B:$B,MATCH(P222&amp;"",_V7Batches!$A:$A,0)),""))</t>
  </si>
  <si>
    <t>=IFERROR(XLOOKUP(P222,'Shipping Program'!$B$32:$B$78,'Shipping Program'!$E$32:$E$78),IFERROR(INDEX(_V7Batches!$D:$D,MATCH(P222&amp;"",_V7Batches!$A:$A,0)),""))</t>
  </si>
  <si>
    <t>=VLOOKUP(I224,'Shipping Program'!$A$32:$B$78,2)-1</t>
  </si>
  <si>
    <t>=IFERROR(XLOOKUP(P224,'Shipping Program'!$B$32:$B$78,'Shipping Program'!$A$32:$A$78),IFERROR(INDEX(_V7Batches!$B:$B,MATCH(P224&amp;"",_V7Batches!$A:$A,0)),""))</t>
  </si>
  <si>
    <t>=IFERROR(XLOOKUP(P224,'Shipping Program'!$B$32:$B$78,'Shipping Program'!$E$32:$E$78),IFERROR(INDEX(_V7Batches!$D:$D,MATCH(P224&amp;"",_V7Batches!$A:$A,0)),""))</t>
  </si>
  <si>
    <t>=IFERROR(XLOOKUP(P226,'Shipping Program'!$B$32:$B$78,'Shipping Program'!$A$32:$A$78),IFERROR(INDEX(_V7Batches!$B:$B,MATCH(P226&amp;"",_V7Batches!$A:$A,0)),""))</t>
  </si>
  <si>
    <t>=IFERROR(XLOOKUP(P226,'Shipping Program'!$B$32:$B$78,'Shipping Program'!$E$32:$E$78),IFERROR(INDEX(_V7Batches!$D:$D,MATCH(P226&amp;"",_V7Batches!$A:$A,0)),""))</t>
  </si>
  <si>
    <t>=VLOOKUP(I228,'Shipping Program'!$A$32:$B$78,2)-1</t>
  </si>
  <si>
    <t>=IFERROR(XLOOKUP(P228,'Shipping Program'!$B$32:$B$78,'Shipping Program'!$A$32:$A$78),IFERROR(INDEX(_V7Batches!$B:$B,MATCH(P228&amp;"",_V7Batches!$A:$A,0)),""))</t>
  </si>
  <si>
    <t>=IFERROR(XLOOKUP(P228,'Shipping Program'!$B$32:$B$78,'Shipping Program'!$E$32:$E$78),IFERROR(INDEX(_V7Batches!$D:$D,MATCH(P228&amp;"",_V7Batches!$A:$A,0)),""))</t>
  </si>
  <si>
    <t>=VLOOKUP(I230,'Shipping Program'!$A$32:$B$78,2)-1</t>
  </si>
  <si>
    <t>=IFERROR(XLOOKUP(P230,'Shipping Program'!$B$32:$B$78,'Shipping Program'!$A$32:$A$78),IFERROR(INDEX(_V7Batches!$B:$B,MATCH(P230&amp;"",_V7Batches!$A:$A,0)),""))</t>
  </si>
  <si>
    <t>=IFERROR(XLOOKUP(P230,'Shipping Program'!$B$32:$B$78,'Shipping Program'!$E$32:$E$78),IFERROR(INDEX(_V7Batches!$D:$D,MATCH(P230&amp;"",_V7Batches!$A:$A,0)),""))</t>
  </si>
  <si>
    <t>=VLOOKUP(I231,'Shipping Program'!$A$32:$B$78,2)-1</t>
  </si>
  <si>
    <t>=IFERROR(XLOOKUP(P231,'Shipping Program'!$B$32:$B$78,'Shipping Program'!$A$32:$A$78),IFERROR(INDEX(_V7Batches!$B:$B,MATCH(P231&amp;"",_V7Batches!$A:$A,0)),""))</t>
  </si>
  <si>
    <t>=IFERROR(XLOOKUP(P231,'Shipping Program'!$B$32:$B$78,'Shipping Program'!$E$32:$E$78),IFERROR(INDEX(_V7Batches!$D:$D,MATCH(P231&amp;"",_V7Batches!$A:$A,0)),""))</t>
  </si>
  <si>
    <t>=VLOOKUP(I232,'Shipping Program'!$A$32:$B$78,2)-1</t>
  </si>
  <si>
    <t>=IFERROR(XLOOKUP(P232,'Shipping Program'!$B$32:$B$78,'Shipping Program'!$A$32:$A$78),IFERROR(INDEX(_V7Batches!$B:$B,MATCH(P232&amp;"",_V7Batches!$A:$A,0)),""))</t>
  </si>
  <si>
    <t>=IFERROR(XLOOKUP(P232,'Shipping Program'!$B$32:$B$78,'Shipping Program'!$E$32:$E$78),IFERROR(INDEX(_V7Batches!$D:$D,MATCH(P232&amp;"",_V7Batches!$A:$A,0)),""))</t>
  </si>
  <si>
    <t>=VLOOKUP(I233,'Shipping Program'!$A$32:$B$78,2)-1</t>
  </si>
  <si>
    <t>=IFERROR(XLOOKUP(P233,'Shipping Program'!$B$32:$B$78,'Shipping Program'!$A$32:$A$78),IFERROR(INDEX(_V7Batches!$B:$B,MATCH(P233&amp;"",_V7Batches!$A:$A,0)),""))</t>
  </si>
  <si>
    <t>=IFERROR(XLOOKUP(P233,'Shipping Program'!$B$32:$B$78,'Shipping Program'!$E$32:$E$78),IFERROR(INDEX(_V7Batches!$D:$D,MATCH(P233&amp;"",_V7Batches!$A:$A,0)),""))</t>
  </si>
  <si>
    <t>=VLOOKUP(I234,'Shipping Program'!$A$32:$B$78,2)-1</t>
  </si>
  <si>
    <t>=IFERROR(XLOOKUP(P234,'Shipping Program'!$B$32:$B$78,'Shipping Program'!$A$32:$A$78),IFERROR(INDEX(_V7Batches!$B:$B,MATCH(P234&amp;"",_V7Batches!$A:$A,0)),""))</t>
  </si>
  <si>
    <t>=IFERROR(XLOOKUP(P234,'Shipping Program'!$B$32:$B$78,'Shipping Program'!$E$32:$E$78),IFERROR(INDEX(_V7Batches!$D:$D,MATCH(P234&amp;"",_V7Batches!$A:$A,0)),""))</t>
  </si>
  <si>
    <t>=VLOOKUP(I235,'Shipping Program'!$A$32:$B$78,2)-1</t>
  </si>
  <si>
    <t>=IFERROR(XLOOKUP(P235,'Shipping Program'!$B$32:$B$78,'Shipping Program'!$A$32:$A$78),IFERROR(INDEX(_V7Batches!$B:$B,MATCH(P235&amp;"",_V7Batches!$A:$A,0)),""))</t>
  </si>
  <si>
    <t>=IFERROR(XLOOKUP(P235,'Shipping Program'!$B$32:$B$78,'Shipping Program'!$E$32:$E$78),IFERROR(INDEX(_V7Batches!$D:$D,MATCH(P235&amp;"",_V7Batches!$A:$A,0)),""))</t>
  </si>
  <si>
    <t>=VLOOKUP(I236,'Shipping Program'!$A$32:$B$78,2)-1</t>
  </si>
  <si>
    <t>=IFERROR(XLOOKUP(P236,'Shipping Program'!$B$32:$B$78,'Shipping Program'!$A$32:$A$78),IFERROR(INDEX(_V7Batches!$B:$B,MATCH(P236&amp;"",_V7Batches!$A:$A,0)),""))</t>
  </si>
  <si>
    <t>=IFERROR(XLOOKUP(P236,'Shipping Program'!$B$32:$B$78,'Shipping Program'!$E$32:$E$78),IFERROR(INDEX(_V7Batches!$D:$D,MATCH(P236&amp;"",_V7Batches!$A:$A,0)),""))</t>
  </si>
  <si>
    <t>=VLOOKUP(I237,'Shipping Program'!$A$32:$B$78,2)-1</t>
  </si>
  <si>
    <t>=IFERROR(XLOOKUP(P237,'Shipping Program'!$B$32:$B$78,'Shipping Program'!$A$32:$A$78),IFERROR(INDEX(_V7Batches!$B:$B,MATCH(P237&amp;"",_V7Batches!$A:$A,0)),""))</t>
  </si>
  <si>
    <t>=IFERROR(XLOOKUP(P237,'Shipping Program'!$B$32:$B$78,'Shipping Program'!$E$32:$E$78),IFERROR(INDEX(_V7Batches!$D:$D,MATCH(P237&amp;"",_V7Batches!$A:$A,0)),""))</t>
  </si>
  <si>
    <t>=VLOOKUP(I238,'Shipping Program'!$A$32:$B$78,2)-1</t>
  </si>
  <si>
    <t>=IFERROR(XLOOKUP(P238,'Shipping Program'!$B$32:$B$78,'Shipping Program'!$A$32:$A$78),IFERROR(INDEX(_V7Batches!$B:$B,MATCH(P238&amp;"",_V7Batches!$A:$A,0)),""))</t>
  </si>
  <si>
    <t>=IFERROR(XLOOKUP(P238,'Shipping Program'!$B$32:$B$78,'Shipping Program'!$E$32:$E$78),IFERROR(INDEX(_V7Batches!$D:$D,MATCH(P238&amp;"",_V7Batches!$A:$A,0)),""))</t>
  </si>
  <si>
    <t>=VLOOKUP(I239,'Shipping Program'!$A$32:$B$78,2)-1</t>
  </si>
  <si>
    <t>=IFERROR(XLOOKUP(P239,'Shipping Program'!$B$32:$B$78,'Shipping Program'!$A$32:$A$78),IFERROR(INDEX(_V7Batches!$B:$B,MATCH(P239&amp;"",_V7Batches!$A:$A,0)),""))</t>
  </si>
  <si>
    <t>=IFERROR(XLOOKUP(P239,'Shipping Program'!$B$32:$B$78,'Shipping Program'!$E$32:$E$78),IFERROR(INDEX(_V7Batches!$D:$D,MATCH(P239&amp;"",_V7Batches!$A:$A,0)),""))</t>
  </si>
  <si>
    <t>=VLOOKUP(I241,'Shipping Program'!$A$32:$B$78,2)-1</t>
  </si>
  <si>
    <t>=IFERROR(XLOOKUP(P241,'Shipping Program'!$B$32:$B$78,'Shipping Program'!$A$32:$A$78),IFERROR(INDEX(_V7Batches!$B:$B,MATCH(P241&amp;"",_V7Batches!$A:$A,0)),""))</t>
  </si>
  <si>
    <t>=IFERROR(XLOOKUP(P241,'Shipping Program'!$B$32:$B$78,'Shipping Program'!$E$32:$E$78),IFERROR(INDEX(_V7Batches!$D:$D,MATCH(P241&amp;"",_V7Batches!$A:$A,0)),""))</t>
  </si>
  <si>
    <t>=VLOOKUP(I242,'Shipping Program'!$A$32:$B$78,2)-1</t>
  </si>
  <si>
    <t>=IFERROR(XLOOKUP(P242,'Shipping Program'!$B$32:$B$78,'Shipping Program'!$A$32:$A$78),IFERROR(INDEX(_V7Batches!$B:$B,MATCH(P242&amp;"",_V7Batches!$A:$A,0)),""))</t>
  </si>
  <si>
    <t>=IFERROR(XLOOKUP(P242,'Shipping Program'!$B$32:$B$78,'Shipping Program'!$E$32:$E$78),IFERROR(INDEX(_V7Batches!$D:$D,MATCH(P242&amp;"",_V7Batches!$A:$A,0)),""))</t>
  </si>
  <si>
    <t>=VLOOKUP(I243,'Shipping Program'!$A$32:$B$78,2)-1</t>
  </si>
  <si>
    <t>=IFERROR(XLOOKUP(P243,'Shipping Program'!$B$32:$B$78,'Shipping Program'!$A$32:$A$78),IFERROR(INDEX(_V7Batches!$B:$B,MATCH(P243&amp;"",_V7Batches!$A:$A,0)),""))</t>
  </si>
  <si>
    <t>=IFERROR(XLOOKUP(P243,'Shipping Program'!$B$32:$B$78,'Shipping Program'!$E$32:$E$78),IFERROR(INDEX(_V7Batches!$D:$D,MATCH(P243&amp;"",_V7Batches!$A:$A,0)),""))</t>
  </si>
  <si>
    <t>=VLOOKUP(I244,'Shipping Program'!$A$32:$B$78,2)-1</t>
  </si>
  <si>
    <t>=IFERROR(XLOOKUP(P244,'Shipping Program'!$B$32:$B$78,'Shipping Program'!$A$32:$A$78),IFERROR(INDEX(_V7Batches!$B:$B,MATCH(P244&amp;"",_V7Batches!$A:$A,0)),""))</t>
  </si>
  <si>
    <t>=IFERROR(XLOOKUP(P244,'Shipping Program'!$B$32:$B$78,'Shipping Program'!$E$32:$E$78),IFERROR(INDEX(_V7Batches!$D:$D,MATCH(P244&amp;"",_V7Batches!$A:$A,0)),""))</t>
  </si>
  <si>
    <t>=VLOOKUP(I245,'Shipping Program'!$A$32:$B$78,2)-1</t>
  </si>
  <si>
    <t>=IFERROR(XLOOKUP(P245,'Shipping Program'!$B$32:$B$78,'Shipping Program'!$A$32:$A$78),IFERROR(INDEX(_V7Batches!$B:$B,MATCH(P245&amp;"",_V7Batches!$A:$A,0)),""))</t>
  </si>
  <si>
    <t>=IFERROR(XLOOKUP(P245,'Shipping Program'!$B$32:$B$78,'Shipping Program'!$E$32:$E$78),IFERROR(INDEX(_V7Batches!$D:$D,MATCH(P245&amp;"",_V7Batches!$A:$A,0)),""))</t>
  </si>
  <si>
    <t>=VLOOKUP(I246,'Shipping Program'!$A$32:$B$78,2)-1</t>
  </si>
  <si>
    <t>=IFERROR(XLOOKUP(P246,'Shipping Program'!$B$32:$B$78,'Shipping Program'!$A$32:$A$78),IFERROR(INDEX(_V7Batches!$B:$B,MATCH(P246&amp;"",_V7Batches!$A:$A,0)),""))</t>
  </si>
  <si>
    <t>=IFERROR(XLOOKUP(P246,'Shipping Program'!$B$32:$B$78,'Shipping Program'!$E$32:$E$78),IFERROR(INDEX(_V7Batches!$D:$D,MATCH(P246&amp;"",_V7Batches!$A:$A,0)),""))</t>
  </si>
  <si>
    <t>=VLOOKUP(I247,'Shipping Program'!$A$32:$B$78,2)-1</t>
  </si>
  <si>
    <t>=IFERROR(XLOOKUP(P247,'Shipping Program'!$B$32:$B$78,'Shipping Program'!$A$32:$A$78),IFERROR(INDEX(_V7Batches!$B:$B,MATCH(P247&amp;"",_V7Batches!$A:$A,0)),""))</t>
  </si>
  <si>
    <t>=IFERROR(XLOOKUP(P247,'Shipping Program'!$B$32:$B$78,'Shipping Program'!$E$32:$E$78),IFERROR(INDEX(_V7Batches!$D:$D,MATCH(P247&amp;"",_V7Batches!$A:$A,0)),""))</t>
  </si>
  <si>
    <t>=VLOOKUP(I249,'Shipping Program'!$A$32:$B$78,2)-1</t>
  </si>
  <si>
    <t>=IFERROR(XLOOKUP(P249,'Shipping Program'!$B$32:$B$78,'Shipping Program'!$A$32:$A$78),IFERROR(INDEX(_V7Batches!$B:$B,MATCH(P249&amp;"",_V7Batches!$A:$A,0)),""))</t>
  </si>
  <si>
    <t>=IFERROR(XLOOKUP(P249,'Shipping Program'!$B$32:$B$78,'Shipping Program'!$E$32:$E$78),IFERROR(INDEX(_V7Batches!$D:$D,MATCH(P249&amp;"",_V7Batches!$A:$A,0)),""))</t>
  </si>
  <si>
    <t>=VLOOKUP(I250,'Shipping Program'!$A$32:$B$78,2)-1</t>
  </si>
  <si>
    <t>=IFERROR(XLOOKUP(P250,'Shipping Program'!$B$32:$B$78,'Shipping Program'!$A$32:$A$78),IFERROR(INDEX(_V7Batches!$B:$B,MATCH(P250&amp;"",_V7Batches!$A:$A,0)),""))</t>
  </si>
  <si>
    <t>=IFERROR(XLOOKUP(P250,'Shipping Program'!$B$32:$B$78,'Shipping Program'!$E$32:$E$78),IFERROR(INDEX(_V7Batches!$D:$D,MATCH(P250&amp;"",_V7Batches!$A:$A,0)),""))</t>
  </si>
  <si>
    <t>=VLOOKUP(I251,'Shipping Program'!$A$32:$B$78,2)-1</t>
  </si>
  <si>
    <t>=IFERROR(XLOOKUP(P251,'Shipping Program'!$B$32:$B$78,'Shipping Program'!$A$32:$A$78),IFERROR(INDEX(_V7Batches!$B:$B,MATCH(P251&amp;"",_V7Batches!$A:$A,0)),""))</t>
  </si>
  <si>
    <t>=IFERROR(XLOOKUP(P251,'Shipping Program'!$B$32:$B$78,'Shipping Program'!$E$32:$E$78),IFERROR(INDEX(_V7Batches!$D:$D,MATCH(P251&amp;"",_V7Batches!$A:$A,0)),""))</t>
  </si>
  <si>
    <t>=VLOOKUP(I252,'Shipping Program'!$A$32:$B$78,2)-1</t>
  </si>
  <si>
    <t>=IFERROR(XLOOKUP(P252,'Shipping Program'!$B$32:$B$78,'Shipping Program'!$A$32:$A$78),IFERROR(INDEX(_V7Batches!$B:$B,MATCH(P252&amp;"",_V7Batches!$A:$A,0)),""))</t>
  </si>
  <si>
    <t>=IFERROR(XLOOKUP(P252,'Shipping Program'!$B$32:$B$78,'Shipping Program'!$E$32:$E$78),IFERROR(INDEX(_V7Batches!$D:$D,MATCH(P252&amp;"",_V7Batches!$A:$A,0)),""))</t>
  </si>
  <si>
    <t>=VLOOKUP(I253,'Shipping Program'!$A$32:$B$78,2)-1</t>
  </si>
  <si>
    <t>=IFERROR(XLOOKUP(P253,'Shipping Program'!$B$32:$B$78,'Shipping Program'!$A$32:$A$78),IFERROR(INDEX(_V7Batches!$B:$B,MATCH(P253&amp;"",_V7Batches!$A:$A,0)),""))</t>
  </si>
  <si>
    <t>=IFERROR(XLOOKUP(P253,'Shipping Program'!$B$32:$B$78,'Shipping Program'!$E$32:$E$78),IFERROR(INDEX(_V7Batches!$D:$D,MATCH(P253&amp;"",_V7Batches!$A:$A,0)),""))</t>
  </si>
  <si>
    <t>=VLOOKUP(I254,'Shipping Program'!$A$32:$B$78,2)-1</t>
  </si>
  <si>
    <t>=IFERROR(XLOOKUP(P254,'Shipping Program'!$B$32:$B$78,'Shipping Program'!$A$32:$A$78),IFERROR(INDEX(_V7Batches!$B:$B,MATCH(P254&amp;"",_V7Batches!$A:$A,0)),""))</t>
  </si>
  <si>
    <t>=IFERROR(XLOOKUP(P254,'Shipping Program'!$B$32:$B$78,'Shipping Program'!$E$32:$E$78),IFERROR(INDEX(_V7Batches!$D:$D,MATCH(P254&amp;"",_V7Batches!$A:$A,0)),""))</t>
  </si>
  <si>
    <t>=VLOOKUP(I255,'Shipping Program'!$A$32:$B$78,2)-1</t>
  </si>
  <si>
    <t>=IFERROR(XLOOKUP(P255,'Shipping Program'!$B$32:$B$78,'Shipping Program'!$A$32:$A$78),IFERROR(INDEX(_V7Batches!$B:$B,MATCH(P255&amp;"",_V7Batches!$A:$A,0)),""))</t>
  </si>
  <si>
    <t>=IFERROR(XLOOKUP(P255,'Shipping Program'!$B$32:$B$78,'Shipping Program'!$E$32:$E$78),IFERROR(INDEX(_V7Batches!$D:$D,MATCH(P255&amp;"",_V7Batches!$A:$A,0)),""))</t>
  </si>
  <si>
    <t>=VLOOKUP(I256,'Shipping Program'!$A$32:$B$78,2)-1</t>
  </si>
  <si>
    <t>=IFERROR(XLOOKUP(P256,'Shipping Program'!$B$32:$B$78,'Shipping Program'!$A$32:$A$78),IFERROR(INDEX(_V7Batches!$B:$B,MATCH(P256&amp;"",_V7Batches!$A:$A,0)),""))</t>
  </si>
  <si>
    <t>=IFERROR(XLOOKUP(P256,'Shipping Program'!$B$32:$B$78,'Shipping Program'!$E$32:$E$78),IFERROR(INDEX(_V7Batches!$D:$D,MATCH(P256&amp;"",_V7Batches!$A:$A,0)),""))</t>
  </si>
  <si>
    <t>=VLOOKUP(I257,'Shipping Program'!$A$32:$B$78,2)-1</t>
  </si>
  <si>
    <t>=IFERROR(XLOOKUP(P257,'Shipping Program'!$B$32:$B$78,'Shipping Program'!$A$32:$A$78),IFERROR(INDEX(_V7Batches!$B:$B,MATCH(P257&amp;"",_V7Batches!$A:$A,0)),""))</t>
  </si>
  <si>
    <t>=IFERROR(XLOOKUP(P257,'Shipping Program'!$B$32:$B$78,'Shipping Program'!$E$32:$E$78),IFERROR(INDEX(_V7Batches!$D:$D,MATCH(P257&amp;"",_V7Batches!$A:$A,0)),""))</t>
  </si>
  <si>
    <t>=VLOOKUP(I259,'Shipping Program'!$A$32:$B$78,2)-1</t>
  </si>
  <si>
    <t>=IFERROR(XLOOKUP(P259,'Shipping Program'!$B$32:$B$78,'Shipping Program'!$A$32:$A$78),IFERROR(INDEX(_V7Batches!$B:$B,MATCH(P259&amp;"",_V7Batches!$A:$A,0)),""))</t>
  </si>
  <si>
    <t>=IFERROR(XLOOKUP(P259,'Shipping Program'!$B$32:$B$78,'Shipping Program'!$E$32:$E$78),IFERROR(INDEX(_V7Batches!$D:$D,MATCH(P259&amp;"",_V7Batches!$A:$A,0)),""))</t>
  </si>
  <si>
    <t>=VLOOKUP(I260,'Shipping Program'!$A$32:$B$78,2)-1</t>
  </si>
  <si>
    <t>=IFERROR(XLOOKUP(P260,'Shipping Program'!$B$32:$B$78,'Shipping Program'!$A$32:$A$78),IFERROR(INDEX(_V7Batches!$B:$B,MATCH(P260&amp;"",_V7Batches!$A:$A,0)),""))</t>
  </si>
  <si>
    <t>=IFERROR(XLOOKUP(P260,'Shipping Program'!$B$32:$B$78,'Shipping Program'!$E$32:$E$78),IFERROR(INDEX(_V7Batches!$D:$D,MATCH(P260&amp;"",_V7Batches!$A:$A,0)),""))</t>
  </si>
  <si>
    <t>=VLOOKUP(I261,'Shipping Program'!$A$32:$B$78,2)-1</t>
  </si>
  <si>
    <t>=IFERROR(XLOOKUP(P261,'Shipping Program'!$B$32:$B$78,'Shipping Program'!$A$32:$A$78),IFERROR(INDEX(_V7Batches!$B:$B,MATCH(P261&amp;"",_V7Batches!$A:$A,0)),""))</t>
  </si>
  <si>
    <t>=IFERROR(XLOOKUP(P261,'Shipping Program'!$B$32:$B$78,'Shipping Program'!$E$32:$E$78),IFERROR(INDEX(_V7Batches!$D:$D,MATCH(P261&amp;"",_V7Batches!$A:$A,0)),""))</t>
  </si>
  <si>
    <t>=VLOOKUP(I263,'Shipping Program'!$A$32:$B$78,2)-1</t>
  </si>
  <si>
    <t>=IFERROR(XLOOKUP(P263,'Shipping Program'!$B$32:$B$78,'Shipping Program'!$A$32:$A$78),IFERROR(INDEX(_V7Batches!$B:$B,MATCH(P263&amp;"",_V7Batches!$A:$A,0)),""))</t>
  </si>
  <si>
    <t>=IFERROR(XLOOKUP(P263,'Shipping Program'!$B$32:$B$78,'Shipping Program'!$E$32:$E$78),IFERROR(INDEX(_V7Batches!$D:$D,MATCH(P263&amp;"",_V7Batches!$A:$A,0)),""))</t>
  </si>
  <si>
    <t>=VLOOKUP(I264,'Shipping Program'!$A$32:$B$78,2)-1</t>
  </si>
  <si>
    <t>=IFERROR(XLOOKUP(P264,'Shipping Program'!$B$32:$B$78,'Shipping Program'!$A$32:$A$78),IFERROR(INDEX(_V7Batches!$B:$B,MATCH(P264&amp;"",_V7Batches!$A:$A,0)),""))</t>
  </si>
  <si>
    <t>=IFERROR(XLOOKUP(P264,'Shipping Program'!$B$32:$B$78,'Shipping Program'!$E$32:$E$78),IFERROR(INDEX(_V7Batches!$D:$D,MATCH(P264&amp;"",_V7Batches!$A:$A,0)),""))</t>
  </si>
  <si>
    <t>=VLOOKUP(I265,'Shipping Program'!$A$32:$B$78,2)-1</t>
  </si>
  <si>
    <t>=IFERROR(XLOOKUP(P265,'Shipping Program'!$B$32:$B$78,'Shipping Program'!$A$32:$A$78),IFERROR(INDEX(_V7Batches!$B:$B,MATCH(P265&amp;"",_V7Batches!$A:$A,0)),""))</t>
  </si>
  <si>
    <t>=IFERROR(XLOOKUP(P265,'Shipping Program'!$B$32:$B$78,'Shipping Program'!$E$32:$E$78),IFERROR(INDEX(_V7Batches!$D:$D,MATCH(P265&amp;"",_V7Batches!$A:$A,0)),""))</t>
  </si>
  <si>
    <t>=VLOOKUP(I266,'Shipping Program'!$A$32:$B$78,2)-1</t>
  </si>
  <si>
    <t>=IFERROR(XLOOKUP(P266,'Shipping Program'!$B$32:$B$78,'Shipping Program'!$A$32:$A$78),IFERROR(INDEX(_V7Batches!$B:$B,MATCH(P266&amp;"",_V7Batches!$A:$A,0)),""))</t>
  </si>
  <si>
    <t>=IFERROR(XLOOKUP(P266,'Shipping Program'!$B$32:$B$78,'Shipping Program'!$E$32:$E$78),IFERROR(INDEX(_V7Batches!$D:$D,MATCH(P266&amp;"",_V7Batches!$A:$A,0)),""))</t>
  </si>
  <si>
    <t>=VLOOKUP(I268,'Shipping Program'!$A$32:$B$78,2)-1</t>
  </si>
  <si>
    <t>=IFERROR(XLOOKUP(P268,'Shipping Program'!$B$32:$B$78,'Shipping Program'!$A$32:$A$78),IFERROR(INDEX(_V7Batches!$B:$B,MATCH(P268&amp;"",_V7Batches!$A:$A,0)),""))</t>
  </si>
  <si>
    <t>=IFERROR(XLOOKUP(P268,'Shipping Program'!$B$32:$B$78,'Shipping Program'!$E$32:$E$78),IFERROR(INDEX(_V7Batches!$D:$D,MATCH(P268&amp;"",_V7Batches!$A:$A,0)),""))</t>
  </si>
  <si>
    <t>=VLOOKUP(I269,'Shipping Program'!$A$32:$B$78,2)-1</t>
  </si>
  <si>
    <t>=IFERROR(XLOOKUP(P269,'Shipping Program'!$B$32:$B$78,'Shipping Program'!$A$32:$A$78),IFERROR(INDEX(_V7Batches!$B:$B,MATCH(P269&amp;"",_V7Batches!$A:$A,0)),""))</t>
  </si>
  <si>
    <t>=IFERROR(XLOOKUP(P269,'Shipping Program'!$B$32:$B$78,'Shipping Program'!$E$32:$E$78),IFERROR(INDEX(_V7Batches!$D:$D,MATCH(P269&amp;"",_V7Batches!$A:$A,0)),""))</t>
  </si>
  <si>
    <t>=VLOOKUP(I270,'Shipping Program'!$A$32:$B$78,2)-1</t>
  </si>
  <si>
    <t>=IFERROR(XLOOKUP(P270,'Shipping Program'!$B$32:$B$78,'Shipping Program'!$A$32:$A$78),IFERROR(INDEX(_V7Batches!$B:$B,MATCH(P270&amp;"",_V7Batches!$A:$A,0)),""))</t>
  </si>
  <si>
    <t>=IFERROR(XLOOKUP(P270,'Shipping Program'!$B$32:$B$78,'Shipping Program'!$E$32:$E$78),IFERROR(INDEX(_V7Batches!$D:$D,MATCH(P270&amp;"",_V7Batches!$A:$A,0)),""))</t>
  </si>
  <si>
    <t>=VLOOKUP(I271,'Shipping Program'!$A$32:$B$78,2)-1</t>
  </si>
  <si>
    <t>=IFERROR(XLOOKUP(P271,'Shipping Program'!$B$32:$B$78,'Shipping Program'!$A$32:$A$78),IFERROR(INDEX(_V7Batches!$B:$B,MATCH(P271&amp;"",_V7Batches!$A:$A,0)),""))</t>
  </si>
  <si>
    <t>=IFERROR(XLOOKUP(P271,'Shipping Program'!$B$32:$B$78,'Shipping Program'!$E$32:$E$78),IFERROR(INDEX(_V7Batches!$D:$D,MATCH(P271&amp;"",_V7Batches!$A:$A,0)),""))</t>
  </si>
  <si>
    <t>=VLOOKUP(I272,'Shipping Program'!$A$32:$B$78,2)-1</t>
  </si>
  <si>
    <t>=IFERROR(XLOOKUP(P272,'Shipping Program'!$B$32:$B$78,'Shipping Program'!$A$32:$A$78),IFERROR(INDEX(_V7Batches!$B:$B,MATCH(P272&amp;"",_V7Batches!$A:$A,0)),""))</t>
  </si>
  <si>
    <t>=IFERROR(XLOOKUP(P272,'Shipping Program'!$B$32:$B$78,'Shipping Program'!$E$32:$E$78),IFERROR(INDEX(_V7Batches!$D:$D,MATCH(P272&amp;"",_V7Batches!$A:$A,0)),""))</t>
  </si>
  <si>
    <t>=VLOOKUP(I273,'Shipping Program'!$A$32:$B$78,2)-1</t>
  </si>
  <si>
    <t>=IFERROR(XLOOKUP(P273,'Shipping Program'!$B$32:$B$78,'Shipping Program'!$A$32:$A$78),IFERROR(INDEX(_V7Batches!$B:$B,MATCH(P273&amp;"",_V7Batches!$A:$A,0)),""))</t>
  </si>
  <si>
    <t>=IFERROR(XLOOKUP(P273,'Shipping Program'!$B$32:$B$78,'Shipping Program'!$E$32:$E$78),IFERROR(INDEX(_V7Batches!$D:$D,MATCH(P273&amp;"",_V7Batches!$A:$A,0)),""))</t>
  </si>
  <si>
    <t>=VLOOKUP(I274,'Shipping Program'!$A$32:$B$78,2)-1</t>
  </si>
  <si>
    <t>=IFERROR(XLOOKUP(P274,'Shipping Program'!$B$32:$B$78,'Shipping Program'!$A$32:$A$78),IFERROR(INDEX(_V7Batches!$B:$B,MATCH(P274&amp;"",_V7Batches!$A:$A,0)),""))</t>
  </si>
  <si>
    <t>=IFERROR(XLOOKUP(P274,'Shipping Program'!$B$32:$B$78,'Shipping Program'!$E$32:$E$78),IFERROR(INDEX(_V7Batches!$D:$D,MATCH(P274&amp;"",_V7Batches!$A:$A,0)),""))</t>
  </si>
  <si>
    <t>=VLOOKUP(I275,'Shipping Program'!$A$32:$B$78,2)-1</t>
  </si>
  <si>
    <t>=IFERROR(XLOOKUP(P275,'Shipping Program'!$B$32:$B$78,'Shipping Program'!$A$32:$A$78),IFERROR(INDEX(_V7Batches!$B:$B,MATCH(P275&amp;"",_V7Batches!$A:$A,0)),""))</t>
  </si>
  <si>
    <t>=IFERROR(XLOOKUP(P275,'Shipping Program'!$B$32:$B$78,'Shipping Program'!$E$32:$E$78),IFERROR(INDEX(_V7Batches!$D:$D,MATCH(P275&amp;"",_V7Batches!$A:$A,0)),""))</t>
  </si>
  <si>
    <t>=VLOOKUP(I276,'Shipping Program'!$A$32:$B$78,2)-1</t>
  </si>
  <si>
    <t>=IFERROR(XLOOKUP(P276,'Shipping Program'!$B$32:$B$78,'Shipping Program'!$A$32:$A$78),IFERROR(INDEX(_V7Batches!$B:$B,MATCH(P276&amp;"",_V7Batches!$A:$A,0)),""))</t>
  </si>
  <si>
    <t>=IFERROR(XLOOKUP(P276,'Shipping Program'!$B$32:$B$78,'Shipping Program'!$E$32:$E$78),IFERROR(INDEX(_V7Batches!$D:$D,MATCH(P276&amp;"",_V7Batches!$A:$A,0)),""))</t>
  </si>
  <si>
    <t>=VLOOKUP(I277,'Shipping Program'!$A$32:$B$78,2)-1</t>
  </si>
  <si>
    <t>=IFERROR(XLOOKUP(P277,'Shipping Program'!$B$32:$B$78,'Shipping Program'!$A$32:$A$78),IFERROR(INDEX(_V7Batches!$B:$B,MATCH(P277&amp;"",_V7Batches!$A:$A,0)),""))</t>
  </si>
  <si>
    <t>=IFERROR(XLOOKUP(P277,'Shipping Program'!$B$32:$B$78,'Shipping Program'!$E$32:$E$78),IFERROR(INDEX(_V7Batches!$D:$D,MATCH(P277&amp;"",_V7Batches!$A:$A,0)),""))</t>
  </si>
  <si>
    <t>=VLOOKUP(I278,'Shipping Program'!$A$32:$B$78,2)-1</t>
  </si>
  <si>
    <t>=IFERROR(XLOOKUP(P278,'Shipping Program'!$B$32:$B$78,'Shipping Program'!$A$32:$A$78),IFERROR(INDEX(_V7Batches!$B:$B,MATCH(P278&amp;"",_V7Batches!$A:$A,0)),""))</t>
  </si>
  <si>
    <t>=IFERROR(XLOOKUP(P278,'Shipping Program'!$B$32:$B$78,'Shipping Program'!$E$32:$E$78),IFERROR(INDEX(_V7Batches!$D:$D,MATCH(P278&amp;"",_V7Batches!$A:$A,0)),""))</t>
  </si>
  <si>
    <t>=VLOOKUP(I279,'Shipping Program'!$A$32:$B$78,2)-1</t>
  </si>
  <si>
    <t>=IFERROR(XLOOKUP(P279,'Shipping Program'!$B$32:$B$78,'Shipping Program'!$A$32:$A$78),IFERROR(INDEX(_V7Batches!$B:$B,MATCH(P279&amp;"",_V7Batches!$A:$A,0)),""))</t>
  </si>
  <si>
    <t>=IFERROR(XLOOKUP(P279,'Shipping Program'!$B$32:$B$78,'Shipping Program'!$E$32:$E$78),IFERROR(INDEX(_V7Batches!$D:$D,MATCH(P279&amp;"",_V7Batches!$A:$A,0)),""))</t>
  </si>
  <si>
    <t>=VLOOKUP(I280,'Shipping Program'!$A$32:$B$78,2)-1</t>
  </si>
  <si>
    <t>=IFERROR(XLOOKUP(P280,'Shipping Program'!$B$32:$B$78,'Shipping Program'!$A$32:$A$78),IFERROR(INDEX(_V7Batches!$B:$B,MATCH(P280&amp;"",_V7Batches!$A:$A,0)),""))</t>
  </si>
  <si>
    <t>=IFERROR(XLOOKUP(P280,'Shipping Program'!$B$32:$B$78,'Shipping Program'!$E$32:$E$78),IFERROR(INDEX(_V7Batches!$D:$D,MATCH(P280&amp;"",_V7Batches!$A:$A,0)),""))</t>
  </si>
  <si>
    <t>=VLOOKUP(I281,'Shipping Program'!$A$32:$B$78,2)-1</t>
  </si>
  <si>
    <t>=IFERROR(XLOOKUP(P281,'Shipping Program'!$B$32:$B$78,'Shipping Program'!$A$32:$A$78),IFERROR(INDEX(_V7Batches!$B:$B,MATCH(P281&amp;"",_V7Batches!$A:$A,0)),""))</t>
  </si>
  <si>
    <t>=IFERROR(XLOOKUP(P281,'Shipping Program'!$B$32:$B$78,'Shipping Program'!$E$32:$E$78),IFERROR(INDEX(_V7Batches!$D:$D,MATCH(P281&amp;"",_V7Batches!$A:$A,0)),""))</t>
  </si>
  <si>
    <t>=VLOOKUP(I282,'Shipping Program'!$A$32:$B$78,2)-1</t>
  </si>
  <si>
    <t>=IFERROR(XLOOKUP(P282,'Shipping Program'!$B$32:$B$78,'Shipping Program'!$A$32:$A$78),IFERROR(INDEX(_V7Batches!$B:$B,MATCH(P282&amp;"",_V7Batches!$A:$A,0)),""))</t>
  </si>
  <si>
    <t>=IFERROR(XLOOKUP(P282,'Shipping Program'!$B$32:$B$78,'Shipping Program'!$E$32:$E$78),IFERROR(INDEX(_V7Batches!$D:$D,MATCH(P282&amp;"",_V7Batches!$A:$A,0)),""))</t>
  </si>
  <si>
    <t>=VLOOKUP(I283,'Shipping Program'!$A$32:$B$78,2)-1</t>
  </si>
  <si>
    <t>=IFERROR(XLOOKUP(P283,'Shipping Program'!$B$32:$B$78,'Shipping Program'!$A$32:$A$78),IFERROR(INDEX(_V7Batches!$B:$B,MATCH(P283&amp;"",_V7Batches!$A:$A,0)),""))</t>
  </si>
  <si>
    <t>=IFERROR(XLOOKUP(P283,'Shipping Program'!$B$32:$B$78,'Shipping Program'!$E$32:$E$78),IFERROR(INDEX(_V7Batches!$D:$D,MATCH(P283&amp;"",_V7Batches!$A:$A,0)),""))</t>
  </si>
  <si>
    <t>=VLOOKUP(I284,'Shipping Program'!$A$32:$B$78,2)-1</t>
  </si>
  <si>
    <t>=IFERROR(XLOOKUP(P284,'Shipping Program'!$B$32:$B$78,'Shipping Program'!$A$32:$A$78),IFERROR(INDEX(_V7Batches!$B:$B,MATCH(P284&amp;"",_V7Batches!$A:$A,0)),""))</t>
  </si>
  <si>
    <t>=IFERROR(XLOOKUP(P284,'Shipping Program'!$B$32:$B$78,'Shipping Program'!$E$32:$E$78),IFERROR(INDEX(_V7Batches!$D:$D,MATCH(P284&amp;"",_V7Batches!$A:$A,0)),""))</t>
  </si>
  <si>
    <t>=VLOOKUP(I285,'Shipping Program'!$A$32:$B$78,2)-1</t>
  </si>
  <si>
    <t>=IFERROR(XLOOKUP(P285,'Shipping Program'!$B$32:$B$78,'Shipping Program'!$A$32:$A$78),IFERROR(INDEX(_V7Batches!$B:$B,MATCH(P285&amp;"",_V7Batches!$A:$A,0)),""))</t>
  </si>
  <si>
    <t>=IFERROR(XLOOKUP(P285,'Shipping Program'!$B$32:$B$78,'Shipping Program'!$E$32:$E$78),IFERROR(INDEX(_V7Batches!$D:$D,MATCH(P285&amp;"",_V7Batches!$A:$A,0)),""))</t>
  </si>
  <si>
    <t>=VLOOKUP(I286,'Shipping Program'!$A$32:$B$78,2)-1</t>
  </si>
  <si>
    <t>=IFERROR(XLOOKUP(P286,'Shipping Program'!$B$32:$B$78,'Shipping Program'!$A$32:$A$78),IFERROR(INDEX(_V7Batches!$B:$B,MATCH(P286&amp;"",_V7Batches!$A:$A,0)),""))</t>
  </si>
  <si>
    <t>=IFERROR(XLOOKUP(P286,'Shipping Program'!$B$32:$B$78,'Shipping Program'!$E$32:$E$78),IFERROR(INDEX(_V7Batches!$D:$D,MATCH(P286&amp;"",_V7Batches!$A:$A,0)),""))</t>
  </si>
  <si>
    <t>=VLOOKUP(I287,'Shipping Program'!$A$32:$B$78,2)-1</t>
  </si>
  <si>
    <t>=IFERROR(XLOOKUP(P287,'Shipping Program'!$B$32:$B$78,'Shipping Program'!$A$32:$A$78),IFERROR(INDEX(_V7Batches!$B:$B,MATCH(P287&amp;"",_V7Batches!$A:$A,0)),""))</t>
  </si>
  <si>
    <t>=IFERROR(XLOOKUP(P287,'Shipping Program'!$B$32:$B$78,'Shipping Program'!$E$32:$E$78),IFERROR(INDEX(_V7Batches!$D:$D,MATCH(P287&amp;"",_V7Batches!$A:$A,0)),""))</t>
  </si>
  <si>
    <t>=VLOOKUP(I288,'Shipping Program'!$A$32:$B$78,2)-1</t>
  </si>
  <si>
    <t>=IFERROR(XLOOKUP(P288,'Shipping Program'!$B$32:$B$78,'Shipping Program'!$A$32:$A$78),IFERROR(INDEX(_V7Batches!$B:$B,MATCH(P288&amp;"",_V7Batches!$A:$A,0)),""))</t>
  </si>
  <si>
    <t>=IFERROR(XLOOKUP(P288,'Shipping Program'!$B$32:$B$78,'Shipping Program'!$E$32:$E$78),IFERROR(INDEX(_V7Batches!$D:$D,MATCH(P288&amp;"",_V7Batches!$A:$A,0)),""))</t>
  </si>
  <si>
    <t>=VLOOKUP(I289,'Shipping Program'!$A$32:$B$78,2)-1</t>
  </si>
  <si>
    <t>=IFERROR(XLOOKUP(P289,'Shipping Program'!$B$32:$B$78,'Shipping Program'!$A$32:$A$78),IFERROR(INDEX(_V7Batches!$B:$B,MATCH(P289&amp;"",_V7Batches!$A:$A,0)),""))</t>
  </si>
  <si>
    <t>=IFERROR(XLOOKUP(P289,'Shipping Program'!$B$32:$B$78,'Shipping Program'!$E$32:$E$78),IFERROR(INDEX(_V7Batches!$D:$D,MATCH(P289&amp;"",_V7Batches!$A:$A,0)),""))</t>
  </si>
  <si>
    <t>=VLOOKUP(I291,'Shipping Program'!$A$32:$B$78,2)-1</t>
  </si>
  <si>
    <t>=IFERROR(XLOOKUP(P291,'Shipping Program'!$B$32:$B$78,'Shipping Program'!$A$32:$A$78),IFERROR(INDEX(_V7Batches!$B:$B,MATCH(P291&amp;"",_V7Batches!$A:$A,0)),""))</t>
  </si>
  <si>
    <t>=IFERROR(XLOOKUP(P291,'Shipping Program'!$B$32:$B$78,'Shipping Program'!$E$32:$E$78),IFERROR(INDEX(_V7Batches!$D:$D,MATCH(P291&amp;"",_V7Batches!$A:$A,0)),""))</t>
  </si>
  <si>
    <t>=VLOOKUP(I292,'Shipping Program'!$A$32:$B$78,2)-1</t>
  </si>
  <si>
    <t>=IFERROR(XLOOKUP(P292,'Shipping Program'!$B$32:$B$78,'Shipping Program'!$A$32:$A$78),IFERROR(INDEX(_V7Batches!$B:$B,MATCH(P292&amp;"",_V7Batches!$A:$A,0)),""))</t>
  </si>
  <si>
    <t>=IFERROR(XLOOKUP(P292,'Shipping Program'!$B$32:$B$78,'Shipping Program'!$E$32:$E$78),IFERROR(INDEX(_V7Batches!$D:$D,MATCH(P292&amp;"",_V7Batches!$A:$A,0)),""))</t>
  </si>
  <si>
    <t>=VLOOKUP(I293,'Shipping Program'!$A$32:$B$78,2)-1</t>
  </si>
  <si>
    <t>=IFERROR(XLOOKUP(P293,'Shipping Program'!$B$32:$B$78,'Shipping Program'!$A$32:$A$78),IFERROR(INDEX(_V7Batches!$B:$B,MATCH(P293&amp;"",_V7Batches!$A:$A,0)),""))</t>
  </si>
  <si>
    <t>=IFERROR(XLOOKUP(P293,'Shipping Program'!$B$32:$B$78,'Shipping Program'!$E$32:$E$78),IFERROR(INDEX(_V7Batches!$D:$D,MATCH(P293&amp;"",_V7Batches!$A:$A,0)),""))</t>
  </si>
  <si>
    <t>=VLOOKUP(I294,'Shipping Program'!$A$32:$B$78,2)-1</t>
  </si>
  <si>
    <t>=IFERROR(XLOOKUP(P294,'Shipping Program'!$B$32:$B$78,'Shipping Program'!$A$32:$A$78),IFERROR(INDEX(_V7Batches!$B:$B,MATCH(P294&amp;"",_V7Batches!$A:$A,0)),""))</t>
  </si>
  <si>
    <t>=IFERROR(XLOOKUP(P294,'Shipping Program'!$B$32:$B$78,'Shipping Program'!$E$32:$E$78),IFERROR(INDEX(_V7Batches!$D:$D,MATCH(P294&amp;"",_V7Batches!$A:$A,0)),""))</t>
  </si>
  <si>
    <t>=VLOOKUP(I295,'Shipping Program'!$A$32:$B$78,2)-1</t>
  </si>
  <si>
    <t>=IFERROR(XLOOKUP(P295,'Shipping Program'!$B$32:$B$78,'Shipping Program'!$A$32:$A$78),IFERROR(INDEX(_V7Batches!$B:$B,MATCH(P295&amp;"",_V7Batches!$A:$A,0)),""))</t>
  </si>
  <si>
    <t>=IFERROR(XLOOKUP(P295,'Shipping Program'!$B$32:$B$78,'Shipping Program'!$E$32:$E$78),IFERROR(INDEX(_V7Batches!$D:$D,MATCH(P295&amp;"",_V7Batches!$A:$A,0)),""))</t>
  </si>
  <si>
    <t>=VLOOKUP(I296,'Shipping Program'!$A$32:$B$78,2)-1</t>
  </si>
  <si>
    <t>=IFERROR(XLOOKUP(P296,'Shipping Program'!$B$32:$B$78,'Shipping Program'!$A$32:$A$78),IFERROR(INDEX(_V7Batches!$B:$B,MATCH(P296&amp;"",_V7Batches!$A:$A,0)),""))</t>
  </si>
  <si>
    <t>=IFERROR(XLOOKUP(P296,'Shipping Program'!$B$32:$B$78,'Shipping Program'!$E$32:$E$78),IFERROR(INDEX(_V7Batches!$D:$D,MATCH(P296&amp;"",_V7Batches!$A:$A,0)),""))</t>
  </si>
  <si>
    <t>=VLOOKUP(I297,'Shipping Program'!$A$32:$B$78,2)-1</t>
  </si>
  <si>
    <t>=IFERROR(XLOOKUP(P297,'Shipping Program'!$B$32:$B$78,'Shipping Program'!$A$32:$A$78),IFERROR(INDEX(_V7Batches!$B:$B,MATCH(P297&amp;"",_V7Batches!$A:$A,0)),""))</t>
  </si>
  <si>
    <t>=IFERROR(XLOOKUP(P297,'Shipping Program'!$B$32:$B$78,'Shipping Program'!$E$32:$E$78),IFERROR(INDEX(_V7Batches!$D:$D,MATCH(P297&amp;"",_V7Batches!$A:$A,0)),""))</t>
  </si>
  <si>
    <t>=VLOOKUP(I298,'Shipping Program'!$A$32:$B$78,2)-1</t>
  </si>
  <si>
    <t>=IFERROR(XLOOKUP(P298,'Shipping Program'!$B$32:$B$78,'Shipping Program'!$A$32:$A$78),IFERROR(INDEX(_V7Batches!$B:$B,MATCH(P298&amp;"",_V7Batches!$A:$A,0)),""))</t>
  </si>
  <si>
    <t>=IFERROR(XLOOKUP(P298,'Shipping Program'!$B$32:$B$78,'Shipping Program'!$E$32:$E$78),IFERROR(INDEX(_V7Batches!$D:$D,MATCH(P298&amp;"",_V7Batches!$A:$A,0)),""))</t>
  </si>
  <si>
    <t>=VLOOKUP(I299,'Shipping Program'!$A$32:$B$78,2)-1</t>
  </si>
  <si>
    <t>=IFERROR(XLOOKUP(P299,'Shipping Program'!$B$32:$B$78,'Shipping Program'!$A$32:$A$78),IFERROR(INDEX(_V7Batches!$B:$B,MATCH(P299&amp;"",_V7Batches!$A:$A,0)),""))</t>
  </si>
  <si>
    <t>=IFERROR(XLOOKUP(P299,'Shipping Program'!$B$32:$B$78,'Shipping Program'!$E$32:$E$78),IFERROR(INDEX(_V7Batches!$D:$D,MATCH(P299&amp;"",_V7Batches!$A:$A,0)),""))</t>
  </si>
  <si>
    <t>=VLOOKUP(I300,'Shipping Program'!$A$32:$B$78,2)-1</t>
  </si>
  <si>
    <t>=IFERROR(XLOOKUP(P300,'Shipping Program'!$B$32:$B$78,'Shipping Program'!$A$32:$A$78),IFERROR(INDEX(_V7Batches!$B:$B,MATCH(P300&amp;"",_V7Batches!$A:$A,0)),""))</t>
  </si>
  <si>
    <t>=IFERROR(XLOOKUP(P300,'Shipping Program'!$B$32:$B$78,'Shipping Program'!$E$32:$E$78),IFERROR(INDEX(_V7Batches!$D:$D,MATCH(P300&amp;"",_V7Batches!$A:$A,0)),""))</t>
  </si>
  <si>
    <t>=VLOOKUP(I301,'Shipping Program'!$A$32:$B$78,2)-1</t>
  </si>
  <si>
    <t>=IFERROR(XLOOKUP(P301,'Shipping Program'!$B$32:$B$78,'Shipping Program'!$A$32:$A$78),IFERROR(INDEX(_V7Batches!$B:$B,MATCH(P301&amp;"",_V7Batches!$A:$A,0)),""))</t>
  </si>
  <si>
    <t>=IFERROR(XLOOKUP(P301,'Shipping Program'!$B$32:$B$78,'Shipping Program'!$E$32:$E$78),IFERROR(INDEX(_V7Batches!$D:$D,MATCH(P301&amp;"",_V7Batches!$A:$A,0)),""))</t>
  </si>
  <si>
    <t>=VLOOKUP(I302,'Shipping Program'!$A$32:$B$78,2)-1</t>
  </si>
  <si>
    <t>=IFERROR(XLOOKUP(P302,'Shipping Program'!$B$32:$B$78,'Shipping Program'!$A$32:$A$78),IFERROR(INDEX(_V7Batches!$B:$B,MATCH(P302&amp;"",_V7Batches!$A:$A,0)),""))</t>
  </si>
  <si>
    <t>=IFERROR(XLOOKUP(P302,'Shipping Program'!$B$32:$B$78,'Shipping Program'!$E$32:$E$78),IFERROR(INDEX(_V7Batches!$D:$D,MATCH(P302&amp;"",_V7Batches!$A:$A,0)),""))</t>
  </si>
  <si>
    <t>=VLOOKUP(I303,'Shipping Program'!$A$32:$B$78,2)-1</t>
  </si>
  <si>
    <t>=IFERROR(XLOOKUP(P303,'Shipping Program'!$B$32:$B$78,'Shipping Program'!$A$32:$A$78),IFERROR(INDEX(_V7Batches!$B:$B,MATCH(P303&amp;"",_V7Batches!$A:$A,0)),""))</t>
  </si>
  <si>
    <t>=IFERROR(XLOOKUP(P303,'Shipping Program'!$B$32:$B$78,'Shipping Program'!$E$32:$E$78),IFERROR(INDEX(_V7Batches!$D:$D,MATCH(P303&amp;"",_V7Batches!$A:$A,0)),""))</t>
  </si>
  <si>
    <t>=VLOOKUP(I304,'Shipping Program'!$A$32:$B$78,2)-1</t>
  </si>
  <si>
    <t>=IFERROR(XLOOKUP(P304,'Shipping Program'!$B$32:$B$78,'Shipping Program'!$A$32:$A$78),IFERROR(INDEX(_V7Batches!$B:$B,MATCH(P304&amp;"",_V7Batches!$A:$A,0)),""))</t>
  </si>
  <si>
    <t>=IFERROR(XLOOKUP(P304,'Shipping Program'!$B$32:$B$78,'Shipping Program'!$E$32:$E$78),IFERROR(INDEX(_V7Batches!$D:$D,MATCH(P304&amp;"",_V7Batches!$A:$A,0)),""))</t>
  </si>
  <si>
    <t>=VLOOKUP(I305,'Shipping Program'!$A$32:$B$78,2)-1</t>
  </si>
  <si>
    <t>=IFERROR(XLOOKUP(P305,'Shipping Program'!$B$32:$B$78,'Shipping Program'!$A$32:$A$78),IFERROR(INDEX(_V7Batches!$B:$B,MATCH(P305&amp;"",_V7Batches!$A:$A,0)),""))</t>
  </si>
  <si>
    <t>=IFERROR(XLOOKUP(P305,'Shipping Program'!$B$32:$B$78,'Shipping Program'!$E$32:$E$78),IFERROR(INDEX(_V7Batches!$D:$D,MATCH(P305&amp;"",_V7Batches!$A:$A,0)),""))</t>
  </si>
  <si>
    <t>=VLOOKUP(I306,'Shipping Program'!$A$32:$B$78,2)-1</t>
  </si>
  <si>
    <t>=IFERROR(XLOOKUP(P306,'Shipping Program'!$B$32:$B$78,'Shipping Program'!$A$32:$A$78),IFERROR(INDEX(_V7Batches!$B:$B,MATCH(P306&amp;"",_V7Batches!$A:$A,0)),""))</t>
  </si>
  <si>
    <t>=IFERROR(XLOOKUP(P306,'Shipping Program'!$B$32:$B$78,'Shipping Program'!$E$32:$E$78),IFERROR(INDEX(_V7Batches!$D:$D,MATCH(P306&amp;"",_V7Batches!$A:$A,0)),""))</t>
  </si>
  <si>
    <t>=VLOOKUP(I308,'Shipping Program'!$A$32:$B$78,2)-1</t>
  </si>
  <si>
    <t>=IFERROR(XLOOKUP(P308,'Shipping Program'!$B$32:$B$78,'Shipping Program'!$A$32:$A$78),IFERROR(INDEX(_V7Batches!$B:$B,MATCH(P308&amp;"",_V7Batches!$A:$A,0)),""))</t>
  </si>
  <si>
    <t>=IFERROR(XLOOKUP(P308,'Shipping Program'!$B$32:$B$78,'Shipping Program'!$E$32:$E$78),IFERROR(INDEX(_V7Batches!$D:$D,MATCH(P308&amp;"",_V7Batches!$A:$A,0)),""))</t>
  </si>
  <si>
    <t>=VLOOKUP(I309,'Shipping Program'!$A$32:$B$78,2)-1</t>
  </si>
  <si>
    <t>=IFERROR(XLOOKUP(P309,'Shipping Program'!$B$32:$B$78,'Shipping Program'!$A$32:$A$78),IFERROR(INDEX(_V7Batches!$B:$B,MATCH(P309&amp;"",_V7Batches!$A:$A,0)),""))</t>
  </si>
  <si>
    <t>=IFERROR(XLOOKUP(P309,'Shipping Program'!$B$32:$B$78,'Shipping Program'!$E$32:$E$78),IFERROR(INDEX(_V7Batches!$D:$D,MATCH(P309&amp;"",_V7Batches!$A:$A,0)),""))</t>
  </si>
  <si>
    <t>87 ERRORS - correction required</t>
  </si>
  <si>
    <t>$AM$64</t>
  </si>
  <si>
    <t>!ERROR #N/A</t>
  </si>
  <si>
    <t>$E$64</t>
  </si>
  <si>
    <t>$E$25</t>
  </si>
  <si>
    <t>$E$26</t>
  </si>
  <si>
    <t>$E$27</t>
  </si>
  <si>
    <t>$D$25</t>
  </si>
  <si>
    <t>$C$25</t>
  </si>
  <si>
    <t>$AM$25</t>
  </si>
  <si>
    <t>!INVALID/MISSING 0</t>
  </si>
  <si>
    <t>$AM$26</t>
  </si>
  <si>
    <t>$AM$18</t>
  </si>
  <si>
    <t>$C$18</t>
  </si>
  <si>
    <t>$D$18</t>
  </si>
  <si>
    <t>$D$19</t>
  </si>
  <si>
    <t>$F$25</t>
  </si>
  <si>
    <t>$AM$19</t>
  </si>
  <si>
    <t>$C$26</t>
  </si>
  <si>
    <t>$C$19</t>
  </si>
  <si>
    <t>$G$25</t>
  </si>
  <si>
    <t>$I$25</t>
  </si>
  <si>
    <t>$G$18</t>
  </si>
  <si>
    <t>$G$26</t>
  </si>
  <si>
    <t>$K$25</t>
  </si>
  <si>
    <t>$J$25</t>
  </si>
  <si>
    <t>$AM$27</t>
  </si>
  <si>
    <t>$AM$28</t>
  </si>
  <si>
    <t>$AM$29</t>
  </si>
  <si>
    <t>$F$18</t>
  </si>
  <si>
    <t>$K$18</t>
  </si>
  <si>
    <t>$J$18</t>
  </si>
  <si>
    <t>$AM$20</t>
  </si>
  <si>
    <t>$AM$21</t>
  </si>
  <si>
    <t>$AM$22</t>
  </si>
  <si>
    <t>$AM$23</t>
  </si>
  <si>
    <t>$AM$30</t>
  </si>
  <si>
    <t>$AM$24</t>
  </si>
  <si>
    <t>$N$18</t>
  </si>
  <si>
    <t>$AM$65</t>
  </si>
  <si>
    <t>$E$34</t>
  </si>
  <si>
    <t>$E$35</t>
  </si>
  <si>
    <t>$D$34</t>
  </si>
  <si>
    <t>$D$35</t>
  </si>
  <si>
    <t>$D$36</t>
  </si>
  <si>
    <t>$F$34</t>
  </si>
  <si>
    <t>$F$35</t>
  </si>
  <si>
    <t>$F$36</t>
  </si>
  <si>
    <t>$AM$34</t>
  </si>
  <si>
    <t>$J$34</t>
  </si>
  <si>
    <t>$AM$35</t>
  </si>
  <si>
    <t>$D$64</t>
  </si>
  <si>
    <t>$G$37</t>
  </si>
  <si>
    <t>$G$38</t>
  </si>
  <si>
    <t>$H$37</t>
  </si>
  <si>
    <t>$H$38</t>
  </si>
  <si>
    <t>$H$39</t>
  </si>
  <si>
    <t>$I$37</t>
  </si>
  <si>
    <t>$I$38</t>
  </si>
  <si>
    <t>$I$39</t>
  </si>
  <si>
    <t>$AM$37</t>
  </si>
  <si>
    <t>$M$37</t>
  </si>
  <si>
    <t>$AM$38</t>
  </si>
  <si>
    <t>$AM$66</t>
  </si>
  <si>
    <t>$I$40</t>
  </si>
  <si>
    <t>$AM$40</t>
  </si>
  <si>
    <t>$AM$41</t>
  </si>
  <si>
    <t>$J$40</t>
  </si>
  <si>
    <t>$K$40</t>
  </si>
  <si>
    <t>$AM$42</t>
  </si>
  <si>
    <t>$K$41</t>
  </si>
  <si>
    <t>$K$42</t>
  </si>
  <si>
    <t>$AM$43</t>
  </si>
  <si>
    <t>$O$40</t>
  </si>
  <si>
    <t>$AM$44</t>
  </si>
  <si>
    <t>$AM$67</t>
  </si>
  <si>
    <t>$M$64</t>
  </si>
  <si>
    <t>$E$7</t>
  </si>
  <si>
    <t>$E$8</t>
  </si>
  <si>
    <t>$AM$7</t>
  </si>
  <si>
    <t>$F$7</t>
  </si>
  <si>
    <t>$F$8</t>
  </si>
  <si>
    <t>$F$9</t>
  </si>
  <si>
    <t>$H$10</t>
  </si>
  <si>
    <t>$K$7</t>
  </si>
  <si>
    <t>$G$7</t>
  </si>
  <si>
    <t>$G$8</t>
  </si>
  <si>
    <t>$G$9</t>
  </si>
  <si>
    <t>$AM$8</t>
  </si>
  <si>
    <t>$L$7</t>
  </si>
  <si>
    <t>$H$12</t>
  </si>
  <si>
    <t>$I$12</t>
  </si>
  <si>
    <t>$AM$12</t>
  </si>
  <si>
    <t>$I$13</t>
  </si>
  <si>
    <t>$I$14</t>
  </si>
  <si>
    <t>$I$15</t>
  </si>
  <si>
    <t>$I$16</t>
  </si>
  <si>
    <t>$O$16</t>
  </si>
  <si>
    <t>$N$12</t>
  </si>
  <si>
    <t>$N$7</t>
  </si>
  <si>
    <t>$O$12</t>
  </si>
  <si>
    <t>$AM$13</t>
  </si>
  <si>
    <t>$K$12</t>
  </si>
  <si>
    <t>$K$13</t>
  </si>
  <si>
    <t>$K$14</t>
  </si>
  <si>
    <t>$AM$14</t>
  </si>
  <si>
    <t>$AM$11</t>
  </si>
  <si>
    <t>$I$64</t>
  </si>
  <si>
    <t>$C$64</t>
  </si>
  <si>
    <t>$F$64</t>
  </si>
  <si>
    <t>$E$65</t>
  </si>
  <si>
    <t>$AM$68</t>
  </si>
  <si>
    <t>$AM$69</t>
  </si>
  <si>
    <t>$E$66</t>
  </si>
  <si>
    <t>$O$110</t>
  </si>
  <si>
    <t>$Q$110</t>
  </si>
  <si>
    <t>$P$110</t>
  </si>
  <si>
    <t>$R$110</t>
  </si>
  <si>
    <t>$AM$110</t>
  </si>
  <si>
    <t>$S$110</t>
  </si>
  <si>
    <t>$K$126</t>
  </si>
  <si>
    <t>$N$126</t>
  </si>
  <si>
    <t>$L$126</t>
  </si>
  <si>
    <t>$O$126</t>
  </si>
  <si>
    <t>$AM$126</t>
  </si>
  <si>
    <t>$P$126</t>
  </si>
  <si>
    <t>$N$111</t>
  </si>
  <si>
    <t>$P$111</t>
  </si>
  <si>
    <t>$AM$111</t>
  </si>
  <si>
    <t>$Q$111</t>
  </si>
  <si>
    <t>$AM$112</t>
  </si>
  <si>
    <t>$S$111</t>
  </si>
  <si>
    <t>$M$120</t>
  </si>
  <si>
    <t>$N$120</t>
  </si>
  <si>
    <t>$M$121</t>
  </si>
  <si>
    <t>$O$120</t>
  </si>
  <si>
    <t>$AM$120</t>
  </si>
  <si>
    <t>$P$120</t>
  </si>
  <si>
    <t>$L$124</t>
  </si>
  <si>
    <t>$M$124</t>
  </si>
  <si>
    <t>$L$125</t>
  </si>
  <si>
    <t>$N$124</t>
  </si>
  <si>
    <t>$AM$124</t>
  </si>
  <si>
    <t>$N$125</t>
  </si>
  <si>
    <t>$G$122</t>
  </si>
  <si>
    <t>$H$122</t>
  </si>
  <si>
    <t>$G$123</t>
  </si>
  <si>
    <t>$I$122</t>
  </si>
  <si>
    <t>$AM$122</t>
  </si>
  <si>
    <t>$J$122</t>
  </si>
  <si>
    <t>$AM$113</t>
  </si>
  <si>
    <t>$AM$114</t>
  </si>
  <si>
    <t>$AM$115</t>
  </si>
  <si>
    <t>$AM$116</t>
  </si>
  <si>
    <t>$AM$117</t>
  </si>
  <si>
    <t>$AM$32</t>
  </si>
  <si>
    <t>$AM$108</t>
  </si>
  <si>
    <t>$AM$106</t>
  </si>
  <si>
    <t>$F$106</t>
  </si>
  <si>
    <t>$G$106</t>
  </si>
  <si>
    <t>$AM$109</t>
  </si>
  <si>
    <t>$F$109</t>
  </si>
  <si>
    <t>$F$107</t>
  </si>
  <si>
    <t>$G$107</t>
  </si>
  <si>
    <t>$AM$107</t>
  </si>
  <si>
    <t>$AM$118</t>
  </si>
  <si>
    <t>$M$118</t>
  </si>
  <si>
    <t>$H$46</t>
  </si>
  <si>
    <t>$H$47</t>
  </si>
  <si>
    <t>$I$46</t>
  </si>
  <si>
    <t>$AM$46</t>
  </si>
  <si>
    <t>$J$46</t>
  </si>
  <si>
    <t>$C$57</t>
  </si>
  <si>
    <t>$D$57</t>
  </si>
  <si>
    <t>$E$57</t>
  </si>
  <si>
    <t>$AM$57</t>
  </si>
  <si>
    <t>$G$57</t>
  </si>
  <si>
    <t>$F$48</t>
  </si>
  <si>
    <t>$AM$48</t>
  </si>
  <si>
    <t>$G$48</t>
  </si>
  <si>
    <t>$AM$49</t>
  </si>
  <si>
    <t>$I$48</t>
  </si>
  <si>
    <t>$O$52</t>
  </si>
  <si>
    <t>$AM$52</t>
  </si>
  <si>
    <t>$P$52</t>
  </si>
  <si>
    <t>$K$50</t>
  </si>
  <si>
    <t>$K$51</t>
  </si>
  <si>
    <t>$L$50</t>
  </si>
  <si>
    <t>$AM$50</t>
  </si>
  <si>
    <t>$M$50</t>
  </si>
  <si>
    <t>$K$53</t>
  </si>
  <si>
    <t>$L$53</t>
  </si>
  <si>
    <t>$M$53</t>
  </si>
  <si>
    <t>$AM$53</t>
  </si>
  <si>
    <t>$M$54</t>
  </si>
  <si>
    <t>$M$55</t>
  </si>
  <si>
    <t>$M$56</t>
  </si>
  <si>
    <t>$N$55</t>
  </si>
  <si>
    <t>$AM$55</t>
  </si>
  <si>
    <t>$O$55</t>
  </si>
  <si>
    <t>$N$58</t>
  </si>
  <si>
    <t>$AM$59</t>
  </si>
  <si>
    <t>$J$77</t>
  </si>
  <si>
    <t>$K$77</t>
  </si>
  <si>
    <t>$J$78</t>
  </si>
  <si>
    <t>$J$79</t>
  </si>
  <si>
    <t>$K$78</t>
  </si>
  <si>
    <t>$K$79</t>
  </si>
  <si>
    <t>$K$80</t>
  </si>
  <si>
    <t>$K$81</t>
  </si>
  <si>
    <t>$K$82</t>
  </si>
  <si>
    <t>$E$77</t>
  </si>
  <si>
    <t>$N$83</t>
  </si>
  <si>
    <t>$S$103</t>
  </si>
  <si>
    <t>$S$104</t>
  </si>
  <si>
    <t>$K$103</t>
  </si>
  <si>
    <t>$J$103</t>
  </si>
  <si>
    <t>$M$103</t>
  </si>
  <si>
    <t>$N$103</t>
  </si>
  <si>
    <t>$H$84</t>
  </si>
  <si>
    <t>$J$84</t>
  </si>
  <si>
    <t>$H$85</t>
  </si>
  <si>
    <t>$G$84</t>
  </si>
  <si>
    <t>$J$85</t>
  </si>
  <si>
    <t>$J$86</t>
  </si>
  <si>
    <t>$J$87</t>
  </si>
  <si>
    <t>$J$88</t>
  </si>
  <si>
    <t>$J$89</t>
  </si>
  <si>
    <t>$I$90</t>
  </si>
  <si>
    <t>$I$91</t>
  </si>
  <si>
    <t>$H$90</t>
  </si>
  <si>
    <t>$J$92</t>
  </si>
  <si>
    <t>$K$92</t>
  </si>
  <si>
    <t>$J$93</t>
  </si>
  <si>
    <t>$G$92</t>
  </si>
  <si>
    <t>$G$94</t>
  </si>
  <si>
    <t>$G$95</t>
  </si>
  <si>
    <t>$G$96</t>
  </si>
  <si>
    <t>$F$94</t>
  </si>
  <si>
    <t>$J$94</t>
  </si>
  <si>
    <t>$J$95</t>
  </si>
  <si>
    <t>$J$96</t>
  </si>
  <si>
    <t>$J$97</t>
  </si>
  <si>
    <t>$J$98</t>
  </si>
  <si>
    <t>$M$99</t>
  </si>
  <si>
    <t>$N$99</t>
  </si>
  <si>
    <t>$N$100</t>
  </si>
  <si>
    <t>$N$101</t>
  </si>
  <si>
    <t>$N$102</t>
  </si>
  <si>
    <t>$K$99</t>
  </si>
  <si>
    <t>$K$100</t>
  </si>
  <si>
    <t>$AM$71</t>
  </si>
  <si>
    <t>$AM$72</t>
  </si>
  <si>
    <t>$AM$73</t>
  </si>
  <si>
    <t>$AM$74</t>
  </si>
  <si>
    <t>$AM$75</t>
  </si>
  <si>
    <t>$AM$76</t>
  </si>
  <si>
    <t>$O$143</t>
  </si>
  <si>
    <t>$O$146</t>
  </si>
  <si>
    <t>$N$141</t>
  </si>
  <si>
    <t>$M$135</t>
  </si>
  <si>
    <t>$N$142</t>
  </si>
  <si>
    <t>$N$133</t>
  </si>
  <si>
    <t>$K$147</t>
  </si>
  <si>
    <t>$P$145</t>
  </si>
  <si>
    <t>$M$140</t>
  </si>
  <si>
    <t>$J$134</t>
  </si>
  <si>
    <t>$N$144</t>
  </si>
  <si>
    <t>$M$139</t>
  </si>
  <si>
    <t>$AM$136</t>
  </si>
  <si>
    <t>$AM$138</t>
  </si>
  <si>
    <t>$AM$137</t>
  </si>
  <si>
    <t>$R$131</t>
  </si>
  <si>
    <t>$AM$149</t>
  </si>
  <si>
    <t>$AM$150</t>
  </si>
  <si>
    <t>$AM$151</t>
  </si>
  <si>
    <t>$AM$152</t>
  </si>
  <si>
    <t>$AM$153</t>
  </si>
  <si>
    <t>$AM$154</t>
  </si>
  <si>
    <t>$AM$155</t>
  </si>
  <si>
    <t>$AM$156</t>
  </si>
  <si>
    <t>$AM$157</t>
  </si>
  <si>
    <t>$AM$158</t>
  </si>
  <si>
    <t>$AM$159</t>
  </si>
  <si>
    <t>$AM$160</t>
  </si>
  <si>
    <t>$AM$161</t>
  </si>
  <si>
    <t>$AM$128</t>
  </si>
  <si>
    <t>$AM$129</t>
  </si>
  <si>
    <t>$AM$61</t>
  </si>
  <si>
    <t>$AM$62</t>
  </si>
  <si>
    <t>=COUNTIF(J$3:OFFSET(J83,-1,0),"Subtotal:")+1</t>
  </si>
  <si>
    <t>=IF(OFFSET(B83,1,0)&lt;&gt;"",OFFSET(B83,1,0),"")</t>
  </si>
  <si>
    <t>=LEFT(F83,3)</t>
  </si>
  <si>
    <t>=IF(J83&lt;&gt;"",J83 - ('Shipping Program'!$D$9 + 'Shipping Program'!$F$9 + 'Shipping Program'!$H$9), "")</t>
  </si>
  <si>
    <t>=IF(SUM(M83:N83)=0,"",SUM(M83:N83))</t>
  </si>
  <si>
    <t>=VLOOKUP(I83,'Shipping Program'!$A$32:$B$78,2)-1</t>
  </si>
  <si>
    <t>=R83-7</t>
  </si>
  <si>
    <t>=IFERROR(XLOOKUP(P83,'Shipping Program'!$B$32:$B$78,'Shipping Program'!$A$32:$A$78),IFERROR(INDEX(_V7Batches!$B:$B,MATCH(P83&amp;"",_V7Batches!$A:$A,0)),""))</t>
  </si>
  <si>
    <t>=IFERROR(XLOOKUP(P83,'Shipping Program'!$B$32:$B$78,'Shipping Program'!$E$32:$E$78),IFERROR(INDEX(_V7Batches!$D:$D,MATCH(P83&amp;"",_V7Batches!$A:$A,0)),""))</t>
  </si>
  <si>
    <t>=S83+'Shipping Program'!$H$9</t>
  </si>
  <si>
    <t>=IFERROR(IF(J83*T83&lt;&gt;0,J83-T83,""),"")</t>
  </si>
  <si>
    <t>=IF(U83&lt;&gt;"",IF(U83&gt;28,"Too early",IF(U83&lt;14,"Too late","")),"")</t>
  </si>
  <si>
    <t>=IF(OFFSET(X83,1,0)="",R83,OFFSET(X83,1,0))</t>
  </si>
  <si>
    <t>=IF(OFFSET(Y83,1,0)="",X83+'Shipping Program'!$F$9,OFFSET(Y83,1,0))</t>
  </si>
  <si>
    <t>=IF(OFFSET(Z83,1,0)="",Y83+'Shipping Program'!$H$9,OFFSET(Z83,1,0))</t>
  </si>
  <si>
    <t>=IFERROR(IF(J83*Z83&lt;&gt;0,J83-Z83,""),"")</t>
  </si>
  <si>
    <t>=IF(AA83&lt;&gt;"",IF(AA83&gt;28,"Too early",IF(AA83&lt;14,"Too late","")),"")</t>
  </si>
  <si>
    <t>=IF(AI83="","",AI83*AJ83*AK83/1000/1000/1000)</t>
  </si>
  <si>
    <t>=IF(SUM(M4:N4)=0,"",SUM(M4:N4))</t>
  </si>
  <si>
    <t>=VLOOKUP(I4,'Shipping Program'!$A$32:$B$78,2)-1</t>
  </si>
  <si>
    <t>Task</t>
  </si>
  <si>
    <t>明细行（历史）</t>
  </si>
  <si>
    <t>原 P 值 [公式/常量]</t>
  </si>
  <si>
    <t>Automatic O</t>
  </si>
  <si>
    <t>结果</t>
  </si>
  <si>
    <t>原因 / 恢复公式</t>
  </si>
  <si>
    <t>$E$10</t>
  </si>
  <si>
    <t>=O83</t>
  </si>
  <si>
    <t>=O88</t>
  </si>
  <si>
    <t>#EXCEL:Error 2042</t>
  </si>
  <si>
    <t>未恢复</t>
  </si>
  <si>
    <t>Automatic 错误、空、0、非法或补充编号；不是规范基础批次；保留原 P</t>
  </si>
  <si>
    <t>已自动</t>
  </si>
  <si>
    <t>正确本行引用，保持原公式/格式</t>
  </si>
  <si>
    <t>0</t>
  </si>
  <si>
    <t>2 [=O16]</t>
  </si>
  <si>
    <t>37</t>
  </si>
  <si>
    <t>38</t>
  </si>
  <si>
    <t>39</t>
  </si>
  <si>
    <t>41</t>
  </si>
  <si>
    <t>42</t>
  </si>
  <si>
    <t>43</t>
  </si>
  <si>
    <t>44</t>
  </si>
  <si>
    <t>45</t>
  </si>
  <si>
    <t>46</t>
  </si>
  <si>
    <t>47</t>
  </si>
  <si>
    <t>4 [=O47]</t>
  </si>
  <si>
    <t>49</t>
  </si>
  <si>
    <t>50</t>
  </si>
  <si>
    <t>51</t>
  </si>
  <si>
    <t>52</t>
  </si>
  <si>
    <t>54</t>
  </si>
  <si>
    <t>55</t>
  </si>
  <si>
    <t>5 [=O55]</t>
  </si>
  <si>
    <t>56</t>
  </si>
  <si>
    <t>5 [=O56]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</si>
  <si>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</si>
  <si>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</si>
  <si>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</si>
  <si>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</si>
  <si>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</si>
  <si>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</si>
  <si>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</si>
  <si>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</si>
  <si>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</si>
  <si>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67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</si>
  <si>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</si>
  <si>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</si>
  <si>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</si>
  <si>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</si>
  <si>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</si>
  <si>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</si>
  <si>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</si>
  <si>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</si>
  <si>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</si>
  <si>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</si>
  <si>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81</t>
  </si>
  <si>
    <t>82</t>
  </si>
  <si>
    <t>83</t>
  </si>
  <si>
    <t>已恢复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</si>
  <si>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</si>
  <si>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</si>
  <si>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</si>
  <si>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</si>
  <si>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</si>
  <si>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</si>
  <si>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</si>
  <si>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</si>
  <si>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</si>
  <si>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</si>
  <si>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</si>
  <si>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</si>
  <si>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</si>
  <si>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</si>
  <si>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</si>
  <si>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</si>
  <si>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</si>
  <si>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</si>
  <si>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</si>
  <si>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</si>
  <si>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</si>
  <si>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</si>
  <si>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</si>
  <si>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</si>
  <si>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</si>
  <si>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</si>
  <si>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</si>
  <si>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</si>
  <si>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115</t>
  </si>
  <si>
    <t>116</t>
  </si>
  <si>
    <t>117</t>
  </si>
  <si>
    <t>118</t>
  </si>
  <si>
    <t>119</t>
  </si>
  <si>
    <t>120</t>
  </si>
  <si>
    <t>121</t>
  </si>
  <si>
    <t>123</t>
  </si>
  <si>
    <t>124</t>
  </si>
  <si>
    <t>125</t>
  </si>
  <si>
    <t>126</t>
  </si>
  <si>
    <t>127</t>
  </si>
  <si>
    <t>128</t>
  </si>
  <si>
    <t>130</t>
  </si>
  <si>
    <t>9 [=O130]</t>
  </si>
  <si>
    <t>131</t>
  </si>
  <si>
    <t>132</t>
  </si>
  <si>
    <t>133</t>
  </si>
  <si>
    <t>134</t>
  </si>
  <si>
    <t>135</t>
  </si>
  <si>
    <t>137</t>
  </si>
  <si>
    <t>138</t>
  </si>
  <si>
    <t>139</t>
  </si>
  <si>
    <t>140</t>
  </si>
  <si>
    <t>141</t>
  </si>
  <si>
    <t>142</t>
  </si>
  <si>
    <t>144</t>
  </si>
  <si>
    <t>145</t>
  </si>
  <si>
    <t>146</t>
  </si>
  <si>
    <t>148</t>
  </si>
  <si>
    <t>149</t>
  </si>
  <si>
    <t>151</t>
  </si>
  <si>
    <t>10 [=O151]</t>
  </si>
  <si>
    <t>152</t>
  </si>
  <si>
    <t>153</t>
  </si>
  <si>
    <t>10 [=O153]</t>
  </si>
  <si>
    <t>155</t>
  </si>
  <si>
    <t>156</t>
  </si>
  <si>
    <t>158</t>
  </si>
  <si>
    <t>159</t>
  </si>
  <si>
    <t>160</t>
  </si>
  <si>
    <t>161</t>
  </si>
  <si>
    <t>162</t>
  </si>
  <si>
    <t>163</t>
  </si>
  <si>
    <t>165</t>
  </si>
  <si>
    <t>166</t>
  </si>
  <si>
    <t>167</t>
  </si>
  <si>
    <t>168</t>
  </si>
  <si>
    <t>169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</si>
  <si>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</si>
  <si>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</si>
  <si>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</si>
  <si>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</si>
  <si>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</si>
  <si>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</si>
  <si>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</si>
  <si>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</si>
  <si>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</si>
  <si>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</si>
  <si>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</si>
  <si>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184</t>
  </si>
  <si>
    <t>185</t>
  </si>
  <si>
    <t>186</t>
  </si>
  <si>
    <t>187</t>
  </si>
  <si>
    <t>188</t>
  </si>
  <si>
    <t>190</t>
  </si>
  <si>
    <t>191</t>
  </si>
  <si>
    <t>193</t>
  </si>
  <si>
    <t>194</t>
  </si>
  <si>
    <t>196</t>
  </si>
  <si>
    <t>197</t>
  </si>
  <si>
    <t>198</t>
  </si>
  <si>
    <t>199</t>
  </si>
  <si>
    <t>200</t>
  </si>
  <si>
    <t>202</t>
  </si>
  <si>
    <t>13 [=O202]</t>
  </si>
  <si>
    <t>204</t>
  </si>
  <si>
    <t>14 [=O204]</t>
  </si>
  <si>
    <t>206</t>
  </si>
  <si>
    <t>207</t>
  </si>
  <si>
    <t>208</t>
  </si>
  <si>
    <t>209</t>
  </si>
  <si>
    <t>212</t>
  </si>
  <si>
    <t>214</t>
  </si>
  <si>
    <t>215</t>
  </si>
  <si>
    <t>218</t>
  </si>
  <si>
    <t>219</t>
  </si>
  <si>
    <t>220</t>
  </si>
  <si>
    <t>222</t>
  </si>
  <si>
    <t>224</t>
  </si>
  <si>
    <t>Product / Plant / Task 缺名或错误；无法确认任务身份；保留原 P</t>
  </si>
  <si>
    <t>226</t>
  </si>
  <si>
    <t>228</t>
  </si>
  <si>
    <t>#EXCEL:Error 2042 [=O228]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</si>
  <si>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</si>
  <si>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</si>
  <si>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</si>
  <si>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</si>
  <si>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</si>
  <si>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</si>
  <si>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</si>
  <si>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</si>
  <si>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</si>
  <si>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</si>
  <si>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241</t>
  </si>
  <si>
    <t>242</t>
  </si>
  <si>
    <t>243</t>
  </si>
  <si>
    <t>244</t>
  </si>
  <si>
    <t>245</t>
  </si>
  <si>
    <t>246</t>
  </si>
  <si>
    <t>247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</si>
  <si>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</si>
  <si>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</si>
  <si>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</si>
  <si>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</si>
  <si>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</si>
  <si>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</si>
  <si>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</si>
  <si>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</si>
  <si>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</si>
  <si>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259</t>
  </si>
  <si>
    <t>260</t>
  </si>
  <si>
    <t>261</t>
  </si>
  <si>
    <t>263</t>
  </si>
  <si>
    <t>264</t>
  </si>
  <si>
    <t>265</t>
  </si>
  <si>
    <t>266</t>
  </si>
  <si>
    <t>268</t>
  </si>
  <si>
    <t>269</t>
  </si>
  <si>
    <t>270</t>
  </si>
  <si>
    <t>271</t>
  </si>
  <si>
    <t>272</t>
  </si>
  <si>
    <t>273</t>
  </si>
  <si>
    <t>274</t>
  </si>
  <si>
    <t>275</t>
  </si>
  <si>
    <t>#EXCEL:Error 2042 [=O275]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</si>
  <si>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</si>
  <si>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</si>
  <si>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</si>
  <si>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</si>
  <si>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</si>
  <si>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</si>
  <si>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</si>
  <si>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</si>
  <si>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</si>
  <si>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#EXCEL:Error 2042 [=O284]</t>
  </si>
  <si>
    <t>285</t>
  </si>
  <si>
    <t>#EXCEL:Error 2042 [=O285]</t>
  </si>
  <si>
    <t>286</t>
  </si>
  <si>
    <t>#EXCEL:Error 2042 [=O286]</t>
  </si>
  <si>
    <t>287</t>
  </si>
  <si>
    <t>#EXCEL:Error 2042 [=O287]</t>
  </si>
  <si>
    <t>288</t>
  </si>
  <si>
    <t>#EXCEL:Error 2042 [=O288]</t>
  </si>
  <si>
    <t>289</t>
  </si>
  <si>
    <t>#EXCEL:Error 2042 [=O289]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</si>
  <si>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</si>
  <si>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</si>
  <si>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</si>
  <si>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</si>
  <si>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</si>
  <si>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</si>
  <si>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</si>
  <si>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</si>
  <si>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</si>
  <si>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</si>
  <si>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</si>
  <si>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</si>
  <si>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</si>
  <si>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#EXCEL:Error 2042 [=O303]</t>
  </si>
  <si>
    <t>304</t>
  </si>
  <si>
    <t>#EXCEL:Error 2042 [=O304]</t>
  </si>
  <si>
    <t>305</t>
  </si>
  <si>
    <t>#EXCEL:Error 2042 [=O305]</t>
  </si>
  <si>
    <t>306</t>
  </si>
  <si>
    <t>308</t>
  </si>
  <si>
    <t>#EXCEL:Error 2042 [=O308]</t>
  </si>
  <si>
    <t>309</t>
  </si>
  <si>
    <t>#EXCEL:Error 2042 [=O309]</t>
  </si>
  <si>
    <t>改自动 3；已自动 198；未恢复 88；总记录 289。行号仅为当时参考，无自动跳转；移动/排序后请按 Plant + Task + 原值重新核对。</t>
    <phoneticPr fontId="1" type="noConversion"/>
  </si>
  <si>
    <t>=COUNTIF(R3C[9]:OFFSET(RC[9],-1,0),"Subtotal:")+1</t>
  </si>
  <si>
    <t>Subtotal:</t>
  </si>
  <si>
    <t>=SUMIF(R3C[-10]:OFFSET(RC[-10],-1,0),RC[-10],R3C:OFFSET(RC,-1,0))</t>
  </si>
  <si>
    <t>=SUMIF(R3C[-11]:OFFSET(RC[-11],-1,0),RC[-11],R3C:OFFSET(RC,-1,0))</t>
  </si>
  <si>
    <t>=RC[1]-7</t>
  </si>
  <si>
    <t>=IF(RC[-8]="Subtotal:",OFFSET(RC,-1,0),"")</t>
  </si>
  <si>
    <t>=IF(RC[-9]="Subtotal:",OFFSET(RC,-1,0),"")</t>
  </si>
  <si>
    <t>=IF(RC[-10]="Subtotal:",OFFSET(RC,-1,0),"")</t>
  </si>
  <si>
    <t>=IFERROR(IF(RC[-11]*RC[-1]&lt;&gt;0,RC[-11]-RC[-1],""),"")</t>
  </si>
  <si>
    <t>=IF(RC[-1]&lt;&gt;"",IF(RC[-1]&gt;28,"Too early",IF(RC[-1]&lt;14,"Too late","")),"")</t>
  </si>
  <si>
    <t>=(SUMIFS(C11,C10,"&lt;&gt;Subtotal:",C10,"&gt;"&amp;RC[-4],C19,"&lt;="&amp;RC[-4]))*24*1.3+(SUMIFS(C12,C10,"&lt;&gt;Subtotal:",C10,"&gt;"&amp;RC[-4],C19,"&lt;="&amp;RC[-4]))/3*1.3</t>
  </si>
  <si>
    <t>=IFERROR(IF(RC[-17]*RC[-1]&lt;&gt;0,RC[-17]-RC[-1],""),"")</t>
  </si>
  <si>
    <t>=(SUMIFS(C11,C10,"&lt;&gt;Subtotal:",C10,"&gt;"&amp;RC[-4],C25,"&lt;="&amp;RC[-4]))*24*1.3+(SUMIFS(C12,C10,"&lt;&gt;Subtotal:",C10,"&gt;"&amp;RC[-4],C25,"&lt;="&amp;RC[-4]))/3*1.3</t>
  </si>
  <si>
    <t>All in Total</t>
  </si>
  <si>
    <t>=SUMIF(R[-322]C[-1]:R[-2]C[-1],"Subtotal:",R[-322]C:R[-2]C)</t>
  </si>
  <si>
    <t>=SUMIF(R[-322]C[-2]:R[-2]C[-2],"Subtotal:",R[-322]C:R[-2]C)</t>
  </si>
  <si>
    <t>=IF(RC[-9]="Subtotal:",INDIRECT("P"&amp;ROW()-1),"")</t>
  </si>
  <si>
    <t>Max Area:</t>
  </si>
  <si>
    <t>=MAX(R[-324]C:R[-2]C)</t>
  </si>
  <si>
    <t>V21-SUBTOTAL-TEMPLATE</t>
  </si>
  <si>
    <t>SHIPPING PROGRAM</t>
    <phoneticPr fontId="1" type="noConversion"/>
  </si>
  <si>
    <t>PROJECT INFORMATION</t>
    <phoneticPr fontId="1" type="noConversion"/>
  </si>
  <si>
    <t>Project name</t>
    <phoneticPr fontId="1" type="noConversion"/>
  </si>
  <si>
    <t>Project number</t>
    <phoneticPr fontId="1" type="noConversion"/>
  </si>
  <si>
    <t>Customer</t>
    <phoneticPr fontId="1" type="noConversion"/>
  </si>
  <si>
    <t>Customer address</t>
    <phoneticPr fontId="1" type="noConversion"/>
  </si>
  <si>
    <t>TRANSPORT PARAMETERS</t>
    <phoneticPr fontId="1" type="noConversion"/>
  </si>
  <si>
    <t>Shipment interval (days)</t>
    <phoneticPr fontId="1" type="noConversion"/>
  </si>
  <si>
    <t>NR booking lead (days)</t>
    <phoneticPr fontId="1" type="noConversion"/>
  </si>
  <si>
    <t>Transit time (days)</t>
    <phoneticPr fontId="1" type="noConversion"/>
  </si>
  <si>
    <t>ETA to ETS (days)</t>
    <phoneticPr fontId="1" type="noConversion"/>
  </si>
  <si>
    <t>First ETD</t>
    <phoneticPr fontId="1" type="noConversion"/>
  </si>
  <si>
    <t>Reference only</t>
  </si>
  <si>
    <t>操作顺序：导入来源 → 更新安装日期 → 更新计划与总表</t>
    <phoneticPr fontId="1" type="noConversion"/>
  </si>
  <si>
    <t>黄色区域可填写；其他区域请保留公式。更新安装日期不会覆盖人工固定的 Planned。</t>
    <phoneticPr fontId="1" type="noConversion"/>
  </si>
  <si>
    <t>Shipping tasks</t>
    <phoneticPr fontId="1" type="noConversion"/>
  </si>
  <si>
    <t>Unique Plants</t>
    <phoneticPr fontId="1" type="noConversion"/>
  </si>
  <si>
    <t>Installation exceptions</t>
    <phoneticPr fontId="1" type="noConversion"/>
  </si>
  <si>
    <t>Invalid Planned batches</t>
    <phoneticPr fontId="1" type="noConversion"/>
  </si>
  <si>
    <t>Source file</t>
    <phoneticPr fontId="1" type="noConversion"/>
  </si>
  <si>
    <t>Imported at</t>
    <phoneticPr fontId="1" type="noConversion"/>
  </si>
  <si>
    <t>Installation records</t>
    <phoneticPr fontId="1" type="noConversion"/>
  </si>
  <si>
    <t>Dates checked at</t>
    <phoneticPr fontId="1" type="noConversion"/>
  </si>
  <si>
    <t>Summary refreshed at</t>
    <phoneticPr fontId="1" type="noConversion"/>
  </si>
  <si>
    <t>Date check status</t>
    <phoneticPr fontId="1" type="noConversion"/>
  </si>
  <si>
    <t>Summary status</t>
    <phoneticPr fontId="1" type="noConversion"/>
  </si>
  <si>
    <t>SHIPMENT CALENDAR</t>
    <phoneticPr fontId="1" type="noConversion"/>
  </si>
  <si>
    <t>Shipping order</t>
    <phoneticPr fontId="1" type="noConversion"/>
  </si>
  <si>
    <t>Calendar week</t>
    <phoneticPr fontId="1" type="noConversion"/>
  </si>
  <si>
    <t>Transit (days)</t>
    <phoneticPr fontId="1" type="noConversion"/>
  </si>
  <si>
    <t>Container type</t>
    <phoneticPr fontId="1" type="noConversion"/>
  </si>
  <si>
    <t>Departure</t>
    <phoneticPr fontId="1" type="noConversion"/>
  </si>
  <si>
    <t>Destination</t>
    <phoneticPr fontId="1" type="noConversion"/>
  </si>
  <si>
    <t>Task count</t>
    <phoneticPr fontId="1" type="noConversion"/>
  </si>
  <si>
    <t>类型</t>
  </si>
  <si>
    <t>状态 / 原因</t>
  </si>
  <si>
    <t>源表</t>
  </si>
  <si>
    <t>行</t>
  </si>
  <si>
    <t>单元格</t>
  </si>
  <si>
    <t>建议处理</t>
  </si>
  <si>
    <t>清单待重建（不是最新结果）— 点击重建后再跳转</t>
    <phoneticPr fontId="1" type="noConversion"/>
  </si>
  <si>
    <t>STALE</t>
    <phoneticPr fontId="1" type="noConversion"/>
  </si>
  <si>
    <t>=VLOOKUP(I5,'Shipping Program'!$A$32:$B$78,2)-1</t>
  </si>
  <si>
    <t>=SUMIF(A$3:OFFSET(A10,-1,0),A10,K$3:OFFSET(K10,-1,0))</t>
  </si>
  <si>
    <t>=SUMIF(A$3:OFFSET(A10,-1,0),A10,L$3:OFFSET(L10,-1,0))</t>
  </si>
  <si>
    <t>=IF(J10="Subtotal:",OFFSET(R10,-1,0),"")</t>
  </si>
  <si>
    <t>=IF(J10="Subtotal:",OFFSET(S10,-1,0),"")</t>
  </si>
  <si>
    <t>=IF(J10="Subtotal:",OFFSET(T10,-1,0),"")</t>
  </si>
  <si>
    <t>=(SUMIFS($K:$K,$J:$J,"&lt;&gt;Subtotal:",$J:$J,"&gt;"&amp;S10,$S:$S,"&lt;="&amp;S10))*24*1.3+(SUMIFS($L:$L,$J:$J,"&lt;&gt;Subtotal:",$J:$J,"&gt;"&amp;S10,$S:$S,"&lt;="&amp;S10))/3*1.3</t>
  </si>
  <si>
    <t>=(SUMIFS($K:$K,$J:$J,"&lt;&gt;Subtotal:",$J:$J,"&gt;"&amp;Y10,$Y:$Y,"&lt;="&amp;Y10))*24*1.3+(SUMIFS($L:$L,$J:$J,"&lt;&gt;Subtotal:",$J:$J,"&gt;"&amp;Y10,$Y:$Y,"&lt;="&amp;Y10))/3*1.3</t>
  </si>
  <si>
    <t>=IF(SUM(M15:N15)=0,"",SUM(M15:N15))</t>
  </si>
  <si>
    <t>=VLOOKUP(I15,'Shipping Program'!$A$32:$B$78,2)-1</t>
  </si>
  <si>
    <t>=SUMIF(A$3:OFFSET(A19,-1,0),A19,K$3:OFFSET(K19,-1,0))</t>
  </si>
  <si>
    <t>=SUMIF(A$3:OFFSET(A19,-1,0),A19,L$3:OFFSET(L19,-1,0))</t>
  </si>
  <si>
    <t>=IF(J19="Subtotal:",OFFSET(R19,-1,0),"")</t>
  </si>
  <si>
    <t>=IF(J19="Subtotal:",OFFSET(S19,-1,0),"")</t>
  </si>
  <si>
    <t>=IF(J19="Subtotal:",OFFSET(T19,-1,0),"")</t>
  </si>
  <si>
    <t>=(SUMIFS($K:$K,$J:$J,"&lt;&gt;Subtotal:",$J:$J,"&gt;"&amp;S19,$S:$S,"&lt;="&amp;S19))*24*1.3+(SUMIFS($L:$L,$J:$J,"&lt;&gt;Subtotal:",$J:$J,"&gt;"&amp;S19,$S:$S,"&lt;="&amp;S19))/3*1.3</t>
  </si>
  <si>
    <t>=(SUMIFS($K:$K,$J:$J,"&lt;&gt;Subtotal:",$J:$J,"&gt;"&amp;Y19,$Y:$Y,"&lt;="&amp;Y19))*24*1.3+(SUMIFS($L:$L,$J:$J,"&lt;&gt;Subtotal:",$J:$J,"&gt;"&amp;Y19,$Y:$Y,"&lt;="&amp;Y19))/3*1.3</t>
  </si>
  <si>
    <t>=VLOOKUP(I20,'Shipping Program'!$A$32:$B$78,2)</t>
  </si>
  <si>
    <t>=SUMIF(A$3:OFFSET(A33,-1,0),A33,K$3:OFFSET(K33,-1,0))</t>
  </si>
  <si>
    <t>=SUMIF(A$3:OFFSET(A33,-1,0),A33,L$3:OFFSET(L33,-1,0))</t>
  </si>
  <si>
    <t>=IF(J33="Subtotal:",OFFSET(R33,-1,0),"")</t>
  </si>
  <si>
    <t>=IF(J33="Subtotal:",OFFSET(S33,-1,0),"")</t>
  </si>
  <si>
    <t>=IF(J33="Subtotal:",OFFSET(T33,-1,0),"")</t>
  </si>
  <si>
    <t>=(SUMIFS($K:$K,$J:$J,"&lt;&gt;Subtotal:",$J:$J,"&gt;"&amp;S33,$S:$S,"&lt;="&amp;S33))*24*1.3+(SUMIFS($L:$L,$J:$J,"&lt;&gt;Subtotal:",$J:$J,"&gt;"&amp;S33,$S:$S,"&lt;="&amp;S33))/3*1.3</t>
  </si>
  <si>
    <t>=(SUMIFS($K:$K,$J:$J,"&lt;&gt;Subtotal:",$J:$J,"&gt;"&amp;Y33,$Y:$Y,"&lt;="&amp;Y33))*24*1.3+(SUMIFS($L:$L,$J:$J,"&lt;&gt;Subtotal:",$J:$J,"&gt;"&amp;Y33,$Y:$Y,"&lt;="&amp;Y33))/3*1.3</t>
  </si>
  <si>
    <t>=COUNTIF(J$3:OFFSET(J40,-1,0),"Subtotal:")+1</t>
  </si>
  <si>
    <t>=IF(OFFSET(B40,1,0)&lt;&gt;"",OFFSET(B40,1,0),"")</t>
  </si>
  <si>
    <t>=LEFT(F40,3)</t>
  </si>
  <si>
    <t>=IF(J40&lt;&gt;"",J40 - ('Shipping Program'!$D$9 + 'Shipping Program'!$F$9 + 'Shipping Program'!$H$9), "")</t>
  </si>
  <si>
    <t>=VLOOKUP(I40,'Shipping Program'!$A$32:$B$78,2)-1</t>
  </si>
  <si>
    <t>=O40</t>
  </si>
  <si>
    <t>=R40-7</t>
  </si>
  <si>
    <t>=IFERROR(XLOOKUP(P40,'Shipping Program'!$B$32:$B$78,'Shipping Program'!$A$32:$A$78),IFERROR(INDEX(_V7Batches!$B:$B,MATCH(P40&amp;"",_V7Batches!$A:$A,0)),""))</t>
  </si>
  <si>
    <t>=IFERROR(XLOOKUP(P40,'Shipping Program'!$B$32:$B$78,'Shipping Program'!$E$32:$E$78),IFERROR(INDEX(_V7Batches!$D:$D,MATCH(P40&amp;"",_V7Batches!$A:$A,0)),""))</t>
  </si>
  <si>
    <t>=S40+'Shipping Program'!$H$9</t>
  </si>
  <si>
    <t>=IFERROR(IF(J40*T40&lt;&gt;0,J40-T40,""),"")</t>
  </si>
  <si>
    <t>=IF(U40&lt;&gt;"",IF(U40&gt;28,"Too early",IF(U40&lt;14,"Too late","")),"")</t>
  </si>
  <si>
    <t>=IF(OFFSET(X40,1,0)="",R40,OFFSET(X40,1,0))</t>
  </si>
  <si>
    <t>=IF(OFFSET(Y40,1,0)="",X40+'Shipping Program'!$F$9,OFFSET(Y40,1,0))</t>
  </si>
  <si>
    <t>=IF(OFFSET(Z40,1,0)="",Y40+'Shipping Program'!$H$9,OFFSET(Z40,1,0))</t>
  </si>
  <si>
    <t>=IFERROR(IF(J40*Z40&lt;&gt;0,J40-Z40,""),"")</t>
  </si>
  <si>
    <t>=IF(AA40&lt;&gt;"",IF(AA40&gt;28,"Too early",IF(AA40&lt;14,"Too late","")),"")</t>
  </si>
  <si>
    <t>=SUMIF(A$3:OFFSET(A48,-1,0),A48,K$3:OFFSET(K48,-1,0))</t>
  </si>
  <si>
    <t>=SUMIF(A$3:OFFSET(A48,-1,0),A48,L$3:OFFSET(L48,-1,0))</t>
  </si>
  <si>
    <t>=IF(J48="Subtotal:",OFFSET(R48,-1,0),"")</t>
  </si>
  <si>
    <t>=IF(J48="Subtotal:",OFFSET(S48,-1,0),"")</t>
  </si>
  <si>
    <t>=IF(J48="Subtotal:",OFFSET(T48,-1,0),"")</t>
  </si>
  <si>
    <t>=(SUMIFS($K:$K,$J:$J,"&lt;&gt;Subtotal:",$J:$J,"&gt;"&amp;S48,$S:$S,"&lt;="&amp;S48))*24*1.3+(SUMIFS($L:$L,$J:$J,"&lt;&gt;Subtotal:",$J:$J,"&gt;"&amp;S48,$S:$S,"&lt;="&amp;S48))/3*1.3</t>
  </si>
  <si>
    <t>=(SUMIFS($K:$K,$J:$J,"&lt;&gt;Subtotal:",$J:$J,"&gt;"&amp;Y48,$Y:$Y,"&lt;="&amp;Y48))*24*1.3+(SUMIFS($L:$L,$J:$J,"&lt;&gt;Subtotal:",$J:$J,"&gt;"&amp;Y48,$Y:$Y,"&lt;="&amp;Y48))/3*1.3</t>
  </si>
  <si>
    <t>=COUNTIF(J$3:OFFSET(J53,-1,0),"Subtotal:")+1</t>
  </si>
  <si>
    <t>=IF(OFFSET(B53,1,0)&lt;&gt;"",OFFSET(B53,1,0),"")</t>
  </si>
  <si>
    <t>=LEFT(F53,3)</t>
  </si>
  <si>
    <t>=IF(J53&lt;&gt;"",J53 - ('Shipping Program'!$D$9 + 'Shipping Program'!$F$9 + 'Shipping Program'!$H$9), "")</t>
  </si>
  <si>
    <t>=VLOOKUP(I53,'Shipping Program'!$A$32:$B$78,2)-1</t>
  </si>
  <si>
    <t>=O53</t>
  </si>
  <si>
    <t>=R53-7</t>
  </si>
  <si>
    <t>=IFERROR(XLOOKUP(P53,'Shipping Program'!$B$32:$B$78,'Shipping Program'!$A$32:$A$78),IFERROR(INDEX(_V7Batches!$B:$B,MATCH(P53&amp;"",_V7Batches!$A:$A,0)),""))</t>
  </si>
  <si>
    <t>=IFERROR(XLOOKUP(P53,'Shipping Program'!$B$32:$B$78,'Shipping Program'!$E$32:$E$78),IFERROR(INDEX(_V7Batches!$D:$D,MATCH(P53&amp;"",_V7Batches!$A:$A,0)),""))</t>
  </si>
  <si>
    <t>=S53+'Shipping Program'!$H$9</t>
  </si>
  <si>
    <t>=IFERROR(IF(J53*T53&lt;&gt;0,J53-T53,""),"")</t>
  </si>
  <si>
    <t>=IF(U53&lt;&gt;"",IF(U53&gt;28,"Too early",IF(U53&lt;14,"Too late","")),"")</t>
  </si>
  <si>
    <t>=IF(OFFSET(X53,1,0)="",R53,OFFSET(X53,1,0))</t>
  </si>
  <si>
    <t>=IF(OFFSET(Y53,1,0)="",X53+'Shipping Program'!$F$9,OFFSET(Y53,1,0))</t>
  </si>
  <si>
    <t>=IF(OFFSET(Z53,1,0)="",Y53+'Shipping Program'!$H$9,OFFSET(Z53,1,0))</t>
  </si>
  <si>
    <t>=IFERROR(IF(J53*Z53&lt;&gt;0,J53-Z53,""),"")</t>
  </si>
  <si>
    <t>=IF(AA53&lt;&gt;"",IF(AA53&gt;28,"Too early",IF(AA53&lt;14,"Too late","")),"")</t>
  </si>
  <si>
    <t>=COUNTIF(J$3:OFFSET(J66,-1,0),"Subtotal:")+1</t>
  </si>
  <si>
    <t>=IF(OFFSET(B66,1,0)&lt;&gt;"",OFFSET(B66,1,0),"")</t>
  </si>
  <si>
    <t>=LEFT(F66,3)</t>
  </si>
  <si>
    <t>=IF(J66&lt;&gt;"",J66 - ('Shipping Program'!$D$9 + 'Shipping Program'!$F$9 + 'Shipping Program'!$H$9), "")</t>
  </si>
  <si>
    <t>=VLOOKUP(I66,'Shipping Program'!$A$32:$B$78,2)-1</t>
  </si>
  <si>
    <t>=O66</t>
  </si>
  <si>
    <t>=R66-7</t>
  </si>
  <si>
    <t>=IFERROR(XLOOKUP(P66,'Shipping Program'!$B$32:$B$78,'Shipping Program'!$A$32:$A$78),IFERROR(INDEX(_V7Batches!$B:$B,MATCH(P66&amp;"",_V7Batches!$A:$A,0)),""))</t>
  </si>
  <si>
    <t>=IFERROR(XLOOKUP(P66,'Shipping Program'!$B$32:$B$78,'Shipping Program'!$E$32:$E$78),IFERROR(INDEX(_V7Batches!$D:$D,MATCH(P66&amp;"",_V7Batches!$A:$A,0)),""))</t>
  </si>
  <si>
    <t>=S66+'Shipping Program'!$H$9</t>
  </si>
  <si>
    <t>=IFERROR(IF(J66*T66&lt;&gt;0,J66-T66,""),"")</t>
  </si>
  <si>
    <t>=IF(U66&lt;&gt;"",IF(U66&gt;28,"Too early",IF(U66&lt;14,"Too late","")),"")</t>
  </si>
  <si>
    <t>=IF(OFFSET(X66,1,0)="",R66,OFFSET(X66,1,0))</t>
  </si>
  <si>
    <t>=IF(OFFSET(Y66,1,0)="",X66+'Shipping Program'!$F$9,OFFSET(Y66,1,0))</t>
  </si>
  <si>
    <t>=IF(OFFSET(Z66,1,0)="",Y66+'Shipping Program'!$H$9,OFFSET(Z66,1,0))</t>
  </si>
  <si>
    <t>=IFERROR(IF(J66*Z66&lt;&gt;0,J66-Z66,""),"")</t>
  </si>
  <si>
    <t>=IF(AA66&lt;&gt;"",IF(AA66&gt;28,"Too early",IF(AA66&lt;14,"Too late","")),"")</t>
  </si>
  <si>
    <t>=SUMIF(A$3:OFFSET(A68,-1,0),A68,K$3:OFFSET(K68,-1,0))</t>
  </si>
  <si>
    <t>=SUMIF(A$3:OFFSET(A68,-1,0),A68,L$3:OFFSET(L68,-1,0))</t>
  </si>
  <si>
    <t>=IF(J68="Subtotal:",OFFSET(R68,-1,0),"")</t>
  </si>
  <si>
    <t>=IF(J68="Subtotal:",OFFSET(S68,-1,0),"")</t>
  </si>
  <si>
    <t>=IF(J68="Subtotal:",OFFSET(T68,-1,0),"")</t>
  </si>
  <si>
    <t>=(SUMIFS($K:$K,$J:$J,"&lt;&gt;Subtotal:",$J:$J,"&gt;"&amp;S68,$S:$S,"&lt;="&amp;S68))*24*1.3+(SUMIFS($L:$L,$J:$J,"&lt;&gt;Subtotal:",$J:$J,"&gt;"&amp;S68,$S:$S,"&lt;="&amp;S68))/3*1.3</t>
  </si>
  <si>
    <t>=(SUMIFS($K:$K,$J:$J,"&lt;&gt;Subtotal:",$J:$J,"&gt;"&amp;Y68,$Y:$Y,"&lt;="&amp;Y68))*24*1.3+(SUMIFS($L:$L,$J:$J,"&lt;&gt;Subtotal:",$J:$J,"&gt;"&amp;Y68,$Y:$Y,"&lt;="&amp;Y68))/3*1.3</t>
  </si>
  <si>
    <t>=COUNTIF(J$3:OFFSET(J79,-1,0),"Subtotal:")+1</t>
  </si>
  <si>
    <t>=IF(OFFSET(B79,1,0)&lt;&gt;"",OFFSET(B79,1,0),"")</t>
  </si>
  <si>
    <t>=LEFT(F79,3)</t>
  </si>
  <si>
    <t>=IF(J79&lt;&gt;"",J79 - ('Shipping Program'!$D$9 + 'Shipping Program'!$F$9 + 'Shipping Program'!$H$9), "")</t>
  </si>
  <si>
    <t>=VLOOKUP(I79,'Shipping Program'!$A$32:$B$78,2)-1</t>
  </si>
  <si>
    <t>=O79</t>
  </si>
  <si>
    <t>=R79-7</t>
  </si>
  <si>
    <t>=IFERROR(XLOOKUP(P79,'Shipping Program'!$B$32:$B$78,'Shipping Program'!$A$32:$A$78),IFERROR(INDEX(_V7Batches!$B:$B,MATCH(P79&amp;"",_V7Batches!$A:$A,0)),""))</t>
  </si>
  <si>
    <t>=IFERROR(XLOOKUP(P79,'Shipping Program'!$B$32:$B$78,'Shipping Program'!$E$32:$E$78),IFERROR(INDEX(_V7Batches!$D:$D,MATCH(P79&amp;"",_V7Batches!$A:$A,0)),""))</t>
  </si>
  <si>
    <t>=S79+'Shipping Program'!$H$9</t>
  </si>
  <si>
    <t>=IFERROR(IF(J79*T79&lt;&gt;0,J79-T79,""),"")</t>
  </si>
  <si>
    <t>=IF(U79&lt;&gt;"",IF(U79&gt;28,"Too early",IF(U79&lt;14,"Too late","")),"")</t>
  </si>
  <si>
    <t>=IF(OFFSET(X79,1,0)="",R79,OFFSET(X79,1,0))</t>
  </si>
  <si>
    <t>=IF(OFFSET(Y79,1,0)="",X79+'Shipping Program'!$F$9,OFFSET(Y79,1,0))</t>
  </si>
  <si>
    <t>=IF(OFFSET(Z79,1,0)="",Y79+'Shipping Program'!$H$9,OFFSET(Z79,1,0))</t>
  </si>
  <si>
    <t>=IFERROR(IF(J79*Z79&lt;&gt;0,J79-Z79,""),"")</t>
  </si>
  <si>
    <t>=IF(AA79&lt;&gt;"",IF(AA79&gt;28,"Too early",IF(AA79&lt;14,"Too late","")),"")</t>
  </si>
  <si>
    <t>=SUMIF(A$3:OFFSET(A80,-1,0),A80,K$3:OFFSET(K80,-1,0))</t>
  </si>
  <si>
    <t>=SUMIF(A$3:OFFSET(A80,-1,0),A80,L$3:OFFSET(L80,-1,0))</t>
  </si>
  <si>
    <t>=IF(J80="Subtotal:",OFFSET(R80,-1,0),"")</t>
  </si>
  <si>
    <t>=IF(J80="Subtotal:",OFFSET(S80,-1,0),"")</t>
  </si>
  <si>
    <t>=IF(J80="Subtotal:",OFFSET(T80,-1,0),"")</t>
  </si>
  <si>
    <t>=(SUMIFS($K:$K,$J:$J,"&lt;&gt;Subtotal:",$J:$J,"&gt;"&amp;S80,$S:$S,"&lt;="&amp;S80))*24*1.3+(SUMIFS($L:$L,$J:$J,"&lt;&gt;Subtotal:",$J:$J,"&gt;"&amp;S80,$S:$S,"&lt;="&amp;S80))/3*1.3</t>
  </si>
  <si>
    <t>=(SUMIFS($K:$K,$J:$J,"&lt;&gt;Subtotal:",$J:$J,"&gt;"&amp;Y80,$Y:$Y,"&lt;="&amp;Y80))*24*1.3+(SUMIFS($L:$L,$J:$J,"&lt;&gt;Subtotal:",$J:$J,"&gt;"&amp;Y80,$Y:$Y,"&lt;="&amp;Y80))/3*1.3</t>
  </si>
  <si>
    <t>=COUNTIF(J$3:OFFSET(J96,-1,0),"Subtotal:")+1</t>
  </si>
  <si>
    <t>=IF(OFFSET(B96,1,0)&lt;&gt;"",OFFSET(B96,1,0),"")</t>
  </si>
  <si>
    <t>=LEFT(F96,3)</t>
  </si>
  <si>
    <t>=IF(J96&lt;&gt;"",J96 - ('Shipping Program'!$D$9 + 'Shipping Program'!$F$9 + 'Shipping Program'!$H$9), "")</t>
  </si>
  <si>
    <t>=IF(SUM(M96:N96)=0,"",SUM(M96:N96))</t>
  </si>
  <si>
    <t>=VLOOKUP(I96,'Shipping Program'!$A$32:$B$78,2)-1</t>
  </si>
  <si>
    <t>=O96</t>
  </si>
  <si>
    <t>=R96-7</t>
  </si>
  <si>
    <t>=IFERROR(XLOOKUP(P96,'Shipping Program'!$B$32:$B$78,'Shipping Program'!$A$32:$A$78),IFERROR(INDEX(_V7Batches!$B:$B,MATCH(P96&amp;"",_V7Batches!$A:$A,0)),""))</t>
  </si>
  <si>
    <t>=IFERROR(XLOOKUP(P96,'Shipping Program'!$B$32:$B$78,'Shipping Program'!$E$32:$E$78),IFERROR(INDEX(_V7Batches!$D:$D,MATCH(P96&amp;"",_V7Batches!$A:$A,0)),""))</t>
  </si>
  <si>
    <t>=S96+'Shipping Program'!$H$9</t>
  </si>
  <si>
    <t>=IFERROR(IF(J96*T96&lt;&gt;0,J96-T96,""),"")</t>
  </si>
  <si>
    <t>=IF(U96&lt;&gt;"",IF(U96&gt;28,"Too early",IF(U96&lt;14,"Too late","")),"")</t>
  </si>
  <si>
    <t>=IF(OFFSET(X96,1,0)="",R96,OFFSET(X96,1,0))</t>
  </si>
  <si>
    <t>=IF(OFFSET(Y96,1,0)="",X96+'Shipping Program'!$F$9,OFFSET(Y96,1,0))</t>
  </si>
  <si>
    <t>=IF(OFFSET(Z96,1,0)="",Y96+'Shipping Program'!$H$9,OFFSET(Z96,1,0))</t>
  </si>
  <si>
    <t>=IFERROR(IF(J96*Z96&lt;&gt;0,J96-Z96,""),"")</t>
  </si>
  <si>
    <t>=IF(AA96&lt;&gt;"",IF(AA96&gt;28,"Too early",IF(AA96&lt;14,"Too late","")),"")</t>
  </si>
  <si>
    <t>=IF(AI96="","",AI96*AJ96*AK96/1000/1000/1000)</t>
  </si>
  <si>
    <t>=SUMIF(A$3:OFFSET(A97,-1,0),A97,K$3:OFFSET(K97,-1,0))</t>
  </si>
  <si>
    <t>=SUMIF(A$3:OFFSET(A97,-1,0),A97,L$3:OFFSET(L97,-1,0))</t>
  </si>
  <si>
    <t>=IF(J97="Subtotal:",OFFSET(R97,-1,0),"")</t>
  </si>
  <si>
    <t>=IF(J97="Subtotal:",OFFSET(S97,-1,0),"")</t>
  </si>
  <si>
    <t>=IF(J97="Subtotal:",OFFSET(T97,-1,0),"")</t>
  </si>
  <si>
    <t>=(SUMIFS($K:$K,$J:$J,"&lt;&gt;Subtotal:",$J:$J,"&gt;"&amp;S97,$S:$S,"&lt;="&amp;S97))*24*1.3+(SUMIFS($L:$L,$J:$J,"&lt;&gt;Subtotal:",$J:$J,"&gt;"&amp;S97,$S:$S,"&lt;="&amp;S97))/3*1.3</t>
  </si>
  <si>
    <t>=(SUMIFS($K:$K,$J:$J,"&lt;&gt;Subtotal:",$J:$J,"&gt;"&amp;Y97,$Y:$Y,"&lt;="&amp;Y97))*24*1.3+(SUMIFS($L:$L,$J:$J,"&lt;&gt;Subtotal:",$J:$J,"&gt;"&amp;Y97,$Y:$Y,"&lt;="&amp;Y97))/3*1.3</t>
  </si>
  <si>
    <t>=COUNTIF(J$3:OFFSET(J114,-1,0),"Subtotal:")+1</t>
  </si>
  <si>
    <t>=IF(OFFSET(B114,1,0)&lt;&gt;"",OFFSET(B114,1,0),"")</t>
  </si>
  <si>
    <t>=LEFT(F114,3)</t>
  </si>
  <si>
    <t>=IF(J114&lt;&gt;"",J114 - ('Shipping Program'!$D$9 + 'Shipping Program'!$F$9 + 'Shipping Program'!$H$9), "")</t>
  </si>
  <si>
    <t>=VLOOKUP(I114,'Shipping Program'!$A$32:$B$78,2)-1</t>
  </si>
  <si>
    <t>=O114</t>
  </si>
  <si>
    <t>=R114-7</t>
  </si>
  <si>
    <t>=IFERROR(XLOOKUP(P114,'Shipping Program'!$B$32:$B$78,'Shipping Program'!$A$32:$A$78),IFERROR(INDEX(_V7Batches!$B:$B,MATCH(P114&amp;"",_V7Batches!$A:$A,0)),""))</t>
  </si>
  <si>
    <t>=IFERROR(XLOOKUP(P114,'Shipping Program'!$B$32:$B$78,'Shipping Program'!$E$32:$E$78),IFERROR(INDEX(_V7Batches!$D:$D,MATCH(P114&amp;"",_V7Batches!$A:$A,0)),""))</t>
  </si>
  <si>
    <t>=S114+'Shipping Program'!$H$9</t>
  </si>
  <si>
    <t>=IFERROR(IF(J114*T114&lt;&gt;0,J114-T114,""),"")</t>
  </si>
  <si>
    <t>=IF(U114&lt;&gt;"",IF(U114&gt;28,"Too early",IF(U114&lt;14,"Too late","")),"")</t>
  </si>
  <si>
    <t>=IF(OFFSET(X114,1,0)="",R114,OFFSET(X114,1,0))</t>
  </si>
  <si>
    <t>=IF(OFFSET(Y114,1,0)="",X114+'Shipping Program'!$F$9,OFFSET(Y114,1,0))</t>
  </si>
  <si>
    <t>=IF(OFFSET(Z114,1,0)="",Y114+'Shipping Program'!$H$9,OFFSET(Z114,1,0))</t>
  </si>
  <si>
    <t>=IFERROR(IF(J114*Z114&lt;&gt;0,J114-Z114,""),"")</t>
  </si>
  <si>
    <t>=IF(AA114&lt;&gt;"",IF(AA114&gt;28,"Too early",IF(AA114&lt;14,"Too late","")),"")</t>
  </si>
  <si>
    <t>=COUNTIF(J$3:OFFSET(J122,-1,0),"Subtotal:")+1</t>
  </si>
  <si>
    <t>=SUMIF(A$3:OFFSET(A122,-1,0),A122,K$3:OFFSET(K122,-1,0))</t>
  </si>
  <si>
    <t>=SUMIF(A$3:OFFSET(A122,-1,0),A122,L$3:OFFSET(L122,-1,0))</t>
  </si>
  <si>
    <t>=R122-7</t>
  </si>
  <si>
    <t>=IF(J122="Subtotal:",OFFSET(R122,-1,0),"")</t>
  </si>
  <si>
    <t>=IF(J122="Subtotal:",OFFSET(S122,-1,0),"")</t>
  </si>
  <si>
    <t>=IF(J122="Subtotal:",OFFSET(T122,-1,0),"")</t>
  </si>
  <si>
    <t>=IFERROR(IF(J122*T122&lt;&gt;0,J122-T122,""),"")</t>
  </si>
  <si>
    <t>=IF(U122&lt;&gt;"",IF(U122&gt;28,"Too early",IF(U122&lt;14,"Too late","")),"")</t>
  </si>
  <si>
    <t>=(SUMIFS($K:$K,$J:$J,"&lt;&gt;Subtotal:",$J:$J,"&gt;"&amp;S122,$S:$S,"&lt;="&amp;S122))*24*1.3+(SUMIFS($L:$L,$J:$J,"&lt;&gt;Subtotal:",$J:$J,"&gt;"&amp;S122,$S:$S,"&lt;="&amp;S122))/3*1.3</t>
  </si>
  <si>
    <t>=IFERROR(IF(J122*Z122&lt;&gt;0,J122-Z122,""),"")</t>
  </si>
  <si>
    <t>=IF(AA122&lt;&gt;"",IF(AA122&gt;28,"Too early",IF(AA122&lt;14,"Too late","")),"")</t>
  </si>
  <si>
    <t>=(SUMIFS($K:$K,$J:$J,"&lt;&gt;Subtotal:",$J:$J,"&gt;"&amp;Y122,$Y:$Y,"&lt;="&amp;Y122))*24*1.3+(SUMIFS($L:$L,$J:$J,"&lt;&gt;Subtotal:",$J:$J,"&gt;"&amp;Y122,$Y:$Y,"&lt;="&amp;Y122))/3*1.3</t>
  </si>
  <si>
    <t>=COUNTIF(J$3:OFFSET(J129,-1,0),"Subtotal:")+1</t>
  </si>
  <si>
    <t>=IF(OFFSET(B129,1,0)&lt;&gt;"",OFFSET(B129,1,0),"")</t>
  </si>
  <si>
    <t>=LEFT(F129,3)</t>
  </si>
  <si>
    <t>=IF(J129&lt;&gt;"",J129 - ('Shipping Program'!$D$9 + 'Shipping Program'!$F$9 + 'Shipping Program'!$H$9), "")</t>
  </si>
  <si>
    <t>=VLOOKUP(I129,'Shipping Program'!$A$32:$B$78,2)-1</t>
  </si>
  <si>
    <t>=O129</t>
  </si>
  <si>
    <t>=R129-7</t>
  </si>
  <si>
    <t>=IFERROR(XLOOKUP(P129,'Shipping Program'!$B$32:$B$78,'Shipping Program'!$A$32:$A$78),IFERROR(INDEX(_V7Batches!$B:$B,MATCH(P129&amp;"",_V7Batches!$A:$A,0)),""))</t>
  </si>
  <si>
    <t>=IFERROR(XLOOKUP(P129,'Shipping Program'!$B$32:$B$78,'Shipping Program'!$E$32:$E$78),IFERROR(INDEX(_V7Batches!$D:$D,MATCH(P129&amp;"",_V7Batches!$A:$A,0)),""))</t>
  </si>
  <si>
    <t>=S129+'Shipping Program'!$H$9</t>
  </si>
  <si>
    <t>=IFERROR(IF(J129*T129&lt;&gt;0,J129-T129,""),"")</t>
  </si>
  <si>
    <t>=IF(U129&lt;&gt;"",IF(U129&gt;28,"Too early",IF(U129&lt;14,"Too late","")),"")</t>
  </si>
  <si>
    <t>=IF(OFFSET(X129,1,0)="",R129,OFFSET(X129,1,0))</t>
  </si>
  <si>
    <t>=IF(OFFSET(Y129,1,0)="",X129+'Shipping Program'!$F$9,OFFSET(Y129,1,0))</t>
  </si>
  <si>
    <t>=IF(OFFSET(Z129,1,0)="",Y129+'Shipping Program'!$H$9,OFFSET(Z129,1,0))</t>
  </si>
  <si>
    <t>=IFERROR(IF(J129*Z129&lt;&gt;0,J129-Z129,""),"")</t>
  </si>
  <si>
    <t>=IF(AA129&lt;&gt;"",IF(AA129&gt;28,"Too early",IF(AA129&lt;14,"Too late","")),"")</t>
  </si>
  <si>
    <t>=COUNTIF(J$3:OFFSET(J136,-1,0),"Subtotal:")+1</t>
  </si>
  <si>
    <t>=IF(OFFSET(B136,1,0)&lt;&gt;"",OFFSET(B136,1,0),"")</t>
  </si>
  <si>
    <t>=LEFT(F136,3)</t>
  </si>
  <si>
    <t>=IF(J136&lt;&gt;"",J136 - ('Shipping Program'!$D$9 + 'Shipping Program'!$F$9 + 'Shipping Program'!$H$9), "")</t>
  </si>
  <si>
    <t>=VLOOKUP(I136,'Shipping Program'!$A$32:$B$78,2)-1</t>
  </si>
  <si>
    <t>=O136</t>
  </si>
  <si>
    <t>=R136-7</t>
  </si>
  <si>
    <t>=IFERROR(XLOOKUP(P136,'Shipping Program'!$B$32:$B$78,'Shipping Program'!$A$32:$A$78),IFERROR(INDEX(_V7Batches!$B:$B,MATCH(P136&amp;"",_V7Batches!$A:$A,0)),""))</t>
  </si>
  <si>
    <t>=IFERROR(XLOOKUP(P136,'Shipping Program'!$B$32:$B$78,'Shipping Program'!$E$32:$E$78),IFERROR(INDEX(_V7Batches!$D:$D,MATCH(P136&amp;"",_V7Batches!$A:$A,0)),""))</t>
  </si>
  <si>
    <t>=S136+'Shipping Program'!$H$9</t>
  </si>
  <si>
    <t>=IFERROR(IF(J136*T136&lt;&gt;0,J136-T136,""),"")</t>
  </si>
  <si>
    <t>=IF(U136&lt;&gt;"",IF(U136&gt;28,"Too early",IF(U136&lt;14,"Too late","")),"")</t>
  </si>
  <si>
    <t>=IF(OFFSET(X136,1,0)="",R136,OFFSET(X136,1,0))</t>
  </si>
  <si>
    <t>=IF(OFFSET(Y136,1,0)="",X136+'Shipping Program'!$F$9,OFFSET(Y136,1,0))</t>
  </si>
  <si>
    <t>=IF(OFFSET(Z136,1,0)="",Y136+'Shipping Program'!$H$9,OFFSET(Z136,1,0))</t>
  </si>
  <si>
    <t>=IFERROR(IF(J136*Z136&lt;&gt;0,J136-Z136,""),"")</t>
  </si>
  <si>
    <t>=IF(AA136&lt;&gt;"",IF(AA136&gt;28,"Too early",IF(AA136&lt;14,"Too late","")),"")</t>
  </si>
  <si>
    <t>=COUNTIF(J$3:OFFSET(J143,-1,0),"Subtotal:")+1</t>
  </si>
  <si>
    <t>=IF(OFFSET(B143,1,0)&lt;&gt;"",OFFSET(B143,1,0),"")</t>
  </si>
  <si>
    <t>=LEFT(F143,3)</t>
  </si>
  <si>
    <t>=IF(J143&lt;&gt;"",J143 - ('Shipping Program'!$D$9 + 'Shipping Program'!$F$9 + 'Shipping Program'!$H$9), "")</t>
  </si>
  <si>
    <t>=VLOOKUP(I143,'Shipping Program'!$A$32:$B$78,2)-1</t>
  </si>
  <si>
    <t>=O143</t>
  </si>
  <si>
    <t>=R143-7</t>
  </si>
  <si>
    <t>=IFERROR(XLOOKUP(P143,'Shipping Program'!$B$32:$B$78,'Shipping Program'!$A$32:$A$78),IFERROR(INDEX(_V7Batches!$B:$B,MATCH(P143&amp;"",_V7Batches!$A:$A,0)),""))</t>
  </si>
  <si>
    <t>=IFERROR(XLOOKUP(P143,'Shipping Program'!$B$32:$B$78,'Shipping Program'!$E$32:$E$78),IFERROR(INDEX(_V7Batches!$D:$D,MATCH(P143&amp;"",_V7Batches!$A:$A,0)),""))</t>
  </si>
  <si>
    <t>=S143+'Shipping Program'!$H$9</t>
  </si>
  <si>
    <t>=IFERROR(IF(J143*T143&lt;&gt;0,J143-T143,""),"")</t>
  </si>
  <si>
    <t>=IF(U143&lt;&gt;"",IF(U143&gt;28,"Too early",IF(U143&lt;14,"Too late","")),"")</t>
  </si>
  <si>
    <t>=IF(OFFSET(X143,1,0)="",R143,OFFSET(X143,1,0))</t>
  </si>
  <si>
    <t>=IF(OFFSET(Y143,1,0)="",X143+'Shipping Program'!$F$9,OFFSET(Y143,1,0))</t>
  </si>
  <si>
    <t>=IF(OFFSET(Z143,1,0)="",Y143+'Shipping Program'!$H$9,OFFSET(Z143,1,0))</t>
  </si>
  <si>
    <t>=IFERROR(IF(J143*Z143&lt;&gt;0,J143-Z143,""),"")</t>
  </si>
  <si>
    <t>=IF(AA143&lt;&gt;"",IF(AA143&gt;28,"Too early",IF(AA143&lt;14,"Too late","")),"")</t>
  </si>
  <si>
    <t>=SUMIF(A$3:OFFSET(A147,-1,0),A147,K$3:OFFSET(K147,-1,0))</t>
  </si>
  <si>
    <t>=SUMIF(A$3:OFFSET(A147,-1,0),A147,L$3:OFFSET(L147,-1,0))</t>
  </si>
  <si>
    <t>=IF(J147="Subtotal:",OFFSET(R147,-1,0),"")</t>
  </si>
  <si>
    <t>=IF(J147="Subtotal:",OFFSET(S147,-1,0),"")</t>
  </si>
  <si>
    <t>=IF(J147="Subtotal:",OFFSET(T147,-1,0),"")</t>
  </si>
  <si>
    <t>=(SUMIFS($K:$K,$J:$J,"&lt;&gt;Subtotal:",$J:$J,"&gt;"&amp;S147,$S:$S,"&lt;="&amp;S147))*24*1.3+(SUMIFS($L:$L,$J:$J,"&lt;&gt;Subtotal:",$J:$J,"&gt;"&amp;S147,$S:$S,"&lt;="&amp;S147))/3*1.3</t>
  </si>
  <si>
    <t>=(SUMIFS($K:$K,$J:$J,"&lt;&gt;Subtotal:",$J:$J,"&gt;"&amp;Y147,$Y:$Y,"&lt;="&amp;Y147))*24*1.3+(SUMIFS($L:$L,$J:$J,"&lt;&gt;Subtotal:",$J:$J,"&gt;"&amp;Y147,$Y:$Y,"&lt;="&amp;Y147))/3*1.3</t>
  </si>
  <si>
    <t>=COUNTIF(J$3:OFFSET(J150,-1,0),"Subtotal:")+1</t>
  </si>
  <si>
    <t>=IF(OFFSET(B150,1,0)&lt;&gt;"",OFFSET(B150,1,0),"")</t>
  </si>
  <si>
    <t>=LEFT(F150,3)</t>
  </si>
  <si>
    <t>=IF(J150&lt;&gt;"",J150 - ('Shipping Program'!$D$9 + 'Shipping Program'!$F$9 + 'Shipping Program'!$H$9), "")</t>
  </si>
  <si>
    <t>=VLOOKUP(I150,'Shipping Program'!$A$32:$B$78,2)-1</t>
  </si>
  <si>
    <t>=O150</t>
  </si>
  <si>
    <t>=R150-7</t>
  </si>
  <si>
    <t>=IFERROR(XLOOKUP(P150,'Shipping Program'!$B$32:$B$78,'Shipping Program'!$A$32:$A$78),IFERROR(INDEX(_V7Batches!$B:$B,MATCH(P150&amp;"",_V7Batches!$A:$A,0)),""))</t>
  </si>
  <si>
    <t>=IFERROR(XLOOKUP(P150,'Shipping Program'!$B$32:$B$78,'Shipping Program'!$E$32:$E$78),IFERROR(INDEX(_V7Batches!$D:$D,MATCH(P150&amp;"",_V7Batches!$A:$A,0)),""))</t>
  </si>
  <si>
    <t>=S150+'Shipping Program'!$H$9</t>
  </si>
  <si>
    <t>=IFERROR(IF(J150*T150&lt;&gt;0,J150-T150,""),"")</t>
  </si>
  <si>
    <t>=IF(U150&lt;&gt;"",IF(U150&gt;28,"Too early",IF(U150&lt;14,"Too late","")),"")</t>
  </si>
  <si>
    <t>=IF(OFFSET(X150,1,0)="",R150,OFFSET(X150,1,0))</t>
  </si>
  <si>
    <t>=IF(OFFSET(Y150,1,0)="",X150+'Shipping Program'!$F$9,OFFSET(Y150,1,0))</t>
  </si>
  <si>
    <t>=IF(OFFSET(Z150,1,0)="",Y150+'Shipping Program'!$H$9,OFFSET(Z150,1,0))</t>
  </si>
  <si>
    <t>=IFERROR(IF(J150*Z150&lt;&gt;0,J150-Z150,""),"")</t>
  </si>
  <si>
    <t>=IF(AA150&lt;&gt;"",IF(AA150&gt;28,"Too early",IF(AA150&lt;14,"Too late","")),"")</t>
  </si>
  <si>
    <t>=SUMIF(A$3:OFFSET(A154,-1,0),A154,K$3:OFFSET(K154,-1,0))</t>
  </si>
  <si>
    <t>=SUMIF(A$3:OFFSET(A154,-1,0),A154,L$3:OFFSET(L154,-1,0))</t>
  </si>
  <si>
    <t>=IF(J154="Subtotal:",OFFSET(R154,-1,0),"")</t>
  </si>
  <si>
    <t>=IF(J154="Subtotal:",OFFSET(S154,-1,0),"")</t>
  </si>
  <si>
    <t>=IF(J154="Subtotal:",OFFSET(T154,-1,0),"")</t>
  </si>
  <si>
    <t>=(SUMIFS($K:$K,$J:$J,"&lt;&gt;Subtotal:",$J:$J,"&gt;"&amp;S154,$S:$S,"&lt;="&amp;S154))*24*1.3+(SUMIFS($L:$L,$J:$J,"&lt;&gt;Subtotal:",$J:$J,"&gt;"&amp;S154,$S:$S,"&lt;="&amp;S154))/3*1.3</t>
  </si>
  <si>
    <t>=(SUMIFS($K:$K,$J:$J,"&lt;&gt;Subtotal:",$J:$J,"&gt;"&amp;Y154,$Y:$Y,"&lt;="&amp;Y154))*24*1.3+(SUMIFS($L:$L,$J:$J,"&lt;&gt;Subtotal:",$J:$J,"&gt;"&amp;Y154,$Y:$Y,"&lt;="&amp;Y154))/3*1.3</t>
  </si>
  <si>
    <t>=COUNTIF(J$3:OFFSET(J157,-1,0),"Subtotal:")+1</t>
  </si>
  <si>
    <t>=IF(OFFSET(B157,1,0)&lt;&gt;"",OFFSET(B157,1,0),"")</t>
  </si>
  <si>
    <t>=LEFT(F157,3)</t>
  </si>
  <si>
    <t>=IF(J157&lt;&gt;"",J157 - ('Shipping Program'!$D$9 + 'Shipping Program'!$F$9 + 'Shipping Program'!$H$9), "")</t>
  </si>
  <si>
    <t>=VLOOKUP(I157,'Shipping Program'!$A$32:$B$78,2)-1</t>
  </si>
  <si>
    <t>=O157</t>
  </si>
  <si>
    <t>=R157-7</t>
  </si>
  <si>
    <t>=IFERROR(XLOOKUP(P157,'Shipping Program'!$B$32:$B$78,'Shipping Program'!$A$32:$A$78),IFERROR(INDEX(_V7Batches!$B:$B,MATCH(P157&amp;"",_V7Batches!$A:$A,0)),""))</t>
  </si>
  <si>
    <t>=IFERROR(XLOOKUP(P157,'Shipping Program'!$B$32:$B$78,'Shipping Program'!$E$32:$E$78),IFERROR(INDEX(_V7Batches!$D:$D,MATCH(P157&amp;"",_V7Batches!$A:$A,0)),""))</t>
  </si>
  <si>
    <t>=S157+'Shipping Program'!$H$9</t>
  </si>
  <si>
    <t>=IFERROR(IF(J157*T157&lt;&gt;0,J157-T157,""),"")</t>
  </si>
  <si>
    <t>=IF(U157&lt;&gt;"",IF(U157&gt;28,"Too early",IF(U157&lt;14,"Too late","")),"")</t>
  </si>
  <si>
    <t>=IF(OFFSET(X157,1,0)="",R157,OFFSET(X157,1,0))</t>
  </si>
  <si>
    <t>=IF(OFFSET(Y157,1,0)="",X157+'Shipping Program'!$F$9,OFFSET(Y157,1,0))</t>
  </si>
  <si>
    <t>=IF(OFFSET(Z157,1,0)="",Y157+'Shipping Program'!$H$9,OFFSET(Z157,1,0))</t>
  </si>
  <si>
    <t>=IFERROR(IF(J157*Z157&lt;&gt;0,J157-Z157,""),"")</t>
  </si>
  <si>
    <t>=IF(AA157&lt;&gt;"",IF(AA157&gt;28,"Too early",IF(AA157&lt;14,"Too late","")),"")</t>
  </si>
  <si>
    <t>=COUNTIF(J$3:OFFSET(J164,-1,0),"Subtotal:")+1</t>
  </si>
  <si>
    <t>=IF(OFFSET(B164,1,0)&lt;&gt;"",OFFSET(B164,1,0),"")</t>
  </si>
  <si>
    <t>=LEFT(F164,3)</t>
  </si>
  <si>
    <t>=IF(J164&lt;&gt;"",J164 - ('Shipping Program'!$D$9 + 'Shipping Program'!$F$9 + 'Shipping Program'!$H$9), "")</t>
  </si>
  <si>
    <t>=VLOOKUP(I164,'Shipping Program'!$A$32:$B$78,2)-1</t>
  </si>
  <si>
    <t>=O164</t>
  </si>
  <si>
    <t>=R164-7</t>
  </si>
  <si>
    <t>=IFERROR(XLOOKUP(P164,'Shipping Program'!$B$32:$B$78,'Shipping Program'!$A$32:$A$78),IFERROR(INDEX(_V7Batches!$B:$B,MATCH(P164&amp;"",_V7Batches!$A:$A,0)),""))</t>
  </si>
  <si>
    <t>=IFERROR(XLOOKUP(P164,'Shipping Program'!$B$32:$B$78,'Shipping Program'!$E$32:$E$78),IFERROR(INDEX(_V7Batches!$D:$D,MATCH(P164&amp;"",_V7Batches!$A:$A,0)),""))</t>
  </si>
  <si>
    <t>=S164+'Shipping Program'!$H$9</t>
  </si>
  <si>
    <t>=IFERROR(IF(J164*T164&lt;&gt;0,J164-T164,""),"")</t>
  </si>
  <si>
    <t>=IF(U164&lt;&gt;"",IF(U164&gt;28,"Too early",IF(U164&lt;14,"Too late","")),"")</t>
  </si>
  <si>
    <t>=IF(OFFSET(X164,1,0)="",R164,OFFSET(X164,1,0))</t>
  </si>
  <si>
    <t>=IF(OFFSET(Y164,1,0)="",X164+'Shipping Program'!$F$9,OFFSET(Y164,1,0))</t>
  </si>
  <si>
    <t>=IF(OFFSET(Z164,1,0)="",Y164+'Shipping Program'!$H$9,OFFSET(Z164,1,0))</t>
  </si>
  <si>
    <t>=IFERROR(IF(J164*Z164&lt;&gt;0,J164-Z164,""),"")</t>
  </si>
  <si>
    <t>=IF(AA164&lt;&gt;"",IF(AA164&gt;28,"Too early",IF(AA164&lt;14,"Too late","")),"")</t>
  </si>
  <si>
    <t>=COUNTIF(J$3:OFFSET(J170,-1,0),"Subtotal:")+1</t>
  </si>
  <si>
    <t>=IF(OFFSET(B170,1,0)&lt;&gt;"",OFFSET(B170,1,0),"")</t>
  </si>
  <si>
    <t>=LEFT(F170,3)</t>
  </si>
  <si>
    <t>=IF(J170&lt;&gt;"",J170 - ('Shipping Program'!$D$9 + 'Shipping Program'!$F$9 + 'Shipping Program'!$H$9), "")</t>
  </si>
  <si>
    <t>=IF(SUM(M170:N170)=0,"",SUM(M170:N170))</t>
  </si>
  <si>
    <t>=VLOOKUP(I170,'Shipping Program'!$A$32:$B$78,2)-1</t>
  </si>
  <si>
    <t>=O170</t>
  </si>
  <si>
    <t>=R170-7</t>
  </si>
  <si>
    <t>=IFERROR(XLOOKUP(P170,'Shipping Program'!$B$32:$B$78,'Shipping Program'!$A$32:$A$78),IFERROR(INDEX(_V7Batches!$B:$B,MATCH(P170&amp;"",_V7Batches!$A:$A,0)),""))</t>
  </si>
  <si>
    <t>=IFERROR(XLOOKUP(P170,'Shipping Program'!$B$32:$B$78,'Shipping Program'!$E$32:$E$78),IFERROR(INDEX(_V7Batches!$D:$D,MATCH(P170&amp;"",_V7Batches!$A:$A,0)),""))</t>
  </si>
  <si>
    <t>=S170+'Shipping Program'!$H$9</t>
  </si>
  <si>
    <t>=IFERROR(IF(J170*T170&lt;&gt;0,J170-T170,""),"")</t>
  </si>
  <si>
    <t>=IF(U170&lt;&gt;"",IF(U170&gt;28,"Too early",IF(U170&lt;14,"Too late","")),"")</t>
  </si>
  <si>
    <t>=IF(OFFSET(X170,1,0)="",R170,OFFSET(X170,1,0))</t>
  </si>
  <si>
    <t>=IF(OFFSET(Y170,1,0)="",X170+'Shipping Program'!$F$9,OFFSET(Y170,1,0))</t>
  </si>
  <si>
    <t>=IF(OFFSET(Z170,1,0)="",Y170+'Shipping Program'!$H$9,OFFSET(Z170,1,0))</t>
  </si>
  <si>
    <t>=IFERROR(IF(J170*Z170&lt;&gt;0,J170-Z170,""),"")</t>
  </si>
  <si>
    <t>=IF(AA170&lt;&gt;"",IF(AA170&gt;28,"Too early",IF(AA170&lt;14,"Too late","")),"")</t>
  </si>
  <si>
    <t>=IF(AI170="","",AI170*AJ170*AK170/1000/1000/1000)</t>
  </si>
  <si>
    <t>=SUMIF(A$3:OFFSET(A171,-1,0),A171,K$3:OFFSET(K171,-1,0))</t>
  </si>
  <si>
    <t>=SUMIF(A$3:OFFSET(A171,-1,0),A171,L$3:OFFSET(L171,-1,0))</t>
  </si>
  <si>
    <t>=IF(J171="Subtotal:",OFFSET(R171,-1,0),"")</t>
  </si>
  <si>
    <t>=IF(J171="Subtotal:",OFFSET(S171,-1,0),"")</t>
  </si>
  <si>
    <t>=IF(J171="Subtotal:",OFFSET(T171,-1,0),"")</t>
  </si>
  <si>
    <t>=(SUMIFS($K:$K,$J:$J,"&lt;&gt;Subtotal:",$J:$J,"&gt;"&amp;S171,$S:$S,"&lt;="&amp;S171))*24*1.3+(SUMIFS($L:$L,$J:$J,"&lt;&gt;Subtotal:",$J:$J,"&gt;"&amp;S171,$S:$S,"&lt;="&amp;S171))/3*1.3</t>
  </si>
  <si>
    <t>=(SUMIFS($K:$K,$J:$J,"&lt;&gt;Subtotal:",$J:$J,"&gt;"&amp;Y171,$Y:$Y,"&lt;="&amp;Y171))*24*1.3+(SUMIFS($L:$L,$J:$J,"&lt;&gt;Subtotal:",$J:$J,"&gt;"&amp;Y171,$Y:$Y,"&lt;="&amp;Y171))/3*1.3</t>
  </si>
  <si>
    <t>=COUNTIF(J$3:OFFSET(J183,-1,0),"Subtotal:")+1</t>
  </si>
  <si>
    <t>=IF(OFFSET(B183,1,0)&lt;&gt;"",OFFSET(B183,1,0),"")</t>
  </si>
  <si>
    <t>=LEFT(F183,3)</t>
  </si>
  <si>
    <t>=IF(J183&lt;&gt;"",J183 - ('Shipping Program'!$D$9 + 'Shipping Program'!$F$9 + 'Shipping Program'!$H$9), "")</t>
  </si>
  <si>
    <t>=VLOOKUP(I183,'Shipping Program'!$A$32:$B$78,2)-1</t>
  </si>
  <si>
    <t>=O183</t>
  </si>
  <si>
    <t>=R183-7</t>
  </si>
  <si>
    <t>=IFERROR(XLOOKUP(P183,'Shipping Program'!$B$32:$B$78,'Shipping Program'!$A$32:$A$78),IFERROR(INDEX(_V7Batches!$B:$B,MATCH(P183&amp;"",_V7Batches!$A:$A,0)),""))</t>
  </si>
  <si>
    <t>=IFERROR(XLOOKUP(P183,'Shipping Program'!$B$32:$B$78,'Shipping Program'!$E$32:$E$78),IFERROR(INDEX(_V7Batches!$D:$D,MATCH(P183&amp;"",_V7Batches!$A:$A,0)),""))</t>
  </si>
  <si>
    <t>=S183+'Shipping Program'!$H$9</t>
  </si>
  <si>
    <t>=IFERROR(IF(J183*T183&lt;&gt;0,J183-T183,""),"")</t>
  </si>
  <si>
    <t>=IF(U183&lt;&gt;"",IF(U183&gt;28,"Too early",IF(U183&lt;14,"Too late","")),"")</t>
  </si>
  <si>
    <t>=IF(OFFSET(X183,1,0)="",R183,OFFSET(X183,1,0))</t>
  </si>
  <si>
    <t>=IF(OFFSET(Y183,1,0)="",X183+'Shipping Program'!$F$9,OFFSET(Y183,1,0))</t>
  </si>
  <si>
    <t>=IF(OFFSET(Z183,1,0)="",Y183+'Shipping Program'!$H$9,OFFSET(Z183,1,0))</t>
  </si>
  <si>
    <t>=IFERROR(IF(J183*Z183&lt;&gt;0,J183-Z183,""),"")</t>
  </si>
  <si>
    <t>=IF(AA183&lt;&gt;"",IF(AA183&gt;28,"Too early",IF(AA183&lt;14,"Too late","")),"")</t>
  </si>
  <si>
    <t>=COUNTIF(J$3:OFFSET(J189,-1,0),"Subtotal:")+1</t>
  </si>
  <si>
    <t>=IF(OFFSET(B189,1,0)&lt;&gt;"",OFFSET(B189,1,0),"")</t>
  </si>
  <si>
    <t>=LEFT(F189,3)</t>
  </si>
  <si>
    <t>=IF(J189&lt;&gt;"",J189 - ('Shipping Program'!$D$9 + 'Shipping Program'!$F$9 + 'Shipping Program'!$H$9), "")</t>
  </si>
  <si>
    <t>=IF(SUM(M189:N189)=0,"",SUM(M189:N189))</t>
  </si>
  <si>
    <t>=VLOOKUP(I189,'Shipping Program'!$A$32:$B$78,2)-1</t>
  </si>
  <si>
    <t>=O189</t>
  </si>
  <si>
    <t>=R189-7</t>
  </si>
  <si>
    <t>=IFERROR(XLOOKUP(P189,'Shipping Program'!$B$32:$B$78,'Shipping Program'!$A$32:$A$78),IFERROR(INDEX(_V7Batches!$B:$B,MATCH(P189&amp;"",_V7Batches!$A:$A,0)),""))</t>
  </si>
  <si>
    <t>=IFERROR(XLOOKUP(P189,'Shipping Program'!$B$32:$B$78,'Shipping Program'!$E$32:$E$78),IFERROR(INDEX(_V7Batches!$D:$D,MATCH(P189&amp;"",_V7Batches!$A:$A,0)),""))</t>
  </si>
  <si>
    <t>=S189+'Shipping Program'!$H$9</t>
  </si>
  <si>
    <t>=IFERROR(IF(J189*T189&lt;&gt;0,J189-T189,""),"")</t>
  </si>
  <si>
    <t>=IF(U189&lt;&gt;"",IF(U189&gt;28,"Too early",IF(U189&lt;14,"Too late","")),"")</t>
  </si>
  <si>
    <t>=IF(OFFSET(X189,1,0)="",R189,OFFSET(X189,1,0))</t>
  </si>
  <si>
    <t>=IF(OFFSET(Y189,1,0)="",X189+'Shipping Program'!$F$9,OFFSET(Y189,1,0))</t>
  </si>
  <si>
    <t>=IF(OFFSET(Z189,1,0)="",Y189+'Shipping Program'!$H$9,OFFSET(Z189,1,0))</t>
  </si>
  <si>
    <t>=IFERROR(IF(J189*Z189&lt;&gt;0,J189-Z189,""),"")</t>
  </si>
  <si>
    <t>=IF(AA189&lt;&gt;"",IF(AA189&gt;28,"Too early",IF(AA189&lt;14,"Too late","")),"")</t>
  </si>
  <si>
    <t>=IF(AI189="","",AI189*AJ189*AK189/1000/1000/1000)</t>
  </si>
  <si>
    <t>=SUMIF(A$3:OFFSET(A192,-1,0),A192,K$3:OFFSET(K192,-1,0))</t>
  </si>
  <si>
    <t>=SUMIF(A$3:OFFSET(A192,-1,0),A192,L$3:OFFSET(L192,-1,0))</t>
  </si>
  <si>
    <t>=IF(J192="Subtotal:",OFFSET(R192,-1,0),"")</t>
  </si>
  <si>
    <t>=IF(J192="Subtotal:",OFFSET(S192,-1,0),"")</t>
  </si>
  <si>
    <t>=IF(J192="Subtotal:",OFFSET(T192,-1,0),"")</t>
  </si>
  <si>
    <t>=(SUMIFS($K:$K,$J:$J,"&lt;&gt;Subtotal:",$J:$J,"&gt;"&amp;S192,$S:$S,"&lt;="&amp;S192))*24*1.3+(SUMIFS($L:$L,$J:$J,"&lt;&gt;Subtotal:",$J:$J,"&gt;"&amp;S192,$S:$S,"&lt;="&amp;S192))/3*1.3</t>
  </si>
  <si>
    <t>=(SUMIFS($K:$K,$J:$J,"&lt;&gt;Subtotal:",$J:$J,"&gt;"&amp;Y192,$Y:$Y,"&lt;="&amp;Y192))*24*1.3+(SUMIFS($L:$L,$J:$J,"&lt;&gt;Subtotal:",$J:$J,"&gt;"&amp;Y192,$Y:$Y,"&lt;="&amp;Y192))/3*1.3</t>
  </si>
  <si>
    <t>=COUNTIF(J$3:OFFSET(J195,-1,0),"Subtotal:")+1</t>
  </si>
  <si>
    <t>=IF(OFFSET(B195,1,0)&lt;&gt;"",OFFSET(B195,1,0),"")</t>
  </si>
  <si>
    <t>=LEFT(F195,3)</t>
  </si>
  <si>
    <t>=IF(J195&lt;&gt;"",J195 - ('Shipping Program'!$D$9 + 'Shipping Program'!$F$9 + 'Shipping Program'!$H$9), "")</t>
  </si>
  <si>
    <t>=IF(SUM(M195:N195)=0,"",SUM(M195:N195))</t>
  </si>
  <si>
    <t>=VLOOKUP(I195,'Shipping Program'!$A$32:$B$78,2)-1</t>
  </si>
  <si>
    <t>=O195</t>
  </si>
  <si>
    <t>=R195-7</t>
  </si>
  <si>
    <t>=IFERROR(XLOOKUP(P195,'Shipping Program'!$B$32:$B$78,'Shipping Program'!$A$32:$A$78),IFERROR(INDEX(_V7Batches!$B:$B,MATCH(P195&amp;"",_V7Batches!$A:$A,0)),""))</t>
  </si>
  <si>
    <t>=IFERROR(XLOOKUP(P195,'Shipping Program'!$B$32:$B$78,'Shipping Program'!$E$32:$E$78),IFERROR(INDEX(_V7Batches!$D:$D,MATCH(P195&amp;"",_V7Batches!$A:$A,0)),""))</t>
  </si>
  <si>
    <t>=S195+'Shipping Program'!$H$9</t>
  </si>
  <si>
    <t>=IFERROR(IF(J195*T195&lt;&gt;0,J195-T195,""),"")</t>
  </si>
  <si>
    <t>=IF(U195&lt;&gt;"",IF(U195&gt;28,"Too early",IF(U195&lt;14,"Too late","")),"")</t>
  </si>
  <si>
    <t>=IF(OFFSET(X195,1,0)="",R195,OFFSET(X195,1,0))</t>
  </si>
  <si>
    <t>=IF(OFFSET(Y195,1,0)="",X195+'Shipping Program'!$F$9,OFFSET(Y195,1,0))</t>
  </si>
  <si>
    <t>=IF(OFFSET(Z195,1,0)="",Y195+'Shipping Program'!$H$9,OFFSET(Z195,1,0))</t>
  </si>
  <si>
    <t>=IFERROR(IF(J195*Z195&lt;&gt;0,J195-Z195,""),"")</t>
  </si>
  <si>
    <t>=IF(AA195&lt;&gt;"",IF(AA195&gt;28,"Too early",IF(AA195&lt;14,"Too late","")),"")</t>
  </si>
  <si>
    <t>=IF(AI195="","",AI195*AJ195*AK195/1000/1000/1000)</t>
  </si>
  <si>
    <t>=COUNTIF(J$3:OFFSET(J201,-1,0),"Subtotal:")+1</t>
  </si>
  <si>
    <t>=IF(OFFSET(B201,1,0)&lt;&gt;"",OFFSET(B201,1,0),"")</t>
  </si>
  <si>
    <t>=LEFT(F201,3)</t>
  </si>
  <si>
    <t>=IF(J201&lt;&gt;"",J201 - ('Shipping Program'!$D$9 + 'Shipping Program'!$F$9 + 'Shipping Program'!$H$9), "")</t>
  </si>
  <si>
    <t>=IF(SUM(M201:N201)=0,"",SUM(M201:N201))</t>
  </si>
  <si>
    <t>=VLOOKUP(I201,'Shipping Program'!$A$32:$B$78,2)-1</t>
  </si>
  <si>
    <t>=O201</t>
  </si>
  <si>
    <t>=R201-7</t>
  </si>
  <si>
    <t>=IFERROR(XLOOKUP(P201,'Shipping Program'!$B$32:$B$78,'Shipping Program'!$A$32:$A$78),IFERROR(INDEX(_V7Batches!$B:$B,MATCH(P201&amp;"",_V7Batches!$A:$A,0)),""))</t>
  </si>
  <si>
    <t>=IFERROR(XLOOKUP(P201,'Shipping Program'!$B$32:$B$78,'Shipping Program'!$E$32:$E$78),IFERROR(INDEX(_V7Batches!$D:$D,MATCH(P201&amp;"",_V7Batches!$A:$A,0)),""))</t>
  </si>
  <si>
    <t>=S201+'Shipping Program'!$H$9</t>
  </si>
  <si>
    <t>=IFERROR(IF(J201*T201&lt;&gt;0,J201-T201,""),"")</t>
  </si>
  <si>
    <t>=IF(U201&lt;&gt;"",IF(U201&gt;28,"Too early",IF(U201&lt;14,"Too late","")),"")</t>
  </si>
  <si>
    <t>=IF(OFFSET(X201,1,0)="",R201,OFFSET(X201,1,0))</t>
  </si>
  <si>
    <t>=IF(OFFSET(Y201,1,0)="",X201+'Shipping Program'!$F$9,OFFSET(Y201,1,0))</t>
  </si>
  <si>
    <t>=IF(OFFSET(Z201,1,0)="",Y201+'Shipping Program'!$H$9,OFFSET(Z201,1,0))</t>
  </si>
  <si>
    <t>=IFERROR(IF(J201*Z201&lt;&gt;0,J201-Z201,""),"")</t>
  </si>
  <si>
    <t>=IF(AA201&lt;&gt;"",IF(AA201&gt;28,"Too early",IF(AA201&lt;14,"Too late","")),"")</t>
  </si>
  <si>
    <t>=IF(AI201="","",AI201*AJ201*AK201/1000/1000/1000)</t>
  </si>
  <si>
    <t>=SUMIF(A$3:OFFSET(A203,-1,0),A203,K$3:OFFSET(K203,-1,0))</t>
  </si>
  <si>
    <t>=SUMIF(A$3:OFFSET(A203,-1,0),A203,L$3:OFFSET(L203,-1,0))</t>
  </si>
  <si>
    <t>=IF(J203="Subtotal:",OFFSET(R203,-1,0),"")</t>
  </si>
  <si>
    <t>=IF(J203="Subtotal:",OFFSET(S203,-1,0),"")</t>
  </si>
  <si>
    <t>=IF(J203="Subtotal:",OFFSET(T203,-1,0),"")</t>
  </si>
  <si>
    <t>=(SUMIFS($K:$K,$J:$J,"&lt;&gt;Subtotal:",$J:$J,"&gt;"&amp;S203,$S:$S,"&lt;="&amp;S203))*24*1.3+(SUMIFS($L:$L,$J:$J,"&lt;&gt;Subtotal:",$J:$J,"&gt;"&amp;S203,$S:$S,"&lt;="&amp;S203))/3*1.3</t>
  </si>
  <si>
    <t>=(SUMIFS($K:$K,$J:$J,"&lt;&gt;Subtotal:",$J:$J,"&gt;"&amp;Y203,$Y:$Y,"&lt;="&amp;Y203))*24*1.3+(SUMIFS($L:$L,$J:$J,"&lt;&gt;Subtotal:",$J:$J,"&gt;"&amp;Y203,$Y:$Y,"&lt;="&amp;Y203))/3*1.3</t>
  </si>
  <si>
    <t>=COUNTIF(J$3:OFFSET(J205,-1,0),"Subtotal:")+1</t>
  </si>
  <si>
    <t>=IF(OFFSET(B205,1,0)&lt;&gt;"",OFFSET(B205,1,0),"")</t>
  </si>
  <si>
    <t>=LEFT(F205,3)</t>
  </si>
  <si>
    <t>=IF(J205&lt;&gt;"",J205 - ('Shipping Program'!$D$9 + 'Shipping Program'!$F$9 + 'Shipping Program'!$H$9), "")</t>
  </si>
  <si>
    <t>=IF(SUM(M205:N205)=0,"",SUM(M205:N205))</t>
  </si>
  <si>
    <t>=VLOOKUP(I205,'Shipping Program'!$A$32:$B$78,2)-1</t>
  </si>
  <si>
    <t>=O205</t>
  </si>
  <si>
    <t>=R205-7</t>
  </si>
  <si>
    <t>=IFERROR(XLOOKUP(P205,'Shipping Program'!$B$32:$B$78,'Shipping Program'!$A$32:$A$78),IFERROR(INDEX(_V7Batches!$B:$B,MATCH(P205&amp;"",_V7Batches!$A:$A,0)),""))</t>
  </si>
  <si>
    <t>=IFERROR(XLOOKUP(P205,'Shipping Program'!$B$32:$B$78,'Shipping Program'!$E$32:$E$78),IFERROR(INDEX(_V7Batches!$D:$D,MATCH(P205&amp;"",_V7Batches!$A:$A,0)),""))</t>
  </si>
  <si>
    <t>=S205+'Shipping Program'!$H$9</t>
  </si>
  <si>
    <t>=IFERROR(IF(J205*T205&lt;&gt;0,J205-T205,""),"")</t>
  </si>
  <si>
    <t>=IF(U205&lt;&gt;"",IF(U205&gt;28,"Too early",IF(U205&lt;14,"Too late","")),"")</t>
  </si>
  <si>
    <t>=IF(OFFSET(X205,1,0)="",R205,OFFSET(X205,1,0))</t>
  </si>
  <si>
    <t>=IF(OFFSET(Y205,1,0)="",X205+'Shipping Program'!$F$9,OFFSET(Y205,1,0))</t>
  </si>
  <si>
    <t>=IF(OFFSET(Z205,1,0)="",Y205+'Shipping Program'!$H$9,OFFSET(Z205,1,0))</t>
  </si>
  <si>
    <t>=IFERROR(IF(J205*Z205&lt;&gt;0,J205-Z205,""),"")</t>
  </si>
  <si>
    <t>=IF(AA205&lt;&gt;"",IF(AA205&gt;28,"Too early",IF(AA205&lt;14,"Too late","")),"")</t>
  </si>
  <si>
    <t>=IF(AI205="","",AI205*AJ205*AK205/1000/1000/1000)</t>
  </si>
  <si>
    <t>=SUMIF(A$3:OFFSET(A210,-1,0),A210,K$3:OFFSET(K210,-1,0))</t>
  </si>
  <si>
    <t>=SUMIF(A$3:OFFSET(A210,-1,0),A210,L$3:OFFSET(L210,-1,0))</t>
  </si>
  <si>
    <t>=IF(J210="Subtotal:",OFFSET(R210,-1,0),"")</t>
  </si>
  <si>
    <t>=IF(J210="Subtotal:",OFFSET(S210,-1,0),"")</t>
  </si>
  <si>
    <t>=IF(J210="Subtotal:",OFFSET(T210,-1,0),"")</t>
  </si>
  <si>
    <t>=(SUMIFS($K:$K,$J:$J,"&lt;&gt;Subtotal:",$J:$J,"&gt;"&amp;S210,$S:$S,"&lt;="&amp;S210))*24*1.3+(SUMIFS($L:$L,$J:$J,"&lt;&gt;Subtotal:",$J:$J,"&gt;"&amp;S210,$S:$S,"&lt;="&amp;S210))/3*1.3</t>
  </si>
  <si>
    <t>=(SUMIFS($K:$K,$J:$J,"&lt;&gt;Subtotal:",$J:$J,"&gt;"&amp;Y210,$Y:$Y,"&lt;="&amp;Y210))*24*1.3+(SUMIFS($L:$L,$J:$J,"&lt;&gt;Subtotal:",$J:$J,"&gt;"&amp;Y210,$Y:$Y,"&lt;="&amp;Y210))/3*1.3</t>
  </si>
  <si>
    <t>=COUNTIF(J$3:OFFSET(J211,-1,0),"Subtotal:")+1</t>
  </si>
  <si>
    <t>=IF(OFFSET(B211,1,0)&lt;&gt;"",OFFSET(B211,1,0),"")</t>
  </si>
  <si>
    <t>=LEFT(F211,3)</t>
  </si>
  <si>
    <t>=IF(J211&lt;&gt;"",J211 - ('Shipping Program'!$D$9 + 'Shipping Program'!$F$9 + 'Shipping Program'!$H$9), "")</t>
  </si>
  <si>
    <t>=IF(SUM(M211:N211)=0,"",SUM(M211:N211))</t>
  </si>
  <si>
    <t>=VLOOKUP(I211,'Shipping Program'!$A$32:$B$78,2)-1</t>
  </si>
  <si>
    <t>=O211</t>
  </si>
  <si>
    <t>=R211-7</t>
  </si>
  <si>
    <t>=IFERROR(XLOOKUP(P211,'Shipping Program'!$B$32:$B$78,'Shipping Program'!$A$32:$A$78),IFERROR(INDEX(_V7Batches!$B:$B,MATCH(P211&amp;"",_V7Batches!$A:$A,0)),""))</t>
  </si>
  <si>
    <t>=IFERROR(XLOOKUP(P211,'Shipping Program'!$B$32:$B$78,'Shipping Program'!$E$32:$E$78),IFERROR(INDEX(_V7Batches!$D:$D,MATCH(P211&amp;"",_V7Batches!$A:$A,0)),""))</t>
  </si>
  <si>
    <t>=S211+'Shipping Program'!$H$9</t>
  </si>
  <si>
    <t>=IFERROR(IF(J211*T211&lt;&gt;0,J211-T211,""),"")</t>
  </si>
  <si>
    <t>=IF(U211&lt;&gt;"",IF(U211&gt;28,"Too early",IF(U211&lt;14,"Too late","")),"")</t>
  </si>
  <si>
    <t>=IF(OFFSET(X211,1,0)="",R211,OFFSET(X211,1,0))</t>
  </si>
  <si>
    <t>=IF(OFFSET(Y211,1,0)="",X211+'Shipping Program'!$F$9,OFFSET(Y211,1,0))</t>
  </si>
  <si>
    <t>=IF(OFFSET(Z211,1,0)="",Y211+'Shipping Program'!$H$9,OFFSET(Z211,1,0))</t>
  </si>
  <si>
    <t>=IFERROR(IF(J211*Z211&lt;&gt;0,J211-Z211,""),"")</t>
  </si>
  <si>
    <t>=IF(AA211&lt;&gt;"",IF(AA211&gt;28,"Too early",IF(AA211&lt;14,"Too late","")),"")</t>
  </si>
  <si>
    <t>=IF(AI211="","",AI211*AJ211*AK211/1000/1000/1000)</t>
  </si>
  <si>
    <t>=SUMIF(A$3:OFFSET(A213,-1,0),A213,K$3:OFFSET(K213,-1,0))</t>
  </si>
  <si>
    <t>=SUMIF(A$3:OFFSET(A213,-1,0),A213,L$3:OFFSET(L213,-1,0))</t>
  </si>
  <si>
    <t>=IF(J213="Subtotal:",OFFSET(R213,-1,0),"")</t>
  </si>
  <si>
    <t>=IF(J213="Subtotal:",OFFSET(S213,-1,0),"")</t>
  </si>
  <si>
    <t>=IF(J213="Subtotal:",OFFSET(T213,-1,0),"")</t>
  </si>
  <si>
    <t>=(SUMIFS($K:$K,$J:$J,"&lt;&gt;Subtotal:",$J:$J,"&gt;"&amp;S213,$S:$S,"&lt;="&amp;S213))*24*1.3+(SUMIFS($L:$L,$J:$J,"&lt;&gt;Subtotal:",$J:$J,"&gt;"&amp;S213,$S:$S,"&lt;="&amp;S213))/3*1.3</t>
  </si>
  <si>
    <t>=(SUMIFS($K:$K,$J:$J,"&lt;&gt;Subtotal:",$J:$J,"&gt;"&amp;Y213,$Y:$Y,"&lt;="&amp;Y213))*24*1.3+(SUMIFS($L:$L,$J:$J,"&lt;&gt;Subtotal:",$J:$J,"&gt;"&amp;Y213,$Y:$Y,"&lt;="&amp;Y213))/3*1.3</t>
  </si>
  <si>
    <t>=SUMIF(A$3:OFFSET(A216,-1,0),A216,K$3:OFFSET(K216,-1,0))</t>
  </si>
  <si>
    <t>=SUMIF(A$3:OFFSET(A216,-1,0),A216,L$3:OFFSET(L216,-1,0))</t>
  </si>
  <si>
    <t>=IF(J216="Subtotal:",OFFSET(R216,-1,0),"")</t>
  </si>
  <si>
    <t>=IF(J216="Subtotal:",OFFSET(S216,-1,0),"")</t>
  </si>
  <si>
    <t>=IF(J216="Subtotal:",OFFSET(T216,-1,0),"")</t>
  </si>
  <si>
    <t>=(SUMIFS($K:$K,$J:$J,"&lt;&gt;Subtotal:",$J:$J,"&gt;"&amp;S216,$S:$S,"&lt;="&amp;S216))*24*1.3+(SUMIFS($L:$L,$J:$J,"&lt;&gt;Subtotal:",$J:$J,"&gt;"&amp;S216,$S:$S,"&lt;="&amp;S216))/3*1.3</t>
  </si>
  <si>
    <t>=(SUMIFS($K:$K,$J:$J,"&lt;&gt;Subtotal:",$J:$J,"&gt;"&amp;Y216,$Y:$Y,"&lt;="&amp;Y216))*24*1.3+(SUMIFS($L:$L,$J:$J,"&lt;&gt;Subtotal:",$J:$J,"&gt;"&amp;Y216,$Y:$Y,"&lt;="&amp;Y216))/3*1.3</t>
  </si>
  <si>
    <t>=COUNTIF(J$3:OFFSET(J217,-1,0),"Subtotal:")+1</t>
  </si>
  <si>
    <t>=IF(OFFSET(B217,1,0)&lt;&gt;"",OFFSET(B217,1,0),"")</t>
  </si>
  <si>
    <t>=LEFT(F217,3)</t>
  </si>
  <si>
    <t>=IF(J217&lt;&gt;"",J217 - ('Shipping Program'!$D$9 + 'Shipping Program'!$F$9 + 'Shipping Program'!$H$9), "")</t>
  </si>
  <si>
    <t>=IF(SUM(M217:N217)=0,"",SUM(M217:N217))</t>
  </si>
  <si>
    <t>=VLOOKUP(I217,'Shipping Program'!$A$32:$B$78,2)-1</t>
  </si>
  <si>
    <t>=O217</t>
  </si>
  <si>
    <t>=R217-7</t>
  </si>
  <si>
    <t>=IFERROR(XLOOKUP(P217,'Shipping Program'!$B$32:$B$78,'Shipping Program'!$A$32:$A$78),IFERROR(INDEX(_V7Batches!$B:$B,MATCH(P217&amp;"",_V7Batches!$A:$A,0)),""))</t>
  </si>
  <si>
    <t>=IFERROR(XLOOKUP(P217,'Shipping Program'!$B$32:$B$78,'Shipping Program'!$E$32:$E$78),IFERROR(INDEX(_V7Batches!$D:$D,MATCH(P217&amp;"",_V7Batches!$A:$A,0)),""))</t>
  </si>
  <si>
    <t>=S217+'Shipping Program'!$H$9</t>
  </si>
  <si>
    <t>=IFERROR(IF(J217*T217&lt;&gt;0,J217-T217,""),"")</t>
  </si>
  <si>
    <t>=IF(U217&lt;&gt;"",IF(U217&gt;28,"Too early",IF(U217&lt;14,"Too late","")),"")</t>
  </si>
  <si>
    <t>=IF(OFFSET(X217,1,0)="",R217,OFFSET(X217,1,0))</t>
  </si>
  <si>
    <t>=IF(OFFSET(Y217,1,0)="",X217+'Shipping Program'!$F$9,OFFSET(Y217,1,0))</t>
  </si>
  <si>
    <t>=IF(OFFSET(Z217,1,0)="",Y217+'Shipping Program'!$H$9,OFFSET(Z217,1,0))</t>
  </si>
  <si>
    <t>=IFERROR(IF(J217*Z217&lt;&gt;0,J217-Z217,""),"")</t>
  </si>
  <si>
    <t>=IF(AA217&lt;&gt;"",IF(AA217&gt;28,"Too early",IF(AA217&lt;14,"Too late","")),"")</t>
  </si>
  <si>
    <t>=IF(AI217="","",AI217*AJ217*AK217/1000/1000/1000)</t>
  </si>
  <si>
    <t>=SUMIF(A$3:OFFSET(A221,-1,0),A221,K$3:OFFSET(K221,-1,0))</t>
  </si>
  <si>
    <t>=SUMIF(A$3:OFFSET(A221,-1,0),A221,L$3:OFFSET(L221,-1,0))</t>
  </si>
  <si>
    <t>=IF(J221="Subtotal:",OFFSET(R221,-1,0),"")</t>
  </si>
  <si>
    <t>=IF(J221="Subtotal:",OFFSET(S221,-1,0),"")</t>
  </si>
  <si>
    <t>=IF(J221="Subtotal:",OFFSET(T221,-1,0),"")</t>
  </si>
  <si>
    <t>=(SUMIFS($K:$K,$J:$J,"&lt;&gt;Subtotal:",$J:$J,"&gt;"&amp;S221,$S:$S,"&lt;="&amp;S221))*24*1.3+(SUMIFS($L:$L,$J:$J,"&lt;&gt;Subtotal:",$J:$J,"&gt;"&amp;S221,$S:$S,"&lt;="&amp;S221))/3*1.3</t>
  </si>
  <si>
    <t>=(SUMIFS($K:$K,$J:$J,"&lt;&gt;Subtotal:",$J:$J,"&gt;"&amp;Y221,$Y:$Y,"&lt;="&amp;Y221))*24*1.3+(SUMIFS($L:$L,$J:$J,"&lt;&gt;Subtotal:",$J:$J,"&gt;"&amp;Y221,$Y:$Y,"&lt;="&amp;Y221))/3*1.3</t>
  </si>
  <si>
    <t>=COUNTIF(J$3:OFFSET(J223,-1,0),"Subtotal:")+1</t>
  </si>
  <si>
    <t>=IF(OFFSET(B223,1,0)&lt;&gt;"",OFFSET(B223,1,0),"")</t>
  </si>
  <si>
    <t>=LEFT(F223,3)</t>
  </si>
  <si>
    <t>=IF(J223&lt;&gt;"",J223 - ('Shipping Program'!$D$9 + 'Shipping Program'!$F$9 + 'Shipping Program'!$H$9), "")</t>
  </si>
  <si>
    <t>=IF(SUM(M223:N223)=0,"",SUM(M223:N223))</t>
  </si>
  <si>
    <t>=VLOOKUP(I223,'Shipping Program'!$A$32:$B$78,2)-1</t>
  </si>
  <si>
    <t>=O223</t>
  </si>
  <si>
    <t>=R223-7</t>
  </si>
  <si>
    <t>=IFERROR(XLOOKUP(P223,'Shipping Program'!$B$32:$B$78,'Shipping Program'!$A$32:$A$78),IFERROR(INDEX(_V7Batches!$B:$B,MATCH(P223&amp;"",_V7Batches!$A:$A,0)),""))</t>
  </si>
  <si>
    <t>=IFERROR(XLOOKUP(P223,'Shipping Program'!$B$32:$B$78,'Shipping Program'!$E$32:$E$78),IFERROR(INDEX(_V7Batches!$D:$D,MATCH(P223&amp;"",_V7Batches!$A:$A,0)),""))</t>
  </si>
  <si>
    <t>=S223+'Shipping Program'!$H$9</t>
  </si>
  <si>
    <t>=IFERROR(IF(J223*T223&lt;&gt;0,J223-T223,""),"")</t>
  </si>
  <si>
    <t>=IF(U223&lt;&gt;"",IF(U223&gt;28,"Too early",IF(U223&lt;14,"Too late","")),"")</t>
  </si>
  <si>
    <t>=IF(OFFSET(X223,1,0)="",R223,OFFSET(X223,1,0))</t>
  </si>
  <si>
    <t>=IF(OFFSET(Y223,1,0)="",X223+'Shipping Program'!$F$9,OFFSET(Y223,1,0))</t>
  </si>
  <si>
    <t>=IF(OFFSET(Z223,1,0)="",Y223+'Shipping Program'!$H$9,OFFSET(Z223,1,0))</t>
  </si>
  <si>
    <t>=IFERROR(IF(J223*Z223&lt;&gt;0,J223-Z223,""),"")</t>
  </si>
  <si>
    <t>=IF(AA223&lt;&gt;"",IF(AA223&gt;28,"Too early",IF(AA223&lt;14,"Too late","")),"")</t>
  </si>
  <si>
    <t>=IF(AI223="","",AI223*AJ223*AK223/1000/1000/1000)</t>
  </si>
  <si>
    <t>=COUNTIF(J$3:OFFSET(J225,-1,0),"Subtotal:")+1</t>
  </si>
  <si>
    <t>=IF(OFFSET(B225,1,0)&lt;&gt;"",OFFSET(B225,1,0),"")</t>
  </si>
  <si>
    <t>=LEFT(F225,3)</t>
  </si>
  <si>
    <t>=IF(J225&lt;&gt;"",J225 - ('Shipping Program'!$D$9 + 'Shipping Program'!$F$9 + 'Shipping Program'!$H$9), "")</t>
  </si>
  <si>
    <t>=IF(SUM(M225:N225)=0,"",SUM(M225:N225))</t>
  </si>
  <si>
    <t>=VLOOKUP(I225,'Shipping Program'!$A$32:$B$78,2)-1</t>
  </si>
  <si>
    <t>=O225</t>
  </si>
  <si>
    <t>=R225-7</t>
  </si>
  <si>
    <t>=IFERROR(XLOOKUP(P225,'Shipping Program'!$B$32:$B$78,'Shipping Program'!$A$32:$A$78),IFERROR(INDEX(_V7Batches!$B:$B,MATCH(P225&amp;"",_V7Batches!$A:$A,0)),""))</t>
  </si>
  <si>
    <t>=IFERROR(XLOOKUP(P225,'Shipping Program'!$B$32:$B$78,'Shipping Program'!$E$32:$E$78),IFERROR(INDEX(_V7Batches!$D:$D,MATCH(P225&amp;"",_V7Batches!$A:$A,0)),""))</t>
  </si>
  <si>
    <t>=S225+'Shipping Program'!$H$9</t>
  </si>
  <si>
    <t>=IFERROR(IF(J225*T225&lt;&gt;0,J225-T225,""),"")</t>
  </si>
  <si>
    <t>=IF(U225&lt;&gt;"",IF(U225&gt;28,"Too early",IF(U225&lt;14,"Too late","")),"")</t>
  </si>
  <si>
    <t>=IF(OFFSET(X225,1,0)="",R225,OFFSET(X225,1,0))</t>
  </si>
  <si>
    <t>=IF(OFFSET(Y225,1,0)="",X225+'Shipping Program'!$F$9,OFFSET(Y225,1,0))</t>
  </si>
  <si>
    <t>=IF(OFFSET(Z225,1,0)="",Y225+'Shipping Program'!$H$9,OFFSET(Z225,1,0))</t>
  </si>
  <si>
    <t>=IFERROR(IF(J225*Z225&lt;&gt;0,J225-Z225,""),"")</t>
  </si>
  <si>
    <t>=IF(AA225&lt;&gt;"",IF(AA225&gt;28,"Too early",IF(AA225&lt;14,"Too late","")),"")</t>
  </si>
  <si>
    <t>=IF(AI225="","",AI225*AJ225*AK225/1000/1000/1000)</t>
  </si>
  <si>
    <t>=VLOOKUP(I226,'Shipping Program'!$A$32:$B$78,2)</t>
  </si>
  <si>
    <t>=COUNTIF(J$3:OFFSET(J227,-1,0),"Subtotal:")+1</t>
  </si>
  <si>
    <t>=IF(OFFSET(B227,1,0)&lt;&gt;"",OFFSET(B227,1,0),"")</t>
  </si>
  <si>
    <t>=LEFT(F227,3)</t>
  </si>
  <si>
    <t>=IF(J227&lt;&gt;"",J227 - ('Shipping Program'!$D$9 + 'Shipping Program'!$F$9 + 'Shipping Program'!$H$9), "")</t>
  </si>
  <si>
    <t>=IF(SUM(M227:N227)=0,"",SUM(M227:N227))</t>
  </si>
  <si>
    <t>=VLOOKUP(I227,'Shipping Program'!$A$32:$B$78,2)-1</t>
  </si>
  <si>
    <t>=O227</t>
  </si>
  <si>
    <t>=R227-7</t>
  </si>
  <si>
    <t>=IFERROR(XLOOKUP(P227,'Shipping Program'!$B$32:$B$78,'Shipping Program'!$A$32:$A$78),IFERROR(INDEX(_V7Batches!$B:$B,MATCH(P227&amp;"",_V7Batches!$A:$A,0)),""))</t>
  </si>
  <si>
    <t>=IFERROR(XLOOKUP(P227,'Shipping Program'!$B$32:$B$78,'Shipping Program'!$E$32:$E$78),IFERROR(INDEX(_V7Batches!$D:$D,MATCH(P227&amp;"",_V7Batches!$A:$A,0)),""))</t>
  </si>
  <si>
    <t>=S227+'Shipping Program'!$H$9</t>
  </si>
  <si>
    <t>=IFERROR(IF(J227*T227&lt;&gt;0,J227-T227,""),"")</t>
  </si>
  <si>
    <t>=IF(U227&lt;&gt;"",IF(U227&gt;28,"Too early",IF(U227&lt;14,"Too late","")),"")</t>
  </si>
  <si>
    <t>=IF(OFFSET(X227,1,0)="",R227,OFFSET(X227,1,0))</t>
  </si>
  <si>
    <t>=IF(OFFSET(Y227,1,0)="",X227+'Shipping Program'!$F$9,OFFSET(Y227,1,0))</t>
  </si>
  <si>
    <t>=IF(OFFSET(Z227,1,0)="",Y227+'Shipping Program'!$H$9,OFFSET(Z227,1,0))</t>
  </si>
  <si>
    <t>=IFERROR(IF(J227*Z227&lt;&gt;0,J227-Z227,""),"")</t>
  </si>
  <si>
    <t>=IF(AA227&lt;&gt;"",IF(AA227&gt;28,"Too early",IF(AA227&lt;14,"Too late","")),"")</t>
  </si>
  <si>
    <t>=IF(AI227="","",AI227*AJ227*AK227/1000/1000/1000)</t>
  </si>
  <si>
    <t>=COUNTIF(J$3:OFFSET(J229,-1,0),"Subtotal:")+1</t>
  </si>
  <si>
    <t>=IF(OFFSET(B229,1,0)&lt;&gt;"",OFFSET(B229,1,0),"")</t>
  </si>
  <si>
    <t>=LEFT(F229,3)</t>
  </si>
  <si>
    <t>=IF(J229&lt;&gt;"",J229 - ('Shipping Program'!$D$9 + 'Shipping Program'!$F$9 + 'Shipping Program'!$H$9), "")</t>
  </si>
  <si>
    <t>=VLOOKUP(I229,'Shipping Program'!$A$32:$B$78,2)-1</t>
  </si>
  <si>
    <t>=O229</t>
  </si>
  <si>
    <t>=R229-7</t>
  </si>
  <si>
    <t>=IFERROR(XLOOKUP(P229,'Shipping Program'!$B$32:$B$78,'Shipping Program'!$A$32:$A$78),IFERROR(INDEX(_V7Batches!$B:$B,MATCH(P229&amp;"",_V7Batches!$A:$A,0)),""))</t>
  </si>
  <si>
    <t>=IFERROR(XLOOKUP(P229,'Shipping Program'!$B$32:$B$78,'Shipping Program'!$E$32:$E$78),IFERROR(INDEX(_V7Batches!$D:$D,MATCH(P229&amp;"",_V7Batches!$A:$A,0)),""))</t>
  </si>
  <si>
    <t>=S229+'Shipping Program'!$H$9</t>
  </si>
  <si>
    <t>=IFERROR(IF(J229*T229&lt;&gt;0,J229-T229,""),"")</t>
  </si>
  <si>
    <t>=IF(U229&lt;&gt;"",IF(U229&gt;28,"Too early",IF(U229&lt;14,"Too late","")),"")</t>
  </si>
  <si>
    <t>=IF(OFFSET(X229,1,0)="",R229,OFFSET(X229,1,0))</t>
  </si>
  <si>
    <t>=IF(OFFSET(Y229,1,0)="",X229+'Shipping Program'!$F$9,OFFSET(Y229,1,0))</t>
  </si>
  <si>
    <t>=IF(OFFSET(Z229,1,0)="",Y229+'Shipping Program'!$H$9,OFFSET(Z229,1,0))</t>
  </si>
  <si>
    <t>=IFERROR(IF(J229*Z229&lt;&gt;0,J229-Z229,""),"")</t>
  </si>
  <si>
    <t>=IF(AA229&lt;&gt;"",IF(AA229&gt;28,"Too early",IF(AA229&lt;14,"Too late","")),"")</t>
  </si>
  <si>
    <t>=COUNTIF(J$3:OFFSET(J240,-1,0),"Subtotal:")+1</t>
  </si>
  <si>
    <t>=IF(OFFSET(B240,1,0)&lt;&gt;"",OFFSET(B240,1,0),"")</t>
  </si>
  <si>
    <t>=LEFT(F240,3)</t>
  </si>
  <si>
    <t>=IF(J240&lt;&gt;"",J240 - ('Shipping Program'!$D$9 + 'Shipping Program'!$F$9 + 'Shipping Program'!$H$9), "")</t>
  </si>
  <si>
    <t>=IF(SUM(M240:N240)=0,"",SUM(M240:N240))</t>
  </si>
  <si>
    <t>=VLOOKUP(I240,'Shipping Program'!$A$32:$B$78,2)-1</t>
  </si>
  <si>
    <t>=O240</t>
  </si>
  <si>
    <t>=R240-7</t>
  </si>
  <si>
    <t>=IFERROR(XLOOKUP(P240,'Shipping Program'!$B$32:$B$78,'Shipping Program'!$A$32:$A$78),IFERROR(INDEX(_V7Batches!$B:$B,MATCH(P240&amp;"",_V7Batches!$A:$A,0)),""))</t>
  </si>
  <si>
    <t>=IFERROR(XLOOKUP(P240,'Shipping Program'!$B$32:$B$78,'Shipping Program'!$E$32:$E$78),IFERROR(INDEX(_V7Batches!$D:$D,MATCH(P240&amp;"",_V7Batches!$A:$A,0)),""))</t>
  </si>
  <si>
    <t>=S240+'Shipping Program'!$H$9</t>
  </si>
  <si>
    <t>=IFERROR(IF(J240*T240&lt;&gt;0,J240-T240,""),"")</t>
  </si>
  <si>
    <t>=IF(U240&lt;&gt;"",IF(U240&gt;28,"Too early",IF(U240&lt;14,"Too late","")),"")</t>
  </si>
  <si>
    <t>=IF(OFFSET(X240,1,0)="",R240,OFFSET(X240,1,0))</t>
  </si>
  <si>
    <t>=IF(OFFSET(Y240,1,0)="",X240+'Shipping Program'!$F$9,OFFSET(Y240,1,0))</t>
  </si>
  <si>
    <t>=IF(OFFSET(Z240,1,0)="",Y240+'Shipping Program'!$H$9,OFFSET(Z240,1,0))</t>
  </si>
  <si>
    <t>=IFERROR(IF(J240*Z240&lt;&gt;0,J240-Z240,""),"")</t>
  </si>
  <si>
    <t>=IF(AA240&lt;&gt;"",IF(AA240&gt;28,"Too early",IF(AA240&lt;14,"Too late","")),"")</t>
  </si>
  <si>
    <t>=IF(AI240="","",AI240*AJ240*AK240/1000/1000/1000)</t>
  </si>
  <si>
    <t>=COUNTIF(J$3:OFFSET(J248,-1,0),"Subtotal:")+1</t>
  </si>
  <si>
    <t>=IF(OFFSET(B248,1,0)&lt;&gt;"",OFFSET(B248,1,0),"")</t>
  </si>
  <si>
    <t>=LEFT(F248,3)</t>
  </si>
  <si>
    <t>=IF(J248&lt;&gt;"",J248 - ('Shipping Program'!$D$9 + 'Shipping Program'!$F$9 + 'Shipping Program'!$H$9), "")</t>
  </si>
  <si>
    <t>=IF(SUM(M248:N248)=0,"",SUM(M248:N248))</t>
  </si>
  <si>
    <t>=VLOOKUP(I248,'Shipping Program'!$A$32:$B$78,2)-1</t>
  </si>
  <si>
    <t>=O248</t>
  </si>
  <si>
    <t>=R248-7</t>
  </si>
  <si>
    <t>=IFERROR(XLOOKUP(P248,'Shipping Program'!$B$32:$B$78,'Shipping Program'!$A$32:$A$78),IFERROR(INDEX(_V7Batches!$B:$B,MATCH(P248&amp;"",_V7Batches!$A:$A,0)),""))</t>
  </si>
  <si>
    <t>=IFERROR(XLOOKUP(P248,'Shipping Program'!$B$32:$B$78,'Shipping Program'!$E$32:$E$78),IFERROR(INDEX(_V7Batches!$D:$D,MATCH(P248&amp;"",_V7Batches!$A:$A,0)),""))</t>
  </si>
  <si>
    <t>=S248+'Shipping Program'!$H$9</t>
  </si>
  <si>
    <t>=IFERROR(IF(J248*T248&lt;&gt;0,J248-T248,""),"")</t>
  </si>
  <si>
    <t>=IF(U248&lt;&gt;"",IF(U248&gt;28,"Too early",IF(U248&lt;14,"Too late","")),"")</t>
  </si>
  <si>
    <t>=IF(OFFSET(X248,1,0)="",R248,OFFSET(X248,1,0))</t>
  </si>
  <si>
    <t>=IF(OFFSET(Y248,1,0)="",X248+'Shipping Program'!$F$9,OFFSET(Y248,1,0))</t>
  </si>
  <si>
    <t>=IF(OFFSET(Z248,1,0)="",Y248+'Shipping Program'!$H$9,OFFSET(Z248,1,0))</t>
  </si>
  <si>
    <t>=IFERROR(IF(J248*Z248&lt;&gt;0,J248-Z248,""),"")</t>
  </si>
  <si>
    <t>=IF(AA248&lt;&gt;"",IF(AA248&gt;28,"Too early",IF(AA248&lt;14,"Too late","")),"")</t>
  </si>
  <si>
    <t>=IF(AI248="","",AI248*AJ248*AK248/1000/1000/1000)</t>
  </si>
  <si>
    <t>=COUNTIF(J$3:OFFSET(J258,-1,0),"Subtotal:")+1</t>
  </si>
  <si>
    <t>=IF(OFFSET(B258,1,0)&lt;&gt;"",OFFSET(B258,1,0),"")</t>
  </si>
  <si>
    <t>=LEFT(F258,3)</t>
  </si>
  <si>
    <t>=IF(J258&lt;&gt;"",J258 - ('Shipping Program'!$D$9 + 'Shipping Program'!$F$9 + 'Shipping Program'!$H$9), "")</t>
  </si>
  <si>
    <t>=IF(SUM(M258:N258)=0,"",SUM(M258:N258))</t>
  </si>
  <si>
    <t>=VLOOKUP(I258,'Shipping Program'!$A$32:$B$78,2)-1</t>
  </si>
  <si>
    <t>=O258</t>
  </si>
  <si>
    <t>=R258-7</t>
  </si>
  <si>
    <t>=IFERROR(XLOOKUP(P258,'Shipping Program'!$B$32:$B$78,'Shipping Program'!$A$32:$A$78),IFERROR(INDEX(_V7Batches!$B:$B,MATCH(P258&amp;"",_V7Batches!$A:$A,0)),""))</t>
  </si>
  <si>
    <t>=IFERROR(XLOOKUP(P258,'Shipping Program'!$B$32:$B$78,'Shipping Program'!$E$32:$E$78),IFERROR(INDEX(_V7Batches!$D:$D,MATCH(P258&amp;"",_V7Batches!$A:$A,0)),""))</t>
  </si>
  <si>
    <t>=S258+'Shipping Program'!$H$9</t>
  </si>
  <si>
    <t>=IFERROR(IF(J258*T258&lt;&gt;0,J258-T258,""),"")</t>
  </si>
  <si>
    <t>=IF(U258&lt;&gt;"",IF(U258&gt;28,"Too early",IF(U258&lt;14,"Too late","")),"")</t>
  </si>
  <si>
    <t>=IF(OFFSET(X258,1,0)="",R258,OFFSET(X258,1,0))</t>
  </si>
  <si>
    <t>=IF(OFFSET(Y258,1,0)="",X258+'Shipping Program'!$F$9,OFFSET(Y258,1,0))</t>
  </si>
  <si>
    <t>=IF(OFFSET(Z258,1,0)="",Y258+'Shipping Program'!$H$9,OFFSET(Z258,1,0))</t>
  </si>
  <si>
    <t>=IFERROR(IF(J258*Z258&lt;&gt;0,J258-Z258,""),"")</t>
  </si>
  <si>
    <t>=IF(AA258&lt;&gt;"",IF(AA258&gt;28,"Too early",IF(AA258&lt;14,"Too late","")),"")</t>
  </si>
  <si>
    <t>=IF(AI258="","",AI258*AJ258*AK258/1000/1000/1000)</t>
  </si>
  <si>
    <t>=COUNTIF(J$3:OFFSET(J262,-1,0),"Subtotal:")+1</t>
  </si>
  <si>
    <t>=IF(OFFSET(B262,1,0)&lt;&gt;"",OFFSET(B262,1,0),"")</t>
  </si>
  <si>
    <t>=LEFT(F262,3)</t>
  </si>
  <si>
    <t>=IF(J262&lt;&gt;"",J262 - ('Shipping Program'!$D$9 + 'Shipping Program'!$F$9 + 'Shipping Program'!$H$9), "")</t>
  </si>
  <si>
    <t>=IF(SUM(M262:N262)=0,"",SUM(M262:N262))</t>
  </si>
  <si>
    <t>=VLOOKUP(I262,'Shipping Program'!$A$32:$B$78,2)-1</t>
  </si>
  <si>
    <t>=O262</t>
  </si>
  <si>
    <t>=R262-7</t>
  </si>
  <si>
    <t>=IFERROR(XLOOKUP(P262,'Shipping Program'!$B$32:$B$78,'Shipping Program'!$A$32:$A$78),IFERROR(INDEX(_V7Batches!$B:$B,MATCH(P262&amp;"",_V7Batches!$A:$A,0)),""))</t>
  </si>
  <si>
    <t>=IFERROR(XLOOKUP(P262,'Shipping Program'!$B$32:$B$78,'Shipping Program'!$E$32:$E$78),IFERROR(INDEX(_V7Batches!$D:$D,MATCH(P262&amp;"",_V7Batches!$A:$A,0)),""))</t>
  </si>
  <si>
    <t>=S262+'Shipping Program'!$H$9</t>
  </si>
  <si>
    <t>=IFERROR(IF(J262*T262&lt;&gt;0,J262-T262,""),"")</t>
  </si>
  <si>
    <t>=IF(U262&lt;&gt;"",IF(U262&gt;28,"Too early",IF(U262&lt;14,"Too late","")),"")</t>
  </si>
  <si>
    <t>=IF(OFFSET(X262,1,0)="",R262,OFFSET(X262,1,0))</t>
  </si>
  <si>
    <t>=IF(OFFSET(Y262,1,0)="",X262+'Shipping Program'!$F$9,OFFSET(Y262,1,0))</t>
  </si>
  <si>
    <t>=IF(OFFSET(Z262,1,0)="",Y262+'Shipping Program'!$H$9,OFFSET(Z262,1,0))</t>
  </si>
  <si>
    <t>=IFERROR(IF(J262*Z262&lt;&gt;0,J262-Z262,""),"")</t>
  </si>
  <si>
    <t>=IF(AA262&lt;&gt;"",IF(AA262&gt;28,"Too early",IF(AA262&lt;14,"Too late","")),"")</t>
  </si>
  <si>
    <t>=IF(AI262="","",AI262*AJ262*AK262/1000/1000/1000)</t>
  </si>
  <si>
    <t>=COUNTIF(J$3:OFFSET(J267,-1,0),"Subtotal:")+1</t>
  </si>
  <si>
    <t>=IF(OFFSET(B267,1,0)&lt;&gt;"",OFFSET(B267,1,0),"")</t>
  </si>
  <si>
    <t>=LEFT(F267,3)</t>
  </si>
  <si>
    <t>=IF(J267&lt;&gt;"",J267 - ('Shipping Program'!$D$9 + 'Shipping Program'!$F$9 + 'Shipping Program'!$H$9), "")</t>
  </si>
  <si>
    <t>=IF(SUM(M267:N267)=0,"",SUM(M267:N267))</t>
  </si>
  <si>
    <t>=VLOOKUP(I267,'Shipping Program'!$A$32:$B$78,2)-1</t>
  </si>
  <si>
    <t>=O267</t>
  </si>
  <si>
    <t>=R267-7</t>
  </si>
  <si>
    <t>=IFERROR(XLOOKUP(P267,'Shipping Program'!$B$32:$B$78,'Shipping Program'!$A$32:$A$78),IFERROR(INDEX(_V7Batches!$B:$B,MATCH(P267&amp;"",_V7Batches!$A:$A,0)),""))</t>
  </si>
  <si>
    <t>=IFERROR(XLOOKUP(P267,'Shipping Program'!$B$32:$B$78,'Shipping Program'!$E$32:$E$78),IFERROR(INDEX(_V7Batches!$D:$D,MATCH(P267&amp;"",_V7Batches!$A:$A,0)),""))</t>
  </si>
  <si>
    <t>=S267+'Shipping Program'!$H$9</t>
  </si>
  <si>
    <t>=IFERROR(IF(J267*T267&lt;&gt;0,J267-T267,""),"")</t>
  </si>
  <si>
    <t>=IF(U267&lt;&gt;"",IF(U267&gt;28,"Too early",IF(U267&lt;14,"Too late","")),"")</t>
  </si>
  <si>
    <t>=IF(OFFSET(X267,1,0)="",R267,OFFSET(X267,1,0))</t>
  </si>
  <si>
    <t>=IF(OFFSET(Y267,1,0)="",X267+'Shipping Program'!$F$9,OFFSET(Y267,1,0))</t>
  </si>
  <si>
    <t>=IF(OFFSET(Z267,1,0)="",Y267+'Shipping Program'!$H$9,OFFSET(Z267,1,0))</t>
  </si>
  <si>
    <t>=IFERROR(IF(J267*Z267&lt;&gt;0,J267-Z267,""),"")</t>
  </si>
  <si>
    <t>=IF(AA267&lt;&gt;"",IF(AA267&gt;28,"Too early",IF(AA267&lt;14,"Too late","")),"")</t>
  </si>
  <si>
    <t>=IF(AI267="","",AI267*AJ267*AK267/1000/1000/1000)</t>
  </si>
  <si>
    <t>=LEFT(F275,3)</t>
  </si>
  <si>
    <t>=COUNTIF(J$3:OFFSET(J290,-1,0),"Subtotal:")+1</t>
  </si>
  <si>
    <t>=IF(OFFSET(B290,1,0)&lt;&gt;"",OFFSET(B290,1,0),"")</t>
  </si>
  <si>
    <t>=LEFT(F290,3)</t>
  </si>
  <si>
    <t>=IF(J290&lt;&gt;"",J290 - ('Shipping Program'!$D$9 + 'Shipping Program'!$F$9 + 'Shipping Program'!$H$9), "")</t>
  </si>
  <si>
    <t>=VLOOKUP(I290,'Shipping Program'!$A$32:$B$78,2)-1</t>
  </si>
  <si>
    <t>=O290</t>
  </si>
  <si>
    <t>=R290-7</t>
  </si>
  <si>
    <t>=IFERROR(XLOOKUP(P290,'Shipping Program'!$B$32:$B$78,'Shipping Program'!$A$32:$A$78),IFERROR(INDEX(_V7Batches!$B:$B,MATCH(P290&amp;"",_V7Batches!$A:$A,0)),""))</t>
  </si>
  <si>
    <t>=IFERROR(XLOOKUP(P290,'Shipping Program'!$B$32:$B$78,'Shipping Program'!$E$32:$E$78),IFERROR(INDEX(_V7Batches!$D:$D,MATCH(P290&amp;"",_V7Batches!$A:$A,0)),""))</t>
  </si>
  <si>
    <t>=S290+'Shipping Program'!$H$9</t>
  </si>
  <si>
    <t>=IFERROR(IF(J290*T290&lt;&gt;0,J290-T290,""),"")</t>
  </si>
  <si>
    <t>=IF(U290&lt;&gt;"",IF(U290&gt;28,"Too early",IF(U290&lt;14,"Too late","")),"")</t>
  </si>
  <si>
    <t>=IF(OFFSET(X290,1,0)="",R290,OFFSET(X290,1,0))</t>
  </si>
  <si>
    <t>=IF(OFFSET(Y290,1,0)="",X290+'Shipping Program'!$F$9,OFFSET(Y290,1,0))</t>
  </si>
  <si>
    <t>=IF(OFFSET(Z290,1,0)="",Y290+'Shipping Program'!$H$9,OFFSET(Z290,1,0))</t>
  </si>
  <si>
    <t>=IFERROR(IF(J290*Z290&lt;&gt;0,J290-Z290,""),"")</t>
  </si>
  <si>
    <t>=IF(AA290&lt;&gt;"",IF(AA290&gt;28,"Too early",IF(AA290&lt;14,"Too late","")),"")</t>
  </si>
  <si>
    <t>=COUNTIF(J$3:OFFSET(J307,-1,0),"Subtotal:")+1</t>
  </si>
  <si>
    <t>=IF(OFFSET(B307,1,0)&lt;&gt;"",OFFSET(B307,1,0),"")</t>
  </si>
  <si>
    <t>=LEFT(F307,3)</t>
  </si>
  <si>
    <t>=IF(J307&lt;&gt;"",J307 - ('Shipping Program'!$D$9 + 'Shipping Program'!$F$9 + 'Shipping Program'!$H$9), "")</t>
  </si>
  <si>
    <t>=VLOOKUP(I307,'Shipping Program'!$A$32:$B$78,2)-1</t>
  </si>
  <si>
    <t>=O307</t>
  </si>
  <si>
    <t>=R307-7</t>
  </si>
  <si>
    <t>=IFERROR(XLOOKUP(P307,'Shipping Program'!$B$32:$B$78,'Shipping Program'!$A$32:$A$78),IFERROR(INDEX(_V7Batches!$B:$B,MATCH(P307&amp;"",_V7Batches!$A:$A,0)),""))</t>
  </si>
  <si>
    <t>=IFERROR(XLOOKUP(P307,'Shipping Program'!$B$32:$B$78,'Shipping Program'!$E$32:$E$78),IFERROR(INDEX(_V7Batches!$D:$D,MATCH(P307&amp;"",_V7Batches!$A:$A,0)),""))</t>
  </si>
  <si>
    <t>=S307+'Shipping Program'!$H$9</t>
  </si>
  <si>
    <t>=IFERROR(IF(J307*T307&lt;&gt;0,J307-T307,""),"")</t>
  </si>
  <si>
    <t>=IF(U307&lt;&gt;"",IF(U307&gt;28,"Too early",IF(U307&lt;14,"Too late","")),"")</t>
  </si>
  <si>
    <t>=IF(OFFSET(X307,1,0)="",R307,OFFSET(X307,1,0))</t>
  </si>
  <si>
    <t>=IF(OFFSET(Y307,1,0)="",X307+'Shipping Program'!$F$9,OFFSET(Y307,1,0))</t>
  </si>
  <si>
    <t>=IF(OFFSET(Z307,1,0)="",Y307+'Shipping Program'!$H$9,OFFSET(Z307,1,0))</t>
  </si>
  <si>
    <t>=IFERROR(IF(J307*Z307&lt;&gt;0,J307-Z307,""),"")</t>
  </si>
  <si>
    <t>=IF(AA307&lt;&gt;"",IF(AA307&gt;28,"Too early",IF(AA307&lt;14,"Too late","")),"")</t>
  </si>
  <si>
    <t>=LEFT(F308,3)</t>
  </si>
  <si>
    <t>=LEFT(F309,3)</t>
  </si>
  <si>
    <t>总表已更新</t>
    <phoneticPr fontId="1" type="noConversion"/>
  </si>
  <si>
    <t>Planned P</t>
  </si>
  <si>
    <t>!ERROR</t>
  </si>
  <si>
    <t>Detail Shipping planning</t>
  </si>
  <si>
    <t>P222</t>
  </si>
  <si>
    <t>指定有效批次；或核实 O 后恢复自动批次</t>
  </si>
  <si>
    <t>8:45:=COUNTIF(J$3:OFFSET(J222,-1,0),"Subtotal:")+15:2:188:45:=IF(OFFSET(B222,1,0)&lt;&gt;"",OFFSET(B222,1,0),"")8:0:8:0:0:0:8:6:BP16208:6:BP16208:13:=LEFT(F222,3)8:3:#048:15:#04 Primer Oven8:15:#04 Primer Oven8:14:Piping package8:14:Piping package8:0:0:0:8:102:=IF(J222&lt;&gt;"",J222 - ('Shipping Program'!$D$9 + 'Shipping Program'!$F$9 + 'Shipping Program'!$H$9), "")8:0:8:0:0:0:8:39:=IF(SUM(M222:N222)=0,"",SUM(M222:N222))8:0:8:0:0:0:8:0:0:0:8:0:0:0:8:49:=VLOOKUP(I222,'Shipping Program'!$A$32:$B$78,2)-110:10:Error 20428:5:=O22210:10:Error 20428:7:=R222-710:10:Error 20158:155:=IFERROR(XLOOKUP(P222,'Shipping Program'!$B$32:$B$78,'Shipping Program'!$A$32:$A$78),IFERROR(INDEX(_V7Batches!$B:$B,MATCH(P222&amp;"",_V7Batches!$A:$A,0)),""))8:0:8:155:=IFERROR(XLOOKUP(P222,'Shipping Program'!$B$32:$B$78,'Shipping Program'!$E$32:$E$78),IFERROR(INDEX(_V7Batches!$D:$D,MATCH(P222&amp;"",_V7Batches!$A:$A,0)),""))8:0:8:29:=S222+'Shipping Program'!$H$910:10:Error 20158:42:=IFERROR(IF(J222*T222&lt;&gt;0,J222-T222,""),"")8:0:8:66:=IF(U222&lt;&gt;"",IF(U222&gt;28,"Too early",IF(U222&lt;14,"Too late","")),"")8:0:8:0:0:0:8:46:=IF(OFFSET(X222,1,0)="",R222,OFFSET(X222,1,0))8:0:8:70:=IF(OFFSET(Y222,1,0)="",X222+'Shipping Program'!$F$9,OFFSET(Y222,1,0))10:10:Error 20158:70:=IF(OFFSET(Z222,1,0)="",Y222+'Shipping Program'!$H$9,OFFSET(Z222,1,0))10:10:Error 20158:42:=IFERROR(IF(J222*Z222&lt;&gt;0,J222-Z222,""),"")8:0:8:69:=IF(AA222&lt;&gt;"",IF(AA222&gt;28,"Too early",IF(AA222&lt;14,"Too late","")),"")8:0:8:0:0:0:8:0:0:0:8:3:AES8:3:AES8:0:0:0:8:0:0:0:8:49:=IF(AI222="","",AI222*AJ222*AK222/1000/1000/1000)8:0:8:0:0:0:8:0:0:0:8:0:0:0:</t>
  </si>
  <si>
    <t>J 匹配</t>
  </si>
  <si>
    <t>当前快照未匹配</t>
  </si>
  <si>
    <t>J222</t>
  </si>
  <si>
    <t>检查来源快照与完整名称；不要猜测日期</t>
  </si>
  <si>
    <t>公式错误</t>
  </si>
  <si>
    <t>O222</t>
  </si>
  <si>
    <t>检查依赖数据；不自动修复原公式</t>
  </si>
  <si>
    <t>Q222</t>
  </si>
  <si>
    <t>T222</t>
  </si>
  <si>
    <t>P223</t>
  </si>
  <si>
    <t>8:45:=COUNTIF(J$3:OFFSET(J223,-1,0),"Subtotal:")+15:2:188:45:=IF(OFFSET(B223,1,0)&lt;&gt;"",OFFSET(B223,1,0),"")8:0:8:0:0:0:8:6:BP19308:6:BP19308:13:=LEFT(F223,3)8:3:#028:12:#02 PT Plant8:12:#02 PT Plant8:18:Process Tank PS0518:18:Process Tank PS0518:0:0:0:8:102:=IF(J223&lt;&gt;"",J223 - ('Shipping Program'!$D$9 + 'Shipping Program'!$F$9 + 'Shipping Program'!$H$9), "")5:5:464528:5:464995:5:464998:39:=IF(SUM(M223:N223)=0,"",SUM(M223:N223))8:0:8:0:0:0:8:0:0:0:8:0:0:0:8:49:=VLOOKUP(I223,'Shipping Program'!$A$32:$B$78,2)-15:1:08:5:=O2235:1:08:7:=R223-710:10:Error 20158:155:=IFERROR(XLOOKUP(P223,'Shipping Program'!$B$32:$B$78,'Shipping Program'!$A$32:$A$78),IFERROR(INDEX(_V7Batches!$B:$B,MATCH(P223&amp;"",_V7Batches!$A:$A,0)),""))8:0:8:155:=IFERROR(XLOOKUP(P223,'Shipping Program'!$B$32:$B$78,'Shipping Program'!$E$32:$E$78),IFERROR(INDEX(_V7Batches!$D:$D,MATCH(P223&amp;"",_V7Batches!$A:$A,0)),""))8:0:8:29:=S223+'Shipping Program'!$H$910:10:Error 20158:42:=IFERROR(IF(J223*T223&lt;&gt;0,J223-T223,""),"")8:0:8:66:=IF(U223&lt;&gt;"",IF(U223&gt;28,"Too early",IF(U223&lt;14,"Too late","")),"")8:0:8:0:0:0:8:46:=IF(OFFSET(X223,1,0)="",R223,OFFSET(X223,1,0))8:0:8:70:=IF(OFFSET(Y223,1,0)="",X223+'Shipping Program'!$F$9,OFFSET(Y223,1,0))10:10:Error 20158:70:=IF(OFFSET(Z223,1,0)="",Y223+'Shipping Program'!$H$9,OFFSET(Z223,1,0))10:10:Error 20158:42:=IFERROR(IF(J223*Z223&lt;&gt;0,J223-Z223,""),"")8:0:8:69:=IF(AA223&lt;&gt;"",IF(AA223&gt;28,"Too early",IF(AA223&lt;14,"Too late","")),"")8:0:8:0:0:0:8:0:0:0:8:4:Durr8:4:Durr8:3:FOB8:3:FOB8:1:F8:1:F8:49:=IF(AI223="","",AI223*AJ223*AK223/1000/1000/1000)8:0:8:0:0:0:8:0:0:0:8:0:0:0:</t>
  </si>
  <si>
    <t>Q223</t>
  </si>
  <si>
    <t>T223</t>
  </si>
  <si>
    <t>P224</t>
  </si>
  <si>
    <t>8:45:=COUNTIF(J$3:OFFSET(J224,-1,0),"Subtotal:")+15:2:188:45:=IF(OFFSET(B224,1,0)&lt;&gt;"",OFFSET(B224,1,0),"")8:0:8:0:0:0:8:6:BP19308:6:BP19308:13:=LEFT(F224,3)8:3:#028:12:#02 PT Plant8:12:#02 PT Plant8:18:Process Tank PS0718:18:Process Tank PS0718:0:0:0:8:102:=IF(J224&lt;&gt;"",J224 - ('Shipping Program'!$D$9 + 'Shipping Program'!$F$9 + 'Shipping Program'!$H$9), "")5:5:464508:5:464975:5:464978:39:=IF(SUM(M224:N224)=0,"",SUM(M224:N224))8:0:8:0:0:0:8:0:0:0:8:0:0:0:8:49:=VLOOKUP(I224,'Shipping Program'!$A$32:$B$78,2)-15:1:08:5:=O2245:1:08:7:=R224-710:10:Error 20158:155:=IFERROR(XLOOKUP(P224,'Shipping Program'!$B$32:$B$78,'Shipping Program'!$A$32:$A$78),IFERROR(INDEX(_V7Batches!$B:$B,MATCH(P224&amp;"",_V7Batches!$A:$A,0)),""))8:0:8:155:=IFERROR(XLOOKUP(P224,'Shipping Program'!$B$32:$B$78,'Shipping Program'!$E$32:$E$78),IFERROR(INDEX(_V7Batches!$D:$D,MATCH(P224&amp;"",_V7Batches!$A:$A,0)),""))8:0:8:29:=S224+'Shipping Program'!$H$910:10:Error 20158:42:=IFERROR(IF(J224*T224&lt;&gt;0,J224-T224,""),"")8:0:8:66:=IF(U224&lt;&gt;"",IF(U224&gt;28,"Too early",IF(U224&lt;14,"Too late","")),"")8:0:8:0:0:0:8:46:=IF(OFFSET(X224,1,0)="",R224,OFFSET(X224,1,0))8:0:8:70:=IF(OFFSET(Y224,1,0)="",X224+'Shipping Program'!$F$9,OFFSET(Y224,1,0))10:10:Error 20158:70:=IF(OFFSET(Z224,1,0)="",Y224+'Shipping Program'!$H$9,OFFSET(Z224,1,0))10:10:Error 20158:42:=IFERROR(IF(J224*Z224&lt;&gt;0,J224-Z224,""),"")8:0:8:69:=IF(AA224&lt;&gt;"",IF(AA224&gt;28,"Too early",IF(AA224&lt;14,"Too late","")),"")8:0:8:0:0:0:8:0:0:0:8:4:Durr8:4:Durr8:3:FOB8:3:FOB8:1:F8:1:F8:49:=IF(AI224="","",AI224*AJ224*AK224/1000/1000/1000)8:0:8:0:0:0:8:0:0:0:8:0:0:0:</t>
  </si>
  <si>
    <t>Q224</t>
  </si>
  <si>
    <t>T224</t>
  </si>
  <si>
    <t>P225</t>
  </si>
  <si>
    <t>8:45:=COUNTIF(J$3:OFFSET(J225,-1,0),"Subtotal:")+15:2:188:45:=IF(OFFSET(B225,1,0)&lt;&gt;"",OFFSET(B225,1,0),"")8:0:8:0:0:0:8:6:BP19308:6:BP19308:13:=LEFT(F225,3)8:3:#028:12:#02 EC Plant8:12:#02 EC Plant8:17:EC dip tank PK0118:17:EC dip tank PK0118:0:0:0:8:102:=IF(J225&lt;&gt;"",J225 - ('Shipping Program'!$D$9 + 'Shipping Program'!$F$9 + 'Shipping Program'!$H$9), "")5:5:464538:5:465005:5:465008:39:=IF(SUM(M225:N225)=0,"",SUM(M225:N225))8:0:8:0:0:0:8:0:0:0:8:0:0:0:8:49:=VLOOKUP(I225,'Shipping Program'!$A$32:$B$78,2)-15:1:08:5:=O2255:1:08:7:=R225-710:10:Error 20158:155:=IFERROR(XLOOKUP(P225,'Shipping Program'!$B$32:$B$78,'Shipping Program'!$A$32:$A$78),IFERROR(INDEX(_V7Batches!$B:$B,MATCH(P225&amp;"",_V7Batches!$A:$A,0)),""))8:0:8:155:=IFERROR(XLOOKUP(P225,'Shipping Program'!$B$32:$B$78,'Shipping Program'!$E$32:$E$78),IFERROR(INDEX(_V7Batches!$D:$D,MATCH(P225&amp;"",_V7Batches!$A:$A,0)),""))8:0:8:29:=S225+'Shipping Program'!$H$910:10:Error 20158:42:=IFERROR(IF(J225*T225&lt;&gt;0,J225-T225,""),"")8:0:8:66:=IF(U225&lt;&gt;"",IF(U225&gt;28,"Too early",IF(U225&lt;14,"Too late","")),"")8:0:8:0:0:0:8:46:=IF(OFFSET(X225,1,0)="",R225,OFFSET(X225,1,0))8:0:8:70:=IF(OFFSET(Y225,1,0)="",X225+'Shipping Program'!$F$9,OFFSET(Y225,1,0))10:10:Error 20158:70:=IF(OFFSET(Z225,1,0)="",Y225+'Shipping Program'!$H$9,OFFSET(Z225,1,0))10:10:Error 20158:42:=IFERROR(IF(J225*Z225&lt;&gt;0,J225-Z225,""),"")8:0:8:69:=IF(AA225&lt;&gt;"",IF(AA225&gt;28,"Too early",IF(AA225&lt;14,"Too late","")),"")8:0:8:0:0:0:8:0:0:0:8:4:Durr8:4:Durr8:3:FOB8:3:FOB8:1:F8:1:F8:49:=IF(AI225="","",AI225*AJ225*AK225/1000/1000/1000)8:0:8:0:0:0:8:0:0:0:8:0:0:0:</t>
  </si>
  <si>
    <t>Q225</t>
  </si>
  <si>
    <t>T225</t>
  </si>
  <si>
    <t>P226</t>
  </si>
  <si>
    <t>8:45:=COUNTIF(J$3:OFFSET(J226,-1,0),"Subtotal:")+15:2:188:45:=IF(OFFSET(B226,1,0)&lt;&gt;"",OFFSET(B226,1,0),"")8:0:8:0:0:0:8:6:BP19508:6:BP19508:13:=LEFT(F226,3)8:3:#098:13:#09 Steelwork8:13:#09 Steelwork8:11:PTEC CP6.108:11:PTEC CP6.108:3:CP68:3:CP68:102:=IF(J226&lt;&gt;"",J226 - ('Shipping Program'!$D$9 + 'Shipping Program'!$F$9 + 'Shipping Program'!$H$9), "")5:5:464468:5:464935:5:464938:0:0:0:8:0:0:0:8:0:0:0:8:0:0:0:8:47:=VLOOKUP(I226,'Shipping Program'!$A$32:$B$78,2)10:10:Error 20428:5:=O22610:10:Error 20428:7:=R226-710:10:Error 20158:155:=IFERROR(XLOOKUP(P226,'Shipping Program'!$B$32:$B$78,'Shipping Program'!$A$32:$A$78),IFERROR(INDEX(_V7Batches!$B:$B,MATCH(P226&amp;"",_V7Batches!$A:$A,0)),""))8:0:8:155:=IFERROR(XLOOKUP(P226,'Shipping Program'!$B$32:$B$78,'Shipping Program'!$E$32:$E$78),IFERROR(INDEX(_V7Batches!$D:$D,MATCH(P226&amp;"",_V7Batches!$A:$A,0)),""))8:0:8:29:=S226+'Shipping Program'!$H$910:10:Error 20158:42:=IFERROR(IF(J226*T226&lt;&gt;0,J226-T226,""),"")8:0:8:66:=IF(U226&lt;&gt;"",IF(U226&gt;28,"Too early",IF(U226&lt;14,"Too late","")),"")8:0:8:0:0:0:8:46:=IF(OFFSET(X226,1,0)="",R226,OFFSET(X226,1,0))8:0:8:70:=IF(OFFSET(Y226,1,0)="",X226+'Shipping Program'!$F$9,OFFSET(Y226,1,0))10:10:Error 20158:70:=IF(OFFSET(Z226,1,0)="",Y226+'Shipping Program'!$H$9,OFFSET(Z226,1,0))10:10:Error 20158:42:=IFERROR(IF(J226*Z226&lt;&gt;0,J226-Z226,""),"")8:0:8:69:=IF(AA226&lt;&gt;"",IF(AA226&gt;28,"Too early",IF(AA226&lt;14,"Too late","")),"")8:0:8:0:0:0:8:0:0:0:8:4:Durr8:4:Durr8:3:FOB8:3:FOB8:2:NR8:2:NR8:49:=IF(AI226="","",AI226*AJ226*AK226/1000/1000/1000)8:0:8:0:0:0:8:0:0:0:8:0:0:0:</t>
  </si>
  <si>
    <t>O226</t>
  </si>
  <si>
    <t>Q226</t>
  </si>
  <si>
    <t>T226</t>
  </si>
  <si>
    <t>P227</t>
  </si>
  <si>
    <t>8:45:=COUNTIF(J$3:OFFSET(J227,-1,0),"Subtotal:")+15:2:188:45:=IF(OFFSET(B227,1,0)&lt;&gt;"",OFFSET(B227,1,0),"")8:0:8:0:0:0:8:6:BP19308:6:BP19308:13:=LEFT(F227,3)8:3:#028:12:#02 EC Plant8:12:#02 EC Plant8:15:Dump tank BA3118:15:Dump tank BA3118:0:0:0:8:102:=IF(J227&lt;&gt;"",J227 - ('Shipping Program'!$D$9 + 'Shipping Program'!$F$9 + 'Shipping Program'!$H$9), "")5:5:464458:5:464925:5:464928:39:=IF(SUM(M227:N227)=0,"",SUM(M227:N227))8:0:8:0:0:0:8:0:0:0:8:0:0:0:8:49:=VLOOKUP(I227,'Shipping Program'!$A$32:$B$78,2)-110:10:Error 20428:5:=O22710:10:Error 20428:7:=R227-710:10:Error 20158:155:=IFERROR(XLOOKUP(P227,'Shipping Program'!$B$32:$B$78,'Shipping Program'!$A$32:$A$78),IFERROR(INDEX(_V7Batches!$B:$B,MATCH(P227&amp;"",_V7Batches!$A:$A,0)),""))8:0:8:155:=IFERROR(XLOOKUP(P227,'Shipping Program'!$B$32:$B$78,'Shipping Program'!$E$32:$E$78),IFERROR(INDEX(_V7Batches!$D:$D,MATCH(P227&amp;"",_V7Batches!$A:$A,0)),""))8:0:8:29:=S227+'Shipping Program'!$H$910:10:Error 20158:42:=IFERROR(IF(J227*T227&lt;&gt;0,J227-T227,""),"")8:0:8:66:=IF(U227&lt;&gt;"",IF(U227&gt;28,"Too early",IF(U227&lt;14,"Too late","")),"")8:0:8:0:0:0:8:46:=IF(OFFSET(X227,1,0)="",R227,OFFSET(X227,1,0))8:0:8:70:=IF(OFFSET(Y227,1,0)="",X227+'Shipping Program'!$F$9,OFFSET(Y227,1,0))10:10:Error 20158:70:=IF(OFFSET(Z227,1,0)="",Y227+'Shipping Program'!$H$9,OFFSET(Z227,1,0))10:10:Error 20158:42:=IFERROR(IF(J227*Z227&lt;&gt;0,J227-Z227,""),"")8:0:8:69:=IF(AA227&lt;&gt;"",IF(AA227&gt;28,"Too early",IF(AA227&lt;14,"Too late","")),"")8:0:8:0:0:0:8:0:0:0:8:4:Durr8:4:Durr8:3:CNF8:3:CNF8:1:F8:1:F8:49:=IF(AI227="","",AI227*AJ227*AK227/1000/1000/1000)8:0:8:0:0:0:8:0:0:0:8:0:0:0:</t>
  </si>
  <si>
    <t>O227</t>
  </si>
  <si>
    <t>Q227</t>
  </si>
  <si>
    <t>T227</t>
  </si>
  <si>
    <t>P228</t>
  </si>
  <si>
    <t>8:45:=COUNTIF(J$3:OFFSET(J228,-1,0),"Subtotal:")+15:2:188:45:=IF(OFFSET(B228,1,0)&lt;&gt;"",OFFSET(B228,1,0),"")8:0:8:0:0:0:8:6:BP17108:6:BP17108:13:=LEFT(F228,3)8:3:#028:12:#02 PT Plant8:12:#02 PT Plant8:18:Pre-assembly group8:18:Pre-assembly group8:0:0:0:8:102:=IF(J228&lt;&gt;"",J228 - ('Shipping Program'!$D$9 + 'Shipping Program'!$F$9 + 'Shipping Program'!$H$9), "")8:0:8:0:0:0:8:39:=IF(SUM(M228:N228)=0,"",SUM(M228:N228))8:0:8:0:0:0:8:0:0:0:8:0:0:0:8:49:=VLOOKUP(I228,'Shipping Program'!$A$32:$B$78,2)-110:10:Error 20428:5:=O22810:10:Error 20428:7:=R228-710:10:Error 20158:155:=IFERROR(XLOOKUP(P228,'Shipping Program'!$B$32:$B$78,'Shipping Program'!$A$32:$A$78),IFERROR(INDEX(_V7Batches!$B:$B,MATCH(P228&amp;"",_V7Batches!$A:$A,0)),""))8:0:8:155:=IFERROR(XLOOKUP(P228,'Shipping Program'!$B$32:$B$78,'Shipping Program'!$E$32:$E$78),IFERROR(INDEX(_V7Batches!$D:$D,MATCH(P228&amp;"",_V7Batches!$A:$A,0)),""))8:0:8:29:=S228+'Shipping Program'!$H$910:10:Error 20158:42:=IFERROR(IF(J228*T228&lt;&gt;0,J228-T228,""),"")8:0:8:66:=IF(U228&lt;&gt;"",IF(U228&gt;28,"Too early",IF(U228&lt;14,"Too late","")),"")8:0:8:0:0:0:8:46:=IF(OFFSET(X228,1,0)="",R228,OFFSET(X228,1,0))8:0:8:70:=IF(OFFSET(Y228,1,0)="",X228+'Shipping Program'!$F$9,OFFSET(Y228,1,0))10:10:Error 20158:70:=IF(OFFSET(Z228,1,0)="",Y228+'Shipping Program'!$H$9,OFFSET(Z228,1,0))10:10:Error 20158:42:=IFERROR(IF(J228*Z228&lt;&gt;0,J228-Z228,""),"")8:0:8:69:=IF(AA228&lt;&gt;"",IF(AA228&gt;28,"Too early",IF(AA228&lt;14,"Too late","")),"")8:0:8:0:0:0:8:0:0:0:8:4:Durr8:4:Durr8:3:FOB8:3:FOB8:2:NR8:2:NR8:49:=IF(AI228="","",AI228*AJ228*AK228/1000/1000/1000)8:0:8:0:0:0:8:0:0:0:8:0:0:0:</t>
  </si>
  <si>
    <t>J228</t>
  </si>
  <si>
    <t>O228</t>
  </si>
  <si>
    <t>Q228</t>
  </si>
  <si>
    <t>T228</t>
  </si>
  <si>
    <t>P229</t>
  </si>
  <si>
    <t>8:45:=COUNTIF(J$3:OFFSET(J229,-1,0),"Subtotal:")+15:2:188:45:=IF(OFFSET(B229,1,0)&lt;&gt;"",OFFSET(B229,1,0),"")8:0:8:0:0:0:8:6:BP16108:6:BP16108:13:=LEFT(F229,3)8:3:#028:12:#02 PT Plant8:12:#02 PT Plant8:14:Piping package8:14:Piping package8:0:0:0:8:102:=IF(J229&lt;&gt;"",J229 - ('Shipping Program'!$D$9 + 'Shipping Program'!$F$9 + 'Shipping Program'!$H$9), "")8:0:8:0:0:0:8:39:=IF(SUM(M229:N229)=0,"",SUM(M229:N229))8:0:8:0:0:0:8:0:0:0:8:0:0:0:8:49:=VLOOKUP(I229,'Shipping Program'!$A$32:$B$78,2)-110:10:Error 20428:5:=O22910:10:Error 20428:7:=R229-710:10:Error 20158:155:=IFERROR(XLOOKUP(P229,'Shipping Program'!$B$32:$B$78,'Shipping Program'!$A$32:$A$78),IFERROR(INDEX(_V7Batches!$B:$B,MATCH(P229&amp;"",_V7Batches!$A:$A,0)),""))8:0:8:155:=IFERROR(XLOOKUP(P229,'Shipping Program'!$B$32:$B$78,'Shipping Program'!$E$32:$E$78),IFERROR(INDEX(_V7Batches!$D:$D,MATCH(P229&amp;"",_V7Batches!$A:$A,0)),""))8:0:8:29:=S229+'Shipping Program'!$H$910:10:Error 20158:42:=IFERROR(IF(J229*T229&lt;&gt;0,J229-T229,""),"")8:0:8:66:=IF(U229&lt;&gt;"",IF(U229&gt;28,"Too early",IF(U229&lt;14,"Too late","")),"")8:0:8:0:0:0:8:46:=IF(OFFSET(X229,1,0)="",R229,OFFSET(X229,1,0))8:0:8:70:=IF(OFFSET(Y229,1,0)="",X229+'Shipping Program'!$F$9,OFFSET(Y229,1,0))10:10:Error 20158:70:=IF(OFFSET(Z229,1,0)="",Y229+'Shipping Program'!$H$9,OFFSET(Z229,1,0))10:10:Error 20158:42:=IFERROR(IF(J229*Z229&lt;&gt;0,J229-Z229,""),"")8:0:8:69:=IF(AA229&lt;&gt;"",IF(AA229&gt;28,"Too early",IF(AA229&lt;14,"Too late","")),"")8:0:8:0:0:0:8:0:0:0:8:3:AES8:3:AES8:0:0:0:8:0:0:0:8:49:=IF(AI229="","",AI229*AJ229*AK229/1000/1000/1000)8:0:8:0:0:0:8:0:0:0:8:0:0:0:</t>
  </si>
  <si>
    <t>J229</t>
  </si>
  <si>
    <t>O229</t>
  </si>
  <si>
    <t>Q229</t>
  </si>
  <si>
    <t>T229</t>
  </si>
  <si>
    <t>P230</t>
  </si>
  <si>
    <t>8:45:=COUNTIF(J$3:OFFSET(J230,-1,0),"Subtotal:")+15:2:188:45:=IF(OFFSET(B230,1,0)&lt;&gt;"",OFFSET(B230,1,0),"")8:0:8:0:0:0:8:6:BP12108:6:BP12108:13:=LEFT(F230,3)8:3:#028:12:#02 PT Plant8:12:#02 PT Plant8:16:Ductwork package8:16:Ductwork package8:8:Ductwork8:8:Ductwork8:102:=IF(J230&lt;&gt;"",J230 - ('Shipping Program'!$D$9 + 'Shipping Program'!$F$9 + 'Shipping Program'!$H$9), "")8:0:8:0:0:0:8:39:=IF(SUM(M230:N230)=0,"",SUM(M230:N230))8:0:8:0:0:0:8:0:0:0:8:0:0:0:8:49:=VLOOKUP(I230,'Shipping Program'!$A$32:$B$78,2)-110:10:Error 20428:5:=O23010:10:Error 20428:7:=R230-710:10:Error 20158:155:=IFERROR(XLOOKUP(P230,'Shipping Program'!$B$32:$B$78,'Shipping Program'!$A$32:$A$78),IFERROR(INDEX(_V7Batches!$B:$B,MATCH(P230&amp;"",_V7Batches!$A:$A,0)),""))8:0:8:155:=IFERROR(XLOOKUP(P230,'Shipping Program'!$B$32:$B$78,'Shipping Program'!$E$32:$E$78),IFERROR(INDEX(_V7Batches!$D:$D,MATCH(P230&amp;"",_V7Batches!$A:$A,0)),""))8:0:8:29:=S230+'Shipping Program'!$H$910:10:Error 20158:42:=IFERROR(IF(J230*T230&lt;&gt;0,J230-T230,""),"")8:0:8:66:=IF(U230&lt;&gt;"",IF(U230&gt;28,"Too early",IF(U230&lt;14,"Too late","")),"")8:0:8:0:0:0:8:46:=IF(OFFSET(X230,1,0)="",R230,OFFSET(X230,1,0))8:0:8:70:=IF(OFFSET(Y230,1,0)="",X230+'Shipping Program'!$F$9,OFFSET(Y230,1,0))10:10:Error 20158:70:=IF(OFFSET(Z230,1,0)="",Y230+'Shipping Program'!$H$9,OFFSET(Z230,1,0))10:10:Error 20158:42:=IFERROR(IF(J230*Z230&lt;&gt;0,J230-Z230,""),"")8:0:8:69:=IF(AA230&lt;&gt;"",IF(AA230&gt;28,"Too early",IF(AA230&lt;14,"Too late","")),"")8:0:8:0:0:0:8:0:0:0:8:3:AES8:3:AES8:0:0:0:8:0:0:0:8:49:=IF(AI230="","",AI230*AJ230*AK230/1000/1000/1000)8:0:8:0:0:0:8:0:0:0:8:0:0:0:</t>
  </si>
  <si>
    <t>J230</t>
  </si>
  <si>
    <t>O230</t>
  </si>
  <si>
    <t>Q230</t>
  </si>
  <si>
    <t>T230</t>
  </si>
  <si>
    <t>P231</t>
  </si>
  <si>
    <t>8:45:=COUNTIF(J$3:OFFSET(J231,-1,0),"Subtotal:")+15:2:188:45:=IF(OFFSET(B231,1,0)&lt;&gt;"",OFFSET(B231,1,0),"")8:0:8:0:0:0:8:6:BP19208:6:BP19208:13:=LEFT(F231,3)8:3:#028:12:#02 EC Plant8:12:#02 EC Plant8:14:Auxilary Tanks8:14:Auxilary Tanks8:0:0:0:8:102:=IF(J231&lt;&gt;"",J231 - ('Shipping Program'!$D$9 + 'Shipping Program'!$F$9 + 'Shipping Program'!$H$9), "")8:0:8:0:0:0:8:39:=IF(SUM(M231:N231)=0,"",SUM(M231:N231))8:0:8:0:0:0:8:0:0:0:8:0:0:0:8:49:=VLOOKUP(I231,'Shipping Program'!$A$32:$B$78,2)-110:10:Error 20428:5:=O23110:10:Error 20428:7:=R231-710:10:Error 20158:155:=IFERROR(XLOOKUP(P231,'Shipping Program'!$B$32:$B$78,'Shipping Program'!$A$32:$A$78),IFERROR(INDEX(_V7Batches!$B:$B,MATCH(P231&amp;"",_V7Batches!$A:$A,0)),""))8:0:8:155:=IFERROR(XLOOKUP(P231,'Shipping Program'!$B$32:$B$78,'Shipping Program'!$E$32:$E$78),IFERROR(INDEX(_V7Batches!$D:$D,MATCH(P231&amp;"",_V7Batches!$A:$A,0)),""))8:0:8:29:=S231+'Shipping Program'!$H$910:10:Error 20158:42:=IFERROR(IF(J231*T231&lt;&gt;0,J231-T231,""),"")8:0:8:66:=IF(U231&lt;&gt;"",IF(U231&gt;28,"Too early",IF(U231&lt;14,"Too late","")),"")8:0:8:0:0:0:8:46:=IF(OFFSET(X231,1,0)="",R231,OFFSET(X231,1,0))8:0:8:70:=IF(OFFSET(Y231,1,0)="",X231+'Shipping Program'!$F$9,OFFSET(Y231,1,0))10:10:Error 20158:70:=IF(OFFSET(Z231,1,0)="",Y231+'Shipping Program'!$H$9,OFFSET(Z231,1,0))10:10:Error 20158:42:=IFERROR(IF(J231*Z231&lt;&gt;0,J231-Z231,""),"")8:0:8:69:=IF(AA231&lt;&gt;"",IF(AA231&gt;28,"Too early",IF(AA231&lt;14,"Too late","")),"")8:0:8:0:0:0:8:0:0:0:8:4:Durr8:4:Durr8:3:FOB8:3:FOB8:2:NR8:2:NR8:49:=IF(AI231="","",AI231*AJ231*AK231/1000/1000/1000)8:0:8:0:0:0:8:0:0:0:8:0:0:0:</t>
  </si>
  <si>
    <t>J231</t>
  </si>
  <si>
    <t>O231</t>
  </si>
  <si>
    <t>Q231</t>
  </si>
  <si>
    <t>T231</t>
  </si>
  <si>
    <t>P232</t>
  </si>
  <si>
    <t>8:45:=COUNTIF(J$3:OFFSET(J232,-1,0),"Subtotal:")+15:2:188:45:=IF(OFFSET(B232,1,0)&lt;&gt;"",OFFSET(B232,1,0),"")8:0:8:0:0:0:8:6:BP17108:6:BP17108:13:=LEFT(F232,3)8:3:#028:12:#02 EC Plant8:12:#02 EC Plant8:18:Pre-assembly group8:18:Pre-assembly group8:0:0:0:8:102:=IF(J232&lt;&gt;"",J232 - ('Shipping Program'!$D$9 + 'Shipping Program'!$F$9 + 'Shipping Program'!$H$9), "")8:0:8:0:0:0:8:39:=IF(SUM(M232:N232)=0,"",SUM(M232:N232))8:0:8:0:0:0:8:0:0:0:8:0:0:0:8:49:=VLOOKUP(I232,'Shipping Program'!$A$32:$B$78,2)-110:10:Error 20428:5:=O23210:10:Error 20428:7:=R232-710:10:Error 20158:155:=IFERROR(XLOOKUP(P232,'Shipping Program'!$B$32:$B$78,'Shipping Program'!$A$32:$A$78),IFERROR(INDEX(_V7Batches!$B:$B,MATCH(P232&amp;"",_V7Batches!$A:$A,0)),""))8:0:8:155:=IFERROR(XLOOKUP(P232,'Shipping Program'!$B$32:$B$78,'Shipping Program'!$E$32:$E$78),IFERROR(INDEX(_V7Batches!$D:$D,MATCH(P232&amp;"",_V7Batches!$A:$A,0)),""))8:0:8:29:=S232+'Shipping Program'!$H$910:10:Error 20158:42:=IFERROR(IF(J232*T232&lt;&gt;0,J232-T232,""),"")8:0:8:66:=IF(U232&lt;&gt;"",IF(U232&gt;28,"Too early",IF(U232&lt;14,"Too late","")),"")8:0:8:0:0:0:8:46:=IF(OFFSET(X232,1,0)="",R232,OFFSET(X232,1,0))8:0:8:70:=IF(OFFSET(Y232,1,0)="",X232+'Shipping Program'!$F$9,OFFSET(Y232,1,0))10:10:Error 20158:70:=IF(OFFSET(Z232,1,0)="",Y232+'Shipping Program'!$H$9,OFFSET(Z232,1,0))10:10:Error 20158:42:=IFERROR(IF(J232*Z232&lt;&gt;0,J232-Z232,""),"")8:0:8:69:=IF(AA232&lt;&gt;"",IF(AA232&gt;28,"Too early",IF(AA232&lt;14,"Too late","")),"")8:0:8:0:0:0:8:0:0:0:8:4:Durr8:4:Durr8:3:FOB8:3:FOB8:2:NR8:2:NR8:49:=IF(AI232="","",AI232*AJ232*AK232/1000/1000/1000)8:0:8:0:0:0:8:0:0:0:8:0:0:0:</t>
  </si>
  <si>
    <t>J232</t>
  </si>
  <si>
    <t>O232</t>
  </si>
  <si>
    <t>Q232</t>
  </si>
  <si>
    <t>T232</t>
  </si>
  <si>
    <t>P233</t>
  </si>
  <si>
    <t>8:45:=COUNTIF(J$3:OFFSET(J233,-1,0),"Subtotal:")+15:2:188:45:=IF(OFFSET(B233,1,0)&lt;&gt;"",OFFSET(B233,1,0),"")8:0:8:0:0:0:8:6:BP16108:6:BP16108:13:=LEFT(F233,3)8:3:#028:12:#02 EC Plant8:12:#02 EC Plant8:14:Piping package8:14:Piping package8:0:0:0:8:102:=IF(J233&lt;&gt;"",J233 - ('Shipping Program'!$D$9 + 'Shipping Program'!$F$9 + 'Shipping Program'!$H$9), "")8:0:8:0:0:0:8:39:=IF(SUM(M233:N233)=0,"",SUM(M233:N233))8:0:8:0:0:0:8:0:0:0:8:0:0:0:8:49:=VLOOKUP(I233,'Shipping Program'!$A$32:$B$78,2)-110:10:Error 20428:5:=O23310:10:Error 20428:7:=R233-710:10:Error 20158:155:=IFERROR(XLOOKUP(P233,'Shipping Program'!$B$32:$B$78,'Shipping Program'!$A$32:$A$78),IFERROR(INDEX(_V7Batches!$B:$B,MATCH(P233&amp;"",_V7Batches!$A:$A,0)),""))8:0:8:155:=IFERROR(XLOOKUP(P233,'Shipping Program'!$B$32:$B$78,'Shipping Program'!$E$32:$E$78),IFERROR(INDEX(_V7Batches!$D:$D,MATCH(P233&amp;"",_V7Batches!$A:$A,0)),""))8:0:8:29:=S233+'Shipping Program'!$H$910:10:Error 20158:42:=IFERROR(IF(J233*T233&lt;&gt;0,J233-T233,""),"")8:0:8:66:=IF(U233&lt;&gt;"",IF(U233&gt;28,"Too early",IF(U233&lt;14,"Too late","")),"")8:0:8:0:0:0:8:46:=IF(OFFSET(X233,1,0)="",R233,OFFSET(X233,1,0))8:0:8:70:=IF(OFFSET(Y233,1,0)="",X233+'Shipping Program'!$F$9,OFFSET(Y233,1,0))10:10:Error 20158:70:=IF(OFFSET(Z233,1,0)="",Y233+'Shipping Program'!$H$9,OFFSET(Z233,1,0))10:10:Error 20158:42:=IFERROR(IF(J233*Z233&lt;&gt;0,J233-Z233,""),"")8:0:8:69:=IF(AA233&lt;&gt;"",IF(AA233&gt;28,"Too early",IF(AA233&lt;14,"Too late","")),"")8:0:8:0:0:0:8:0:0:0:8:3:AES8:3:AES8:0:0:0:8:0:0:0:8:49:=IF(AI233="","",AI233*AJ233*AK233/1000/1000/1000)8:0:8:0:0:0:8:0:0:0:8:0:0:0:</t>
  </si>
  <si>
    <t>J233</t>
  </si>
  <si>
    <t>O233</t>
  </si>
  <si>
    <t>Q233</t>
  </si>
  <si>
    <t>T233</t>
  </si>
  <si>
    <t>P234</t>
  </si>
  <si>
    <t>8:45:=COUNTIF(J$3:OFFSET(J234,-1,0),"Subtotal:")+15:2:188:45:=IF(OFFSET(B234,1,0)&lt;&gt;"",OFFSET(B234,1,0),"")8:0:8:0:0:0:8:6:BP12108:6:BP12108:13:=LEFT(F234,3)8:3:#028:12:#02 EC Plant8:12:#02 EC Plant8:16:Ductwork package8:16:Ductwork package8:8:Ductwork8:8:Ductwork8:102:=IF(J234&lt;&gt;"",J234 - ('Shipping Program'!$D$9 + 'Shipping Program'!$F$9 + 'Shipping Program'!$H$9), "")8:0:8:0:0:0:8:39:=IF(SUM(M234:N234)=0,"",SUM(M234:N234))8:0:8:0:0:0:8:0:0:0:8:0:0:0:8:49:=VLOOKUP(I234,'Shipping Program'!$A$32:$B$78,2)-110:10:Error 20428:5:=O23410:10:Error 20428:7:=R234-710:10:Error 20158:155:=IFERROR(XLOOKUP(P234,'Shipping Program'!$B$32:$B$78,'Shipping Program'!$A$32:$A$78),IFERROR(INDEX(_V7Batches!$B:$B,MATCH(P234&amp;"",_V7Batches!$A:$A,0)),""))8:0:8:155:=IFERROR(XLOOKUP(P234,'Shipping Program'!$B$32:$B$78,'Shipping Program'!$E$32:$E$78),IFERROR(INDEX(_V7Batches!$D:$D,MATCH(P234&amp;"",_V7Batches!$A:$A,0)),""))8:0:8:29:=S234+'Shipping Program'!$H$910:10:Error 20158:42:=IFERROR(IF(J234*T234&lt;&gt;0,J234-T234,""),"")8:0:8:66:=IF(U234&lt;&gt;"",IF(U234&gt;28,"Too early",IF(U234&lt;14,"Too late","")),"")8:0:8:0:0:0:8:46:=IF(OFFSET(X234,1,0)="",R234,OFFSET(X234,1,0))8:0:8:70:=IF(OFFSET(Y234,1,0)="",X234+'Shipping Program'!$F$9,OFFSET(Y234,1,0))10:10:Error 20158:70:=IF(OFFSET(Z234,1,0)="",Y234+'Shipping Program'!$H$9,OFFSET(Z234,1,0))10:10:Error 20158:42:=IFERROR(IF(J234*Z234&lt;&gt;0,J234-Z234,""),"")8:0:8:69:=IF(AA234&lt;&gt;"",IF(AA234&gt;28,"Too early",IF(AA234&lt;14,"Too late","")),"")8:0:8:0:0:0:8:0:0:0:8:3:AES8:3:AES8:0:0:0:8:0:0:0:8:49:=IF(AI234="","",AI234*AJ234*AK234/1000/1000/1000)8:0:8:0:0:0:8:0:0:0:8:0:0:0:</t>
  </si>
  <si>
    <t>J234</t>
  </si>
  <si>
    <t>O234</t>
  </si>
  <si>
    <t>Q234</t>
  </si>
  <si>
    <t>T234</t>
  </si>
  <si>
    <t>P235</t>
  </si>
  <si>
    <t>8:45:=COUNTIF(J$3:OFFSET(J235,-1,0),"Subtotal:")+15:2:188:45:=IF(OFFSET(B235,1,0)&lt;&gt;"",OFFSET(B235,1,0),"")8:0:8:0:0:0:8:6:BP15108:6:BP15108:13:=LEFT(F235,3)8:3:#028:12:#02 PT Plant8:12:#02 PT Plant8:10:Insulation8:10:Insulation8:10:Insulation8:10:Insulation8:102:=IF(J235&lt;&gt;"",J235 - ('Shipping Program'!$D$9 + 'Shipping Program'!$F$9 + 'Shipping Program'!$H$9), "")8:0:8:0:0:0:8:39:=IF(SUM(M235:N235)=0,"",SUM(M235:N235))8:0:8:0:0:0:8:0:0:0:8:0:0:0:8:49:=VLOOKUP(I235,'Shipping Program'!$A$32:$B$78,2)-110:10:Error 20428:5:=O23510:10:Error 20428:7:=R235-710:10:Error 20158:155:=IFERROR(XLOOKUP(P235,'Shipping Program'!$B$32:$B$78,'Shipping Program'!$A$32:$A$78),IFERROR(INDEX(_V7Batches!$B:$B,MATCH(P235&amp;"",_V7Batches!$A:$A,0)),""))8:0:8:155:=IFERROR(XLOOKUP(P235,'Shipping Program'!$B$32:$B$78,'Shipping Program'!$E$32:$E$78),IFERROR(INDEX(_V7Batches!$D:$D,MATCH(P235&amp;"",_V7Batches!$A:$A,0)),""))8:0:8:29:=S235+'Shipping Program'!$H$910:10:Error 20158:42:=IFERROR(IF(J235*T235&lt;&gt;0,J235-T235,""),"")8:0:8:66:=IF(U235&lt;&gt;"",IF(U235&gt;28,"Too early",IF(U235&lt;14,"Too late","")),"")8:0:8:0:0:0:8:46:=IF(OFFSET(X235,1,0)="",R235,OFFSET(X235,1,0))8:0:8:70:=IF(OFFSET(Y235,1,0)="",X235+'Shipping Program'!$F$9,OFFSET(Y235,1,0))10:10:Error 20158:70:=IF(OFFSET(Z235,1,0)="",Y235+'Shipping Program'!$H$9,OFFSET(Z235,1,0))10:10:Error 20158:42:=IFERROR(IF(J235*Z235&lt;&gt;0,J235-Z235,""),"")8:0:8:69:=IF(AA235&lt;&gt;"",IF(AA235&gt;28,"Too early",IF(AA235&lt;14,"Too late","")),"")8:0:8:0:0:0:8:0:0:0:8:3:AES8:3:AES8:0:0:0:8:0:0:0:8:49:=IF(AI235="","",AI235*AJ235*AK235/1000/1000/1000)8:0:8:0:0:0:8:0:0:0:8:0:0:0:</t>
  </si>
  <si>
    <t>J235</t>
  </si>
  <si>
    <t>O235</t>
  </si>
  <si>
    <t>Q235</t>
  </si>
  <si>
    <t>T235</t>
  </si>
  <si>
    <t>P236</t>
  </si>
  <si>
    <t>8:45:=COUNTIF(J$3:OFFSET(J236,-1,0),"Subtotal:")+15:2:188:45:=IF(OFFSET(B236,1,0)&lt;&gt;"",OFFSET(B236,1,0),"")8:0:8:0:0:0:8:6:BP15108:6:BP15108:13:=LEFT(F236,3)8:3:#028:12:#02 EC Plant8:12:#02 EC Plant8:10:Insulation8:10:Insulation8:10:Insulation8:10:Insulation8:102:=IF(J236&lt;&gt;"",J236 - ('Shipping Program'!$D$9 + 'Shipping Program'!$F$9 + 'Shipping Program'!$H$9), "")8:0:8:0:0:0:8:39:=IF(SUM(M236:N236)=0,"",SUM(M236:N236))8:0:8:0:0:0:8:0:0:0:8:0:0:0:8:49:=VLOOKUP(I236,'Shipping Program'!$A$32:$B$78,2)-110:10:Error 20428:5:=O23610:10:Error 20428:7:=R236-710:10:Error 20158:155:=IFERROR(XLOOKUP(P236,'Shipping Program'!$B$32:$B$78,'Shipping Program'!$A$32:$A$78),IFERROR(INDEX(_V7Batches!$B:$B,MATCH(P236&amp;"",_V7Batches!$A:$A,0)),""))8:0:8:155:=IFERROR(XLOOKUP(P236,'Shipping Program'!$B$32:$B$78,'Shipping Program'!$E$32:$E$78),IFERROR(INDEX(_V7Batches!$D:$D,MATCH(P236&amp;"",_V7Batches!$A:$A,0)),""))8:0:8:29:=S236+'Shipping Program'!$H$910:10:Error 20158:42:=IFERROR(IF(J236*T236&lt;&gt;0,J236-T236,""),"")8:0:8:66:=IF(U236&lt;&gt;"",IF(U236&gt;28,"Too early",IF(U236&lt;14,"Too late","")),"")8:0:8:0:0:0:8:46:=IF(OFFSET(X236,1,0)="",R236,OFFSET(X236,1,0))8:0:8:70:=IF(OFFSET(Y236,1,0)="",X236+'Shipping Program'!$F$9,OFFSET(Y236,1,0))10:10:Error 20158:70:=IF(OFFSET(Z236,1,0)="",Y236+'Shipping Program'!$H$9,OFFSET(Z236,1,0))10:10:Error 20158:42:=IFERROR(IF(J236*Z236&lt;&gt;0,J236-Z236,""),"")8:0:8:69:=IF(AA236&lt;&gt;"",IF(AA236&gt;28,"Too early",IF(AA236&lt;14,"Too late","")),"")8:0:8:0:0:0:8:0:0:0:8:3:AES8:3:AES8:0:0:0:8:0:0:0:8:49:=IF(AI236="","",AI236*AJ236*AK236/1000/1000/1000)8:0:8:0:0:0:8:0:0:0:8:0:0:0:</t>
  </si>
  <si>
    <t>J236</t>
  </si>
  <si>
    <t>O236</t>
  </si>
  <si>
    <t>Q236</t>
  </si>
  <si>
    <t>T236</t>
  </si>
  <si>
    <t>P237</t>
  </si>
  <si>
    <t>8:45:=COUNTIF(J$3:OFFSET(J237,-1,0),"Subtotal:")+15:2:188:45:=IF(OFFSET(B237,1,0)&lt;&gt;"",OFFSET(B237,1,0),"")8:0:8:0:0:0:8:6:BP19508:6:BP19508:13:=LEFT(F237,3)8:3:#098:13:#09 Steelwork8:13:#09 Steelwork8:14:EC oven CP2.108:14:EC oven CP2.108:3:CP28:3:CP28:102:=IF(J237&lt;&gt;"",J237 - ('Shipping Program'!$D$9 + 'Shipping Program'!$F$9 + 'Shipping Program'!$H$9), "")8:0:8:0:0:0:8:39:=IF(SUM(M237:N237)=0,"",SUM(M237:N237))8:0:8:0:0:0:8:0:0:0:8:0:0:0:8:49:=VLOOKUP(I237,'Shipping Program'!$A$32:$B$78,2)-110:10:Error 20428:5:=O23710:10:Error 20428:7:=R237-710:10:Error 20158:155:=IFERROR(XLOOKUP(P237,'Shipping Program'!$B$32:$B$78,'Shipping Program'!$A$32:$A$78),IFERROR(INDEX(_V7Batches!$B:$B,MATCH(P237&amp;"",_V7Batches!$A:$A,0)),""))8:0:8:155:=IFERROR(XLOOKUP(P237,'Shipping Program'!$B$32:$B$78,'Shipping Program'!$E$32:$E$78),IFERROR(INDEX(_V7Batches!$D:$D,MATCH(P237&amp;"",_V7Batches!$A:$A,0)),""))8:0:8:29:=S237+'Shipping Program'!$H$910:10:Error 20158:42:=IFERROR(IF(J237*T237&lt;&gt;0,J237-T237,""),"")8:0:8:66:=IF(U237&lt;&gt;"",IF(U237&gt;28,"Too early",IF(U237&lt;14,"Too late","")),"")8:0:8:0:0:0:8:46:=IF(OFFSET(X237,1,0)="",R237,OFFSET(X237,1,0))8:0:8:70:=IF(OFFSET(Y237,1,0)="",X237+'Shipping Program'!$F$9,OFFSET(Y237,1,0))10:10:Error 20158:70:=IF(OFFSET(Z237,1,0)="",Y237+'Shipping Program'!$H$9,OFFSET(Z237,1,0))10:10:Error 20158:42:=IFERROR(IF(J237*Z237&lt;&gt;0,J237-Z237,""),"")8:0:8:69:=IF(AA237&lt;&gt;"",IF(AA237&gt;28,"Too early",IF(AA237&lt;14,"Too late","")),"")8:0:8:0:0:0:8:0:0:0:8:3:AES8:3:AES8:0:0:0:8:0:0:0:8:49:=IF(AI237="","",AI237*AJ237*AK237/1000/1000/1000)8:0:8:0:0:0:8:0:0:0:8:0:0:0:</t>
  </si>
  <si>
    <t>J237</t>
  </si>
  <si>
    <t>O237</t>
  </si>
  <si>
    <t>Q237</t>
  </si>
  <si>
    <t>T237</t>
  </si>
  <si>
    <t>P238</t>
  </si>
  <si>
    <t>8:45:=COUNTIF(J$3:OFFSET(J238,-1,0),"Subtotal:")+15:2:188:45:=IF(OFFSET(B238,1,0)&lt;&gt;"",OFFSET(B238,1,0),"")8:0:8:0:0:0:8:6:BP12208:6:BP12208:13:=LEFT(F238,3)8:3:#048:11:#04 EC Oven8:11:#04 EC Oven8:15:Ducting package8:15:Ducting package8:0:0:0:8:102:=IF(J238&lt;&gt;"",J238 - ('Shipping Program'!$D$9 + 'Shipping Program'!$F$9 + 'Shipping Program'!$H$9), "")8:0:8:0:0:0:8:39:=IF(SUM(M238:N238)=0,"",SUM(M238:N238))8:0:8:0:0:0:8:0:0:0:8:0:0:0:8:49:=VLOOKUP(I238,'Shipping Program'!$A$32:$B$78,2)-110:10:Error 20428:5:=O23810:10:Error 20428:7:=R238-710:10:Error 20158:155:=IFERROR(XLOOKUP(P238,'Shipping Program'!$B$32:$B$78,'Shipping Program'!$A$32:$A$78),IFERROR(INDEX(_V7Batches!$B:$B,MATCH(P238&amp;"",_V7Batches!$A:$A,0)),""))8:0:8:155:=IFERROR(XLOOKUP(P238,'Shipping Program'!$B$32:$B$78,'Shipping Program'!$E$32:$E$78),IFERROR(INDEX(_V7Batches!$D:$D,MATCH(P238&amp;"",_V7Batches!$A:$A,0)),""))8:0:8:29:=S238+'Shipping Program'!$H$910:10:Error 20158:42:=IFERROR(IF(J238*T238&lt;&gt;0,J238-T238,""),"")8:0:8:66:=IF(U238&lt;&gt;"",IF(U238&gt;28,"Too early",IF(U238&lt;14,"Too late","")),"")8:0:8:0:0:0:8:46:=IF(OFFSET(X238,1,0)="",R238,OFFSET(X238,1,0))8:0:8:70:=IF(OFFSET(Y238,1,0)="",X238+'Shipping Program'!$F$9,OFFSET(Y238,1,0))10:10:Error 20158:70:=IF(OFFSET(Z238,1,0)="",Y238+'Shipping Program'!$H$9,OFFSET(Z238,1,0))10:10:Error 20158:42:=IFERROR(IF(J238*Z238&lt;&gt;0,J238-Z238,""),"")8:0:8:69:=IF(AA238&lt;&gt;"",IF(AA238&gt;28,"Too early",IF(AA238&lt;14,"Too late","")),"")8:0:8:0:0:0:8:0:0:0:8:3:AES8:3:AES8:0:0:0:8:0:0:0:8:49:=IF(AI238="","",AI238*AJ238*AK238/1000/1000/1000)8:0:8:0:0:0:8:0:0:0:8:0:0:0:</t>
  </si>
  <si>
    <t>J238</t>
  </si>
  <si>
    <t>O238</t>
  </si>
  <si>
    <t>Q238</t>
  </si>
  <si>
    <t>T238</t>
  </si>
  <si>
    <t>P239</t>
  </si>
  <si>
    <t>8:45:=COUNTIF(J$3:OFFSET(J239,-1,0),"Subtotal:")+15:2:188:45:=IF(OFFSET(B239,1,0)&lt;&gt;"",OFFSET(B239,1,0),"")8:0:8:0:0:0:8:6:BP16208:6:BP16208:13:=LEFT(F239,3)8:3:#048:11:#04 EC Oven8:11:#04 EC Oven8:14:Piping package8:14:Piping package8:0:0:0:8:102:=IF(J239&lt;&gt;"",J239 - ('Shipping Program'!$D$9 + 'Shipping Program'!$F$9 + 'Shipping Program'!$H$9), "")8:0:8:0:0:0:8:39:=IF(SUM(M239:N239)=0,"",SUM(M239:N239))8:0:8:0:0:0:8:0:0:0:8:0:0:0:8:49:=VLOOKUP(I239,'Shipping Program'!$A$32:$B$78,2)-110:10:Error 20428:5:=O23910:10:Error 20428:7:=R239-710:10:Error 20158:155:=IFERROR(XLOOKUP(P239,'Shipping Program'!$B$32:$B$78,'Shipping Program'!$A$32:$A$78),IFERROR(INDEX(_V7Batches!$B:$B,MATCH(P239&amp;"",_V7Batches!$A:$A,0)),""))8:0:8:155:=IFERROR(XLOOKUP(P239,'Shipping Program'!$B$32:$B$78,'Shipping Program'!$E$32:$E$78),IFERROR(INDEX(_V7Batches!$D:$D,MATCH(P239&amp;"",_V7Batches!$A:$A,0)),""))8:0:8:29:=S239+'Shipping Program'!$H$910:10:Error 20158:42:=IFERROR(IF(J239*T239&lt;&gt;0,J239-T239,""),"")8:0:8:66:=IF(U239&lt;&gt;"",IF(U239&gt;28,"Too early",IF(U239&lt;14,"Too late","")),"")8:0:8:0:0:0:8:46:=IF(OFFSET(X239,1,0)="",R239,OFFSET(X239,1,0))8:0:8:70:=IF(OFFSET(Y239,1,0)="",X239+'Shipping Program'!$F$9,OFFSET(Y239,1,0))10:10:Error 20158:70:=IF(OFFSET(Z239,1,0)="",Y239+'Shipping Program'!$H$9,OFFSET(Z239,1,0))10:10:Error 20158:42:=IFERROR(IF(J239*Z239&lt;&gt;0,J239-Z239,""),"")8:0:8:69:=IF(AA239&lt;&gt;"",IF(AA239&gt;28,"Too early",IF(AA239&lt;14,"Too late","")),"")8:0:8:0:0:0:8:0:0:0:8:3:AES8:3:AES8:0:0:0:8:0:0:0:8:49:=IF(AI239="","",AI239*AJ239*AK239/1000/1000/1000)8:0:8:0:0:0:8:0:0:0:8:0:0:0:</t>
  </si>
  <si>
    <t>J239</t>
  </si>
  <si>
    <t>O239</t>
  </si>
  <si>
    <t>Q239</t>
  </si>
  <si>
    <t>T239</t>
  </si>
  <si>
    <t>P240</t>
  </si>
  <si>
    <t>8:45:=COUNTIF(J$3:OFFSET(J240,-1,0),"Subtotal:")+15:2:188:45:=IF(OFFSET(B240,1,0)&lt;&gt;"",OFFSET(B240,1,0),"")8:0:8:0:0:0:8:6:BP12208:6:BP12208:13:=LEFT(F240,3)8:3:#048:15:#04 Primer Oven8:15:#04 Primer Oven8:15:Ducting package8:15:Ducting package8:0:0:0:8:102:=IF(J240&lt;&gt;"",J240 - ('Shipping Program'!$D$9 + 'Shipping Program'!$F$9 + 'Shipping Program'!$H$9), "")8:0:8:0:0:0:8:39:=IF(SUM(M240:N240)=0,"",SUM(M240:N240))8:0:8:0:0:0:8:0:0:0:8:0:0:0:8:49:=VLOOKUP(I240,'Shipping Program'!$A$32:$B$78,2)-110:10:Error 20428:5:=O24010:10:Error 20428:7:=R240-710:10:Error 20158:155:=IFERROR(XLOOKUP(P240,'Shipping Program'!$B$32:$B$78,'Shipping Program'!$A$32:$A$78),IFERROR(INDEX(_V7Batches!$B:$B,MATCH(P240&amp;"",_V7Batches!$A:$A,0)),""))8:0:8:155:=IFERROR(XLOOKUP(P240,'Shipping Program'!$B$32:$B$78,'Shipping Program'!$E$32:$E$78),IFERROR(INDEX(_V7Batches!$D:$D,MATCH(P240&amp;"",_V7Batches!$A:$A,0)),""))8:0:8:29:=S240+'Shipping Program'!$H$910:10:Error 20158:42:=IFERROR(IF(J240*T240&lt;&gt;0,J240-T240,""),"")8:0:8:66:=IF(U240&lt;&gt;"",IF(U240&gt;28,"Too early",IF(U240&lt;14,"Too late","")),"")8:0:8:0:0:0:8:46:=IF(OFFSET(X240,1,0)="",R240,OFFSET(X240,1,0))8:0:8:70:=IF(OFFSET(Y240,1,0)="",X240+'Shipping Program'!$F$9,OFFSET(Y240,1,0))10:10:Error 20158:70:=IF(OFFSET(Z240,1,0)="",Y240+'Shipping Program'!$H$9,OFFSET(Z240,1,0))10:10:Error 20158:42:=IFERROR(IF(J240*Z240&lt;&gt;0,J240-Z240,""),"")8:0:8:69:=IF(AA240&lt;&gt;"",IF(AA240&gt;28,"Too early",IF(AA240&lt;14,"Too late","")),"")8:0:8:0:0:0:8:0:0:0:8:3:AES8:3:AES8:0:0:0:8:0:0:0:8:49:=IF(AI240="","",AI240*AJ240*AK240/1000/1000/1000)8:0:8:0:0:0:8:0:0:0:8:0:0:0:</t>
  </si>
  <si>
    <t>J240</t>
  </si>
  <si>
    <t>O240</t>
  </si>
  <si>
    <t>Q240</t>
  </si>
  <si>
    <t>T240</t>
  </si>
  <si>
    <t>P241</t>
  </si>
  <si>
    <t>8:45:=COUNTIF(J$3:OFFSET(J241,-1,0),"Subtotal:")+15:2:188:45:=IF(OFFSET(B241,1,0)&lt;&gt;"",OFFSET(B241,1,0),"")8:0:8:0:0:0:8:6:BP19508:6:BP19508:13:=LEFT(F241,3)8:3:#098:13:#09 Steelwork8:13:#09 Steelwork8:14:TC oven CP2.128:14:TC oven CP2.128:3:CP28:3:CP28:102:=IF(J241&lt;&gt;"",J241 - ('Shipping Program'!$D$9 + 'Shipping Program'!$F$9 + 'Shipping Program'!$H$9), "")8:0:8:0:0:0:8:39:=IF(SUM(M241:N241)=0,"",SUM(M241:N241))8:0:8:0:0:0:8:0:0:0:8:0:0:0:8:49:=VLOOKUP(I241,'Shipping Program'!$A$32:$B$78,2)-110:10:Error 20428:5:=O24110:10:Error 20428:7:=R241-710:10:Error 20158:155:=IFERROR(XLOOKUP(P241,'Shipping Program'!$B$32:$B$78,'Shipping Program'!$A$32:$A$78),IFERROR(INDEX(_V7Batches!$B:$B,MATCH(P241&amp;"",_V7Batches!$A:$A,0)),""))8:0:8:155:=IFERROR(XLOOKUP(P241,'Shipping Program'!$B$32:$B$78,'Shipping Program'!$E$32:$E$78),IFERROR(INDEX(_V7Batches!$D:$D,MATCH(P241&amp;"",_V7Batches!$A:$A,0)),""))8:0:8:29:=S241+'Shipping Program'!$H$910:10:Error 20158:42:=IFERROR(IF(J241*T241&lt;&gt;0,J241-T241,""),"")8:0:8:66:=IF(U241&lt;&gt;"",IF(U241&gt;28,"Too early",IF(U241&lt;14,"Too late","")),"")8:0:8:0:0:0:8:46:=IF(OFFSET(X241,1,0)="",R241,OFFSET(X241,1,0))8:0:8:70:=IF(OFFSET(Y241,1,0)="",X241+'Shipping Program'!$F$9,OFFSET(Y241,1,0))10:10:Error 20158:70:=IF(OFFSET(Z241,1,0)="",Y241+'Shipping Program'!$H$9,OFFSET(Z241,1,0))10:10:Error 20158:42:=IFERROR(IF(J241*Z241&lt;&gt;0,J241-Z241,""),"")8:0:8:69:=IF(AA241&lt;&gt;"",IF(AA241&gt;28,"Too early",IF(AA241&lt;14,"Too late","")),"")8:0:8:0:0:0:8:0:0:0:8:3:AES8:3:AES8:0:0:0:8:0:0:0:8:49:=IF(AI241="","",AI241*AJ241*AK241/1000/1000/1000)8:0:8:0:0:0:8:0:0:0:8:0:0:0:</t>
  </si>
  <si>
    <t>J241</t>
  </si>
  <si>
    <t>O241</t>
  </si>
  <si>
    <t>Q241</t>
  </si>
  <si>
    <t>T241</t>
  </si>
  <si>
    <t>P242</t>
  </si>
  <si>
    <t>8:45:=COUNTIF(J$3:OFFSET(J242,-1,0),"Subtotal:")+15:2:188:45:=IF(OFFSET(B242,1,0)&lt;&gt;"",OFFSET(B242,1,0),"")8:0:8:0:0:0:8:6:BP18308:6:BP18308:13:=LEFT(F242,3)8:3:#048:11:#04 TC Oven8:11:#04 TC Oven8:35:Oven modules heat-up zone *6modules8:35:Oven modules heat-up zone *6modules8:0:0:0:8:102:=IF(J242&lt;&gt;"",J242 - ('Shipping Program'!$D$9 + 'Shipping Program'!$F$9 + 'Shipping Program'!$H$9), "")8:0:8:0:0:0:8:39:=IF(SUM(M242:N242)=0,"",SUM(M242:N242))8:0:8:0:0:0:8:0:0:0:8:0:0:0:8:49:=VLOOKUP(I242,'Shipping Program'!$A$32:$B$78,2)-110:10:Error 20428:5:=O24210:10:Error 20428:7:=R242-710:10:Error 20158:155:=IFERROR(XLOOKUP(P242,'Shipping Program'!$B$32:$B$78,'Shipping Program'!$A$32:$A$78),IFERROR(INDEX(_V7Batches!$B:$B,MATCH(P242&amp;"",_V7Batches!$A:$A,0)),""))8:0:8:155:=IFERROR(XLOOKUP(P242,'Shipping Program'!$B$32:$B$78,'Shipping Program'!$E$32:$E$78),IFERROR(INDEX(_V7Batches!$D:$D,MATCH(P242&amp;"",_V7Batches!$A:$A,0)),""))8:0:8:29:=S242+'Shipping Program'!$H$910:10:Error 20158:42:=IFERROR(IF(J242*T242&lt;&gt;0,J242-T242,""),"")8:0:8:66:=IF(U242&lt;&gt;"",IF(U242&gt;28,"Too early",IF(U242&lt;14,"Too late","")),"")8:0:8:0:0:0:8:46:=IF(OFFSET(X242,1,0)="",R242,OFFSET(X242,1,0))8:0:8:70:=IF(OFFSET(Y242,1,0)="",X242+'Shipping Program'!$F$9,OFFSET(Y242,1,0))10:10:Error 20158:70:=IF(OFFSET(Z242,1,0)="",Y242+'Shipping Program'!$H$9,OFFSET(Z242,1,0))10:10:Error 20158:42:=IFERROR(IF(J242*Z242&lt;&gt;0,J242-Z242,""),"")8:0:8:69:=IF(AA242&lt;&gt;"",IF(AA242&gt;28,"Too early",IF(AA242&lt;14,"Too late","")),"")8:0:8:0:0:0:8:0:0:0:8:4:Durr8:4:Durr8:3:FOB8:3:FOB8:3:F+N8:3:F+N8:49:=IF(AI242="","",AI242*AJ242*AK242/1000/1000/1000)8:0:8:0:0:0:8:0:0:0:8:0:0:0:</t>
  </si>
  <si>
    <t>J242</t>
  </si>
  <si>
    <t>O242</t>
  </si>
  <si>
    <t>Q242</t>
  </si>
  <si>
    <t>T242</t>
  </si>
  <si>
    <t>P243</t>
  </si>
  <si>
    <t>8:45:=COUNTIF(J$3:OFFSET(J243,-1,0),"Subtotal:")+15:2:188:45:=IF(OFFSET(B243,1,0)&lt;&gt;"",OFFSET(B243,1,0),"")8:0:8:0:0:0:8:6:BP18308:6:BP18308:13:=LEFT(F243,3)8:3:#048:11:#04 TC Oven8:11:#04 TC Oven8:32:Oven modules hold zone *6modules8:32:Oven modules hold zone *6modules8:0:0:0:8:102:=IF(J243&lt;&gt;"",J243 - ('Shipping Program'!$D$9 + 'Shipping Program'!$F$9 + 'Shipping Program'!$H$9), "")8:0:8:0:0:0:8:39:=IF(SUM(M243:N243)=0,"",SUM(M243:N243))8:0:8:0:0:0:8:0:0:0:8:0:0:0:8:49:=VLOOKUP(I243,'Shipping Program'!$A$32:$B$78,2)-110:10:Error 20428:5:=O24310:10:Error 20428:7:=R243-710:10:Error 20158:155:=IFERROR(XLOOKUP(P243,'Shipping Program'!$B$32:$B$78,'Shipping Program'!$A$32:$A$78),IFERROR(INDEX(_V7Batches!$B:$B,MATCH(P243&amp;"",_V7Batches!$A:$A,0)),""))8:0:8:155:=IFERROR(XLOOKUP(P243,'Shipping Program'!$B$32:$B$78,'Shipping Program'!$E$32:$E$78),IFERROR(INDEX(_V7Batches!$D:$D,MATCH(P243&amp;"",_V7Batches!$A:$A,0)),""))8:0:8:29:=S243+'Shipping Program'!$H$910:10:Error 20158:42:=IFERROR(IF(J243*T243&lt;&gt;0,J243-T243,""),"")8:0:8:66:=IF(U243&lt;&gt;"",IF(U243&gt;28,"Too early",IF(U243&lt;14,"Too late","")),"")8:0:8:0:0:0:8:46:=IF(OFFSET(X243,1,0)="",R243,OFFSET(X243,1,0))8:0:8:70:=IF(OFFSET(Y243,1,0)="",X243+'Shipping Program'!$F$9,OFFSET(Y243,1,0))10:10:Error 20158:70:=IF(OFFSET(Z243,1,0)="",Y243+'Shipping Program'!$H$9,OFFSET(Z243,1,0))10:10:Error 20158:42:=IFERROR(IF(J243*Z243&lt;&gt;0,J243-Z243,""),"")8:0:8:69:=IF(AA243&lt;&gt;"",IF(AA243&gt;28,"Too early",IF(AA243&lt;14,"Too late","")),"")8:0:8:0:0:0:8:0:0:0:8:4:Durr8:4:Durr8:3:FOB8:3:FOB8:3:F+N8:3:F+N8:49:=IF(AI243="","",AI243*AJ243*AK243/1000/1000/1000)8:0:8:0:0:0:8:0:0:0:8:0:0:0:</t>
  </si>
  <si>
    <t>J243</t>
  </si>
  <si>
    <t>O243</t>
  </si>
  <si>
    <t>Q243</t>
  </si>
  <si>
    <t>T243</t>
  </si>
  <si>
    <t>P244</t>
  </si>
  <si>
    <t>8:45:=COUNTIF(J$3:OFFSET(J244,-1,0),"Subtotal:")+15:2:188:45:=IF(OFFSET(B244,1,0)&lt;&gt;"",OFFSET(B244,1,0),"")8:0:8:0:0:0:8:6:BP18308:6:BP18308:13:=LEFT(F244,3)8:3:#048:11:#04 TC Oven8:11:#04 TC Oven8:26:Heater Box heat-up zone *28:26:Heater Box heat-up zone *28:0:0:0:8:102:=IF(J244&lt;&gt;"",J244 - ('Shipping Program'!$D$9 + 'Shipping Program'!$F$9 + 'Shipping Program'!$H$9), "")8:0:8:0:0:0:8:39:=IF(SUM(M244:N244)=0,"",SUM(M244:N244))8:0:8:0:0:0:8:0:0:0:8:0:0:0:8:49:=VLOOKUP(I244,'Shipping Program'!$A$32:$B$78,2)-110:10:Error 20428:5:=O24410:10:Error 20428:7:=R244-710:10:Error 20158:155:=IFERROR(XLOOKUP(P244,'Shipping Program'!$B$32:$B$78,'Shipping Program'!$A$32:$A$78),IFERROR(INDEX(_V7Batches!$B:$B,MATCH(P244&amp;"",_V7Batches!$A:$A,0)),""))8:0:8:155:=IFERROR(XLOOKUP(P244,'Shipping Program'!$B$32:$B$78,'Shipping Program'!$E$32:$E$78),IFERROR(INDEX(_V7Batches!$D:$D,MATCH(P244&amp;"",_V7Batches!$A:$A,0)),""))8:0:8:29:=S244+'Shipping Program'!$H$910:10:Error 20158:42:=IFERROR(IF(J244*T244&lt;&gt;0,J244-T244,""),"")8:0:8:66:=IF(U244&lt;&gt;"",IF(U244&gt;28,"Too early",IF(U244&lt;14,"Too late","")),"")8:0:8:0:0:0:8:46:=IF(OFFSET(X244,1,0)="",R244,OFFSET(X244,1,0))8:0:8:70:=IF(OFFSET(Y244,1,0)="",X244+'Shipping Program'!$F$9,OFFSET(Y244,1,0))10:10:Error 20158:70:=IF(OFFSET(Z244,1,0)="",Y244+'Shipping Program'!$H$9,OFFSET(Z244,1,0))10:10:Error 20158:42:=IFERROR(IF(J244*Z244&lt;&gt;0,J244-Z244,""),"")8:0:8:69:=IF(AA244&lt;&gt;"",IF(AA244&gt;28,"Too early",IF(AA244&lt;14,"Too late","")),"")8:0:8:0:0:0:8:0:0:0:8:4:Durr8:4:Durr8:3:FOB8:3:FOB8:3:F+N8:3:F+N8:49:=IF(AI244="","",AI244*AJ244*AK244/1000/1000/1000)8:0:8:0:0:0:8:0:0:0:8:0:0:0:</t>
  </si>
  <si>
    <t>J244</t>
  </si>
  <si>
    <t>O244</t>
  </si>
  <si>
    <t>Q244</t>
  </si>
  <si>
    <t>T244</t>
  </si>
  <si>
    <t>P245</t>
  </si>
  <si>
    <t>8:45:=COUNTIF(J$3:OFFSET(J245,-1,0),"Subtotal:")+15:2:188:45:=IF(OFFSET(B245,1,0)&lt;&gt;"",OFFSET(B245,1,0),"")8:0:8:0:0:0:8:6:BP12208:6:BP12208:13:=LEFT(F245,3)8:3:#048:11:#04 TC Oven8:11:#04 TC Oven8:15:Ducting package8:15:Ducting package8:0:0:0:8:102:=IF(J245&lt;&gt;"",J245 - ('Shipping Program'!$D$9 + 'Shipping Program'!$F$9 + 'Shipping Program'!$H$9), "")8:0:8:0:0:0:8:39:=IF(SUM(M245:N245)=0,"",SUM(M245:N245))8:0:8:0:0:0:8:0:0:0:8:0:0:0:8:49:=VLOOKUP(I245,'Shipping Program'!$A$32:$B$78,2)-110:10:Error 20428:5:=O24510:10:Error 20428:7:=R245-710:10:Error 20158:155:=IFERROR(XLOOKUP(P245,'Shipping Program'!$B$32:$B$78,'Shipping Program'!$A$32:$A$78),IFERROR(INDEX(_V7Batches!$B:$B,MATCH(P245&amp;"",_V7Batches!$A:$A,0)),""))8:0:8:155:=IFERROR(XLOOKUP(P245,'Shipping Program'!$B$32:$B$78,'Shipping Program'!$E$32:$E$78),IFERROR(INDEX(_V7Batches!$D:$D,MATCH(P245&amp;"",_V7Batches!$A:$A,0)),""))8:0:8:29:=S245+'Shipping Program'!$H$910:10:Error 20158:42:=IFERROR(IF(J245*T245&lt;&gt;0,J245-T245,""),"")8:0:8:66:=IF(U245&lt;&gt;"",IF(U245&gt;28,"Too early",IF(U245&lt;14,"Too late","")),"")8:0:8:0:0:0:8:46:=IF(OFFSET(X245,1,0)="",R245,OFFSET(X245,1,0))8:0:8:70:=IF(OFFSET(Y245,1,0)="",X245+'Shipping Program'!$F$9,OFFSET(Y245,1,0))10:10:Error 20158:70:=IF(OFFSET(Z245,1,0)="",Y245+'Shipping Program'!$H$9,OFFSET(Z245,1,0))10:10:Error 20158:42:=IFERROR(IF(J245*Z245&lt;&gt;0,J245-Z245,""),"")8:0:8:69:=IF(AA245&lt;&gt;"",IF(AA245&gt;28,"Too early",IF(AA245&lt;14,"Too late","")),"")8:0:8:0:0:0:8:0:0:0:8:3:AES8:3:AES8:0:0:0:8:0:0:0:8:49:=IF(AI245="","",AI245*AJ245*AK245/1000/1000/1000)8:0:8:0:0:0:8:0:0:0:8:0:0:0:</t>
  </si>
  <si>
    <t>J245</t>
  </si>
  <si>
    <t>O245</t>
  </si>
  <si>
    <t>Q245</t>
  </si>
  <si>
    <t>T245</t>
  </si>
  <si>
    <t>P246</t>
  </si>
  <si>
    <t>8:45:=COUNTIF(J$3:OFFSET(J246,-1,0),"Subtotal:")+15:2:188:45:=IF(OFFSET(B246,1,0)&lt;&gt;"",OFFSET(B246,1,0),"")8:0:8:0:0:0:8:6:BP16208:6:BP16208:13:=LEFT(F246,3)8:3:#048:11:#04 TC Oven8:11:#04 TC Oven8:14:Piping package8:14:Piping package8:0:0:0:8:102:=IF(J246&lt;&gt;"",J246 - ('Shipping Program'!$D$9 + 'Shipping Program'!$F$9 + 'Shipping Program'!$H$9), "")8:0:8:0:0:0:8:39:=IF(SUM(M246:N246)=0,"",SUM(M246:N246))8:0:8:0:0:0:8:0:0:0:8:0:0:0:8:49:=VLOOKUP(I246,'Shipping Program'!$A$32:$B$78,2)-110:10:Error 20428:5:=O24610:10:Error 20428:7:=R246-710:10:Error 20158:155:=IFERROR(XLOOKUP(P246,'Shipping Program'!$B$32:$B$78,'Shipping Program'!$A$32:$A$78),IFERROR(INDEX(_V7Batches!$B:$B,MATCH(P246&amp;"",_V7Batches!$A:$A,0)),""))8:0:8:155:=IFERROR(XLOOKUP(P246,'Shipping Program'!$B$32:$B$78,'Shipping Program'!$E$32:$E$78),IFERROR(INDEX(_V7Batches!$D:$D,MATCH(P246&amp;"",_V7Batches!$A:$A,0)),""))8:0:8:29:=S246+'Shipping Program'!$H$910:10:Error 20158:42:=IFERROR(IF(J246*T246&lt;&gt;0,J246-T246,""),"")8:0:8:66:=IF(U246&lt;&gt;"",IF(U246&gt;28,"Too early",IF(U246&lt;14,"Too late","")),"")8:0:8:0:0:0:8:46:=IF(OFFSET(X246,1,0)="",R246,OFFSET(X246,1,0))8:0:8:70:=IF(OFFSET(Y246,1,0)="",X246+'Shipping Program'!$F$9,OFFSET(Y246,1,0))10:10:Error 20158:70:=IF(OFFSET(Z246,1,0)="",Y246+'Shipping Program'!$H$9,OFFSET(Z246,1,0))10:10:Error 20158:42:=IFERROR(IF(J246*Z246&lt;&gt;0,J246-Z246,""),"")8:0:8:69:=IF(AA246&lt;&gt;"",IF(AA246&gt;28,"Too early",IF(AA246&lt;14,"Too late","")),"")8:0:8:0:0:0:8:0:0:0:8:3:AES8:3:AES8:0:0:0:8:0:0:0:8:49:=IF(AI246="","",AI246*AJ246*AK246/1000/1000/1000)8:0:8:0:0:0:8:0:0:0:8:0:0:0:</t>
  </si>
  <si>
    <t>J246</t>
  </si>
  <si>
    <t>O246</t>
  </si>
  <si>
    <t>Q246</t>
  </si>
  <si>
    <t>T246</t>
  </si>
  <si>
    <t>P247</t>
  </si>
  <si>
    <t>8:45:=COUNTIF(J$3:OFFSET(J247,-1,0),"Subtotal:")+15:2:188:45:=IF(OFFSET(B247,1,0)&lt;&gt;"",OFFSET(B247,1,0),"")8:0:8:0:0:0:8:6:BP19508:6:BP19508:13:=LEFT(F247,3)8:3:#098:13:#09 Steelwork8:13:#09 Steelwork8:23:Spray booth line CP3.108:23:Spray booth line CP3.108:3:CP38:3:CP38:102:=IF(J247&lt;&gt;"",J247 - ('Shipping Program'!$D$9 + 'Shipping Program'!$F$9 + 'Shipping Program'!$H$9), "")5:5:464458:5:464925:5:464928:39:=IF(SUM(M247:N247)=0,"",SUM(M247:N247))8:0:8:0:0:0:8:0:0:0:8:0:0:0:8:49:=VLOOKUP(I247,'Shipping Program'!$A$32:$B$78,2)-110:10:Error 20428:5:=O24710:10:Error 20428:7:=R247-710:10:Error 20158:155:=IFERROR(XLOOKUP(P247,'Shipping Program'!$B$32:$B$78,'Shipping Program'!$A$32:$A$78),IFERROR(INDEX(_V7Batches!$B:$B,MATCH(P247&amp;"",_V7Batches!$A:$A,0)),""))8:0:8:155:=IFERROR(XLOOKUP(P247,'Shipping Program'!$B$32:$B$78,'Shipping Program'!$E$32:$E$78),IFERROR(INDEX(_V7Batches!$D:$D,MATCH(P247&amp;"",_V7Batches!$A:$A,0)),""))8:0:8:29:=S247+'Shipping Program'!$H$910:10:Error 20158:42:=IFERROR(IF(J247*T247&lt;&gt;0,J247-T247,""),"")8:0:8:66:=IF(U247&lt;&gt;"",IF(U247&gt;28,"Too early",IF(U247&lt;14,"Too late","")),"")8:0:8:0:0:0:8:46:=IF(OFFSET(X247,1,0)="",R247,OFFSET(X247,1,0))8:0:8:70:=IF(OFFSET(Y247,1,0)="",X247+'Shipping Program'!$F$9,OFFSET(Y247,1,0))10:10:Error 20158:70:=IF(OFFSET(Z247,1,0)="",Y247+'Shipping Program'!$H$9,OFFSET(Z247,1,0))10:10:Error 20158:42:=IFERROR(IF(J247*Z247&lt;&gt;0,J247-Z247,""),"")8:0:8:69:=IF(AA247&lt;&gt;"",IF(AA247&gt;28,"Too early",IF(AA247&lt;14,"Too late","")),"")8:0:8:0:0:0:8:0:0:0:8:3:AES8:3:AES8:0:0:0:8:0:0:0:8:49:=IF(AI247="","",AI247*AJ247*AK247/1000/1000/1000)8:0:8:0:0:0:8:0:0:0:8:0:0:0:</t>
  </si>
  <si>
    <t>O247</t>
  </si>
  <si>
    <t>Q247</t>
  </si>
  <si>
    <t>T247</t>
  </si>
  <si>
    <t>P248</t>
  </si>
  <si>
    <t>8:45:=COUNTIF(J$3:OFFSET(J248,-1,0),"Subtotal:")+15:2:188:45:=IF(OFFSET(B248,1,0)&lt;&gt;"",OFFSET(B248,1,0),"")8:0:8:0:0:0:8:6:BP19758:6:BP19758:13:=LEFT(F248,3)8:3:#018:16:#01 Primer Booth8:16:#01 Primer Booth8:29:C-profile and grating support8:29:C-profile and grating support8:0:0:0:8:102:=IF(J248&lt;&gt;"",J248 - ('Shipping Program'!$D$9 + 'Shipping Program'!$F$9 + 'Shipping Program'!$H$9), "")8:0:8:0:0:0:8:39:=IF(SUM(M248:N248)=0,"",SUM(M248:N248))8:0:8:0:0:0:8:0:0:0:8:0:0:0:8:49:=VLOOKUP(I248,'Shipping Program'!$A$32:$B$78,2)-110:10:Error 20428:5:=O24810:10:Error 20428:7:=R248-710:10:Error 20158:155:=IFERROR(XLOOKUP(P248,'Shipping Program'!$B$32:$B$78,'Shipping Program'!$A$32:$A$78),IFERROR(INDEX(_V7Batches!$B:$B,MATCH(P248&amp;"",_V7Batches!$A:$A,0)),""))8:0:8:155:=IFERROR(XLOOKUP(P248,'Shipping Program'!$B$32:$B$78,'Shipping Program'!$E$32:$E$78),IFERROR(INDEX(_V7Batches!$D:$D,MATCH(P248&amp;"",_V7Batches!$A:$A,0)),""))8:0:8:29:=S248+'Shipping Program'!$H$910:10:Error 20158:42:=IFERROR(IF(J248*T248&lt;&gt;0,J248-T248,""),"")8:0:8:66:=IF(U248&lt;&gt;"",IF(U248&gt;28,"Too early",IF(U248&lt;14,"Too late","")),"")8:0:8:0:0:0:8:46:=IF(OFFSET(X248,1,0)="",R248,OFFSET(X248,1,0))8:0:8:70:=IF(OFFSET(Y248,1,0)="",X248+'Shipping Program'!$F$9,OFFSET(Y248,1,0))10:10:Error 20158:70:=IF(OFFSET(Z248,1,0)="",Y248+'Shipping Program'!$H$9,OFFSET(Z248,1,0))10:10:Error 20158:42:=IFERROR(IF(J248*Z248&lt;&gt;0,J248-Z248,""),"")8:0:8:69:=IF(AA248&lt;&gt;"",IF(AA248&gt;28,"Too early",IF(AA248&lt;14,"Too late","")),"")8:0:8:0:0:0:8:0:0:0:8:4:Durr8:4:Durr8:3:FOB8:3:FOB8:2:NR8:2:NR8:49:=IF(AI248="","",AI248*AJ248*AK248/1000/1000/1000)8:0:8:0:0:0:8:0:0:0:8:0:0:0:</t>
  </si>
  <si>
    <t>J248</t>
  </si>
  <si>
    <t>O248</t>
  </si>
  <si>
    <t>Q248</t>
  </si>
  <si>
    <t>T248</t>
  </si>
  <si>
    <t>P249</t>
  </si>
  <si>
    <t>8:45:=COUNTIF(J$3:OFFSET(J249,-1,0),"Subtotal:")+15:2:188:45:=IF(OFFSET(B249,1,0)&lt;&gt;"",OFFSET(B249,1,0),"")8:0:8:0:0:0:8:6:BP16308:6:BP16308:13:=LEFT(F249,3)8:3:#018:16:#01 Primer Booth8:16:#01 Primer Booth8:14:Piping package8:14:Piping package8:0:0:0:8:102:=IF(J249&lt;&gt;"",J249 - ('Shipping Program'!$D$9 + 'Shipping Program'!$F$9 + 'Shipping Program'!$H$9), "")8:0:8:0:0:0:8:39:=IF(SUM(M249:N249)=0,"",SUM(M249:N249))8:0:8:0:0:0:8:0:0:0:8:0:0:0:8:49:=VLOOKUP(I249,'Shipping Program'!$A$32:$B$78,2)-110:10:Error 20428:5:=O24910:10:Error 20428:7:=R249-710:10:Error 20158:155:=IFERROR(XLOOKUP(P249,'Shipping Program'!$B$32:$B$78,'Shipping Program'!$A$32:$A$78),IFERROR(INDEX(_V7Batches!$B:$B,MATCH(P249&amp;"",_V7Batches!$A:$A,0)),""))8:0:8:155:=IFERROR(XLOOKUP(P249,'Shipping Program'!$B$32:$B$78,'Shipping Program'!$E$32:$E$78),IFERROR(INDEX(_V7Batches!$D:$D,MATCH(P249&amp;"",_V7Batches!$A:$A,0)),""))8:0:8:29:=S249+'Shipping Program'!$H$910:10:Error 20158:42:=IFERROR(IF(J249*T249&lt;&gt;0,J249-T249,""),"")8:0:8:66:=IF(U249&lt;&gt;"",IF(U249&gt;28,"Too early",IF(U249&lt;14,"Too late","")),"")8:0:8:0:0:0:8:46:=IF(OFFSET(X249,1,0)="",R249,OFFSET(X249,1,0))8:0:8:70:=IF(OFFSET(Y249,1,0)="",X249+'Shipping Program'!$F$9,OFFSET(Y249,1,0))10:10:Error 20158:70:=IF(OFFSET(Z249,1,0)="",Y249+'Shipping Program'!$H$9,OFFSET(Z249,1,0))10:10:Error 20158:42:=IFERROR(IF(J249*Z249&lt;&gt;0,J249-Z249,""),"")8:0:8:69:=IF(AA249&lt;&gt;"",IF(AA249&gt;28,"Too early",IF(AA249&lt;14,"Too late","")),"")8:0:8:0:0:0:8:0:0:0:8:4:Durr8:4:Durr8:3:CNF8:3:CNF8:2:NR8:2:NR8:49:=IF(AI249="","",AI249*AJ249*AK249/1000/1000/1000)8:0:8:0:0:0:8:0:0:0:8:0:0:0:</t>
  </si>
  <si>
    <t>J249</t>
  </si>
  <si>
    <t>O249</t>
  </si>
  <si>
    <t>Q249</t>
  </si>
  <si>
    <t>T249</t>
  </si>
  <si>
    <t>P250</t>
  </si>
  <si>
    <t>8:45:=COUNTIF(J$3:OFFSET(J250,-1,0),"Subtotal:")+15:2:188:45:=IF(OFFSET(B250,1,0)&lt;&gt;"",OFFSET(B250,1,0),"")8:0:8:0:0:0:8:6:BP19758:6:BP19758:13:=LEFT(F250,3)8:3:#018:12:#01 TC Booth8:12:#01 TC Booth8:29:C-profile and grating support8:29:C-profile and grating support8:0:0:0:8:102:=IF(J250&lt;&gt;"",J250 - ('Shipping Program'!$D$9 + 'Shipping Program'!$F$9 + 'Shipping Program'!$H$9), "")8:0:8:0:0:0:8:39:=IF(SUM(M250:N250)=0,"",SUM(M250:N250))8:0:8:0:0:0:8:0:0:0:8:0:0:0:8:49:=VLOOKUP(I250,'Shipping Program'!$A$32:$B$78,2)-110:10:Error 20428:5:=O25010:10:Error 20428:7:=R250-710:10:Error 20158:155:=IFERROR(XLOOKUP(P250,'Shipping Program'!$B$32:$B$78,'Shipping Program'!$A$32:$A$78),IFERROR(INDEX(_V7Batches!$B:$B,MATCH(P250&amp;"",_V7Batches!$A:$A,0)),""))8:0:8:155:=IFERROR(XLOOKUP(P250,'Shipping Program'!$B$32:$B$78,'Shipping Program'!$E$32:$E$78),IFERROR(INDEX(_V7Batches!$D:$D,MATCH(P250&amp;"",_V7Batches!$A:$A,0)),""))8:0:8:29:=S250+'Shipping Program'!$H$910:10:Error 20158:42:=IFERROR(IF(J250*T250&lt;&gt;0,J250-T250,""),"")8:0:8:66:=IF(U250&lt;&gt;"",IF(U250&gt;28,"Too early",IF(U250&lt;14,"Too late","")),"")8:0:8:0:0:0:8:46:=IF(OFFSET(X250,1,0)="",R250,OFFSET(X250,1,0))8:0:8:70:=IF(OFFSET(Y250,1,0)="",X250+'Shipping Program'!$F$9,OFFSET(Y250,1,0))10:10:Error 20158:70:=IF(OFFSET(Z250,1,0)="",Y250+'Shipping Program'!$H$9,OFFSET(Z250,1,0))10:10:Error 20158:42:=IFERROR(IF(J250*Z250&lt;&gt;0,J250-Z250,""),"")8:0:8:69:=IF(AA250&lt;&gt;"",IF(AA250&gt;28,"Too early",IF(AA250&lt;14,"Too late","")),"")8:0:8:0:0:0:8:0:0:0:8:4:Durr8:4:Durr8:3:FOB8:3:FOB8:2:NR8:2:NR8:49:=IF(AI250="","",AI250*AJ250*AK250/1000/1000/1000)8:0:8:0:0:0:8:0:0:0:8:0:0:0:</t>
  </si>
  <si>
    <t>J250</t>
  </si>
  <si>
    <t>O250</t>
  </si>
  <si>
    <t>Q250</t>
  </si>
  <si>
    <t>T250</t>
  </si>
  <si>
    <t>P251</t>
  </si>
  <si>
    <t>8:45:=COUNTIF(J$3:OFFSET(J251,-1,0),"Subtotal:")+15:2:188:45:=IF(OFFSET(B251,1,0)&lt;&gt;"",OFFSET(B251,1,0),"")8:0:8:0:0:0:8:6:BP12308:6:BP12308:13:=LEFT(F251,3)8:3:#018:12:#01 TC Booth8:12:#01 TC Booth8:11:TC_Ductwork8:11:TC_Ductwork8:0:0:0:8:102:=IF(J251&lt;&gt;"",J251 - ('Shipping Program'!$D$9 + 'Shipping Program'!$F$9 + 'Shipping Program'!$H$9), "")8:0:8:0:0:0:8:39:=IF(SUM(M251:N251)=0,"",SUM(M251:N251))8:0:8:0:0:0:8:0:0:0:8:0:0:0:8:49:=VLOOKUP(I251,'Shipping Program'!$A$32:$B$78,2)-110:10:Error 20428:5:=O25110:10:Error 20428:7:=R251-710:10:Error 20158:155:=IFERROR(XLOOKUP(P251,'Shipping Program'!$B$32:$B$78,'Shipping Program'!$A$32:$A$78),IFERROR(INDEX(_V7Batches!$B:$B,MATCH(P251&amp;"",_V7Batches!$A:$A,0)),""))8:0:8:155:=IFERROR(XLOOKUP(P251,'Shipping Program'!$B$32:$B$78,'Shipping Program'!$E$32:$E$78),IFERROR(INDEX(_V7Batches!$D:$D,MATCH(P251&amp;"",_V7Batches!$A:$A,0)),""))8:0:8:29:=S251+'Shipping Program'!$H$910:10:Error 20158:42:=IFERROR(IF(J251*T251&lt;&gt;0,J251-T251,""),"")8:0:8:66:=IF(U251&lt;&gt;"",IF(U251&gt;28,"Too early",IF(U251&lt;14,"Too late","")),"")8:0:8:0:0:0:8:46:=IF(OFFSET(X251,1,0)="",R251,OFFSET(X251,1,0))8:0:8:70:=IF(OFFSET(Y251,1,0)="",X251+'Shipping Program'!$F$9,OFFSET(Y251,1,0))10:10:Error 20158:70:=IF(OFFSET(Z251,1,0)="",Y251+'Shipping Program'!$H$9,OFFSET(Z251,1,0))10:10:Error 20158:42:=IFERROR(IF(J251*Z251&lt;&gt;0,J251-Z251,""),"")8:0:8:69:=IF(AA251&lt;&gt;"",IF(AA251&gt;28,"Too early",IF(AA251&lt;14,"Too late","")),"")8:0:8:0:0:0:8:0:0:0:8:3:AES8:3:AES8:0:0:0:8:0:0:0:8:49:=IF(AI251="","",AI251*AJ251*AK251/1000/1000/1000)8:0:8:0:0:0:8:0:0:0:8:0:0:0:</t>
  </si>
  <si>
    <t>J251</t>
  </si>
  <si>
    <t>O251</t>
  </si>
  <si>
    <t>Q251</t>
  </si>
  <si>
    <t>T251</t>
  </si>
  <si>
    <t>P252</t>
  </si>
  <si>
    <t>8:45:=COUNTIF(J$3:OFFSET(J252,-1,0),"Subtotal:")+15:2:188:45:=IF(OFFSET(B252,1,0)&lt;&gt;"",OFFSET(B252,1,0),"")8:0:8:0:0:0:8:6:BP16308:6:BP16308:13:=LEFT(F252,3)8:3:#018:12:#01 TC Booth8:12:#01 TC Booth8:14:Piping package8:14:Piping package8:0:0:0:8:102:=IF(J252&lt;&gt;"",J252 - ('Shipping Program'!$D$9 + 'Shipping Program'!$F$9 + 'Shipping Program'!$H$9), "")8:0:8:0:0:0:8:39:=IF(SUM(M252:N252)=0,"",SUM(M252:N252))8:0:8:0:0:0:8:0:0:0:8:0:0:0:8:49:=VLOOKUP(I252,'Shipping Program'!$A$32:$B$78,2)-110:10:Error 20428:5:=O25210:10:Error 20428:7:=R252-710:10:Error 20158:155:=IFERROR(XLOOKUP(P252,'Shipping Program'!$B$32:$B$78,'Shipping Program'!$A$32:$A$78),IFERROR(INDEX(_V7Batches!$B:$B,MATCH(P252&amp;"",_V7Batches!$A:$A,0)),""))8:0:8:155:=IFERROR(XLOOKUP(P252,'Shipping Program'!$B$32:$B$78,'Shipping Program'!$E$32:$E$78),IFERROR(INDEX(_V7Batches!$D:$D,MATCH(P252&amp;"",_V7Batches!$A:$A,0)),""))8:0:8:29:=S252+'Shipping Program'!$H$910:10:Error 20158:42:=IFERROR(IF(J252*T252&lt;&gt;0,J252-T252,""),"")8:0:8:66:=IF(U252&lt;&gt;"",IF(U252&gt;28,"Too early",IF(U252&lt;14,"Too late","")),"")8:0:8:0:0:0:8:46:=IF(OFFSET(X252,1,0)="",R252,OFFSET(X252,1,0))8:0:8:70:=IF(OFFSET(Y252,1,0)="",X252+'Shipping Program'!$F$9,OFFSET(Y252,1,0))10:10:Error 20158:70:=IF(OFFSET(Z252,1,0)="",Y252+'Shipping Program'!$H$9,OFFSET(Z252,1,0))10:10:Error 20158:42:=IFERROR(IF(J252*Z252&lt;&gt;0,J252-Z252,""),"")8:0:8:69:=IF(AA252&lt;&gt;"",IF(AA252&gt;28,"Too early",IF(AA252&lt;14,"Too late","")),"")8:0:8:0:0:0:8:0:0:0:8:4:Durr8:4:Durr8:3:CNF8:3:CNF8:2:NR8:2:NR8:49:=IF(AI252="","",AI252*AJ252*AK252/1000/1000/1000)8:0:8:0:0:0:8:0:0:0:8:0:0:0:</t>
  </si>
  <si>
    <t>J252</t>
  </si>
  <si>
    <t>O252</t>
  </si>
  <si>
    <t>Q252</t>
  </si>
  <si>
    <t>T252</t>
  </si>
  <si>
    <t>P253</t>
  </si>
  <si>
    <t>8:45:=COUNTIF(J$3:OFFSET(J253,-1,0),"Subtotal:")+15:2:188:45:=IF(OFFSET(B253,1,0)&lt;&gt;"",OFFSET(B253,1,0),"")8:0:8:0:0:0:8:6:BP15308:6:BP15308:13:=LEFT(F253,3)8:3:#018:14:#01 Spraybooth8:14:#01 Spraybooth8:18:Insulation package8:18:Insulation package8:0:0:0:8:102:=IF(J253&lt;&gt;"",J253 - ('Shipping Program'!$D$9 + 'Shipping Program'!$F$9 + 'Shipping Program'!$H$9), "")8:0:8:0:0:0:8:39:=IF(SUM(M253:N253)=0,"",SUM(M253:N253))8:0:8:0:0:0:8:0:0:0:8:0:0:0:8:49:=VLOOKUP(I253,'Shipping Program'!$A$32:$B$78,2)-110:10:Error 20428:5:=O25310:10:Error 20428:7:=R253-710:10:Error 20158:155:=IFERROR(XLOOKUP(P253,'Shipping Program'!$B$32:$B$78,'Shipping Program'!$A$32:$A$78),IFERROR(INDEX(_V7Batches!$B:$B,MATCH(P253&amp;"",_V7Batches!$A:$A,0)),""))8:0:8:155:=IFERROR(XLOOKUP(P253,'Shipping Program'!$B$32:$B$78,'Shipping Program'!$E$32:$E$78),IFERROR(INDEX(_V7Batches!$D:$D,MATCH(P253&amp;"",_V7Batches!$A:$A,0)),""))8:0:8:29:=S253+'Shipping Program'!$H$910:10:Error 20158:42:=IFERROR(IF(J253*T253&lt;&gt;0,J253-T253,""),"")8:0:8:66:=IF(U253&lt;&gt;"",IF(U253&gt;28,"Too early",IF(U253&lt;14,"Too late","")),"")8:0:8:0:0:0:8:46:=IF(OFFSET(X253,1,0)="",R253,OFFSET(X253,1,0))8:0:8:70:=IF(OFFSET(Y253,1,0)="",X253+'Shipping Program'!$F$9,OFFSET(Y253,1,0))10:10:Error 20158:70:=IF(OFFSET(Z253,1,0)="",Y253+'Shipping Program'!$H$9,OFFSET(Z253,1,0))10:10:Error 20158:42:=IFERROR(IF(J253*Z253&lt;&gt;0,J253-Z253,""),"")8:0:8:69:=IF(AA253&lt;&gt;"",IF(AA253&gt;28,"Too early",IF(AA253&lt;14,"Too late","")),"")8:0:8:0:0:0:8:0:0:0:8:3:AES8:3:AES8:0:0:0:8:0:0:0:8:49:=IF(AI253="","",AI253*AJ253*AK253/1000/1000/1000)8:0:8:0:0:0:8:0:0:0:8:0:0:0:</t>
  </si>
  <si>
    <t>J253</t>
  </si>
  <si>
    <t>O253</t>
  </si>
  <si>
    <t>Q253</t>
  </si>
  <si>
    <t>T253</t>
  </si>
  <si>
    <t>P254</t>
  </si>
  <si>
    <t>8:45:=COUNTIF(J$3:OFFSET(J254,-1,0),"Subtotal:")+15:2:188:45:=IF(OFFSET(B254,1,0)&lt;&gt;"",OFFSET(B254,1,0),"")8:0:8:0:0:0:8:6:BP19508:6:BP19508:13:=LEFT(F254,3)8:3:#098:13:#09 Steelwork8:13:#09 Steelwork8:10:CV  CP5.208:10:CV  CP5.208:0:0:0:8:102:=IF(J254&lt;&gt;"",J254 - ('Shipping Program'!$D$9 + 'Shipping Program'!$F$9 + 'Shipping Program'!$H$9), "")5:5:464458:5:464925:5:464928:39:=IF(SUM(M254:N254)=0,"",SUM(M254:N254))8:0:8:0:0:0:8:0:0:0:8:0:0:0:8:49:=VLOOKUP(I254,'Shipping Program'!$A$32:$B$78,2)-110:10:Error 20428:5:=O25410:10:Error 20428:7:=R254-710:10:Error 20158:155:=IFERROR(XLOOKUP(P254,'Shipping Program'!$B$32:$B$78,'Shipping Program'!$A$32:$A$78),IFERROR(INDEX(_V7Batches!$B:$B,MATCH(P254&amp;"",_V7Batches!$A:$A,0)),""))8:0:8:155:=IFERROR(XLOOKUP(P254,'Shipping Program'!$B$32:$B$78,'Shipping Program'!$E$32:$E$78),IFERROR(INDEX(_V7Batches!$D:$D,MATCH(P254&amp;"",_V7Batches!$A:$A,0)),""))8:0:8:29:=S254+'Shipping Program'!$H$910:10:Error 20158:42:=IFERROR(IF(J254*T254&lt;&gt;0,J254-T254,""),"")8:0:8:66:=IF(U254&lt;&gt;"",IF(U254&gt;28,"Too early",IF(U254&lt;14,"Too late","")),"")8:0:8:0:0:0:8:46:=IF(OFFSET(X254,1,0)="",R254,OFFSET(X254,1,0))8:0:8:70:=IF(OFFSET(Y254,1,0)="",X254+'Shipping Program'!$F$9,OFFSET(Y254,1,0))10:10:Error 20158:70:=IF(OFFSET(Z254,1,0)="",Y254+'Shipping Program'!$H$9,OFFSET(Z254,1,0))10:10:Error 20158:42:=IFERROR(IF(J254*Z254&lt;&gt;0,J254-Z254,""),"")8:0:8:69:=IF(AA254&lt;&gt;"",IF(AA254&gt;28,"Too early",IF(AA254&lt;14,"Too late","")),"")8:0:8:0:0:0:8:0:0:0:8:3:AES8:3:AES8:0:0:0:8:0:0:0:8:49:=IF(AI254="","",AI254*AJ254*AK254/1000/1000/1000)8:0:8:0:0:0:8:0:0:0:8:0:0:0:</t>
  </si>
  <si>
    <t>O254</t>
  </si>
  <si>
    <t>Q254</t>
  </si>
  <si>
    <t>T254</t>
  </si>
  <si>
    <t>P255</t>
  </si>
  <si>
    <t>8:45:=COUNTIF(J$3:OFFSET(J255,-1,0),"Subtotal:")+15:2:188:45:=IF(OFFSET(B255,1,0)&lt;&gt;"",OFFSET(B255,1,0),"")8:0:8:0:0:0:8:6:BP19508:6:BP19508:13:=LEFT(F255,3)8:3:#098:13:#09 Steelwork8:13:#09 Steelwork8:17:ASU Primer CP4.308:17:ASU Primer CP4.308:0:0:0:8:102:=IF(J255&lt;&gt;"",J255 - ('Shipping Program'!$D$9 + 'Shipping Program'!$F$9 + 'Shipping Program'!$H$9), "")8:0:8:0:0:0:8:39:=IF(SUM(M255:N255)=0,"",SUM(M255:N255))8:0:8:0:0:0:8:0:0:0:8:0:0:0:8:49:=VLOOKUP(I255,'Shipping Program'!$A$32:$B$78,2)-110:10:Error 20428:5:=O25510:10:Error 20428:7:=R255-710:10:Error 20158:155:=IFERROR(XLOOKUP(P255,'Shipping Program'!$B$32:$B$78,'Shipping Program'!$A$32:$A$78),IFERROR(INDEX(_V7Batches!$B:$B,MATCH(P255&amp;"",_V7Batches!$A:$A,0)),""))8:0:8:155:=IFERROR(XLOOKUP(P255,'Shipping Program'!$B$32:$B$78,'Shipping Program'!$E$32:$E$78),IFERROR(INDEX(_V7Batches!$D:$D,MATCH(P255&amp;"",_V7Batches!$A:$A,0)),""))8:0:8:29:=S255+'Shipping Program'!$H$910:10:Error 20158:42:=IFERROR(IF(J255*T255&lt;&gt;0,J255-T255,""),"")8:0:8:66:=IF(U255&lt;&gt;"",IF(U255&gt;28,"Too early",IF(U255&lt;14,"Too late","")),"")8:0:8:0:0:0:8:46:=IF(OFFSET(X255,1,0)="",R255,OFFSET(X255,1,0))8:0:8:70:=IF(OFFSET(Y255,1,0)="",X255+'Shipping Program'!$F$9,OFFSET(Y255,1,0))10:10:Error 20158:70:=IF(OFFSET(Z255,1,0)="",Y255+'Shipping Program'!$H$9,OFFSET(Z255,1,0))10:10:Error 20158:42:=IFERROR(IF(J255*Z255&lt;&gt;0,J255-Z255,""),"")8:0:8:69:=IF(AA255&lt;&gt;"",IF(AA255&gt;28,"Too early",IF(AA255&lt;14,"Too late","")),"")8:0:8:0:0:0:8:0:0:0:8:3:AES8:3:AES8:0:0:0:8:0:0:0:8:49:=IF(AI255="","",AI255*AJ255*AK255/1000/1000/1000)8:0:8:0:0:0:8:0:0:0:8:0:0:0:</t>
  </si>
  <si>
    <t>J255</t>
  </si>
  <si>
    <t>O255</t>
  </si>
  <si>
    <t>Q255</t>
  </si>
  <si>
    <t>T255</t>
  </si>
  <si>
    <t>P256</t>
  </si>
  <si>
    <t>8:45:=COUNTIF(J$3:OFFSET(J256,-1,0),"Subtotal:")+15:2:188:45:=IF(OFFSET(B256,1,0)&lt;&gt;"",OFFSET(B256,1,0),"")8:0:8:0:0:0:8:6:BP17008:6:BP17008:13:=LEFT(F256,3)8:3:#118:11:#11 PMR ASU8:11:#11 PMR ASU8:15:Ducting package8:15:Ducting package8:3:ASU8:3:ASU8:102:=IF(J256&lt;&gt;"",J256 - ('Shipping Program'!$D$9 + 'Shipping Program'!$F$9 + 'Shipping Program'!$H$9), "")8:0:8:0:0:0:8:39:=IF(SUM(M256:N256)=0,"",SUM(M256:N256))8:0:8:0:0:0:8:0:0:0:8:0:0:0:8:49:=VLOOKUP(I256,'Shipping Program'!$A$32:$B$78,2)-110:10:Error 20428:5:=O25610:10:Error 20428:7:=R256-710:10:Error 20158:155:=IFERROR(XLOOKUP(P256,'Shipping Program'!$B$32:$B$78,'Shipping Program'!$A$32:$A$78),IFERROR(INDEX(_V7Batches!$B:$B,MATCH(P256&amp;"",_V7Batches!$A:$A,0)),""))8:0:8:155:=IFERROR(XLOOKUP(P256,'Shipping Program'!$B$32:$B$78,'Shipping Program'!$E$32:$E$78),IFERROR(INDEX(_V7Batches!$D:$D,MATCH(P256&amp;"",_V7Batches!$A:$A,0)),""))8:0:8:29:=S256+'Shipping Program'!$H$910:10:Error 20158:42:=IFERROR(IF(J256*T256&lt;&gt;0,J256-T256,""),"")8:0:8:66:=IF(U256&lt;&gt;"",IF(U256&gt;28,"Too early",IF(U256&lt;14,"Too late","")),"")8:0:8:0:0:0:8:46:=IF(OFFSET(X256,1,0)="",R256,OFFSET(X256,1,0))8:0:8:70:=IF(OFFSET(Y256,1,0)="",X256+'Shipping Program'!$F$9,OFFSET(Y256,1,0))10:10:Error 20158:70:=IF(OFFSET(Z256,1,0)="",Y256+'Shipping Program'!$H$9,OFFSET(Z256,1,0))10:10:Error 20158:42:=IFERROR(IF(J256*Z256&lt;&gt;0,J256-Z256,""),"")8:0:8:69:=IF(AA256&lt;&gt;"",IF(AA256&gt;28,"Too early",IF(AA256&lt;14,"Too late","")),"")8:0:8:0:0:0:8:0:0:0:8:3:AES8:3:AES8:0:0:0:8:0:0:0:8:49:=IF(AI256="","",AI256*AJ256*AK256/1000/1000/1000)8:0:8:0:0:0:8:0:0:0:8:0:0:0:</t>
  </si>
  <si>
    <t>J256</t>
  </si>
  <si>
    <t>O256</t>
  </si>
  <si>
    <t>Q256</t>
  </si>
  <si>
    <t>T256</t>
  </si>
  <si>
    <t>P257</t>
  </si>
  <si>
    <t>8:45:=COUNTIF(J$3:OFFSET(J257,-1,0),"Subtotal:")+15:2:188:45:=IF(OFFSET(B257,1,0)&lt;&gt;"",OFFSET(B257,1,0),"")8:0:8:0:0:0:8:6:BP17008:6:BP17008:13:=LEFT(F257,3)8:3:#138:25:#13 WD ASU+2 Filter Boxes8:25:#13 WD ASU+2 Filter Boxes8:15:Ducting package8:15:Ducting package8:17:ASU+WD_filter box8:17:ASU+WD_filter box8:102:=IF(J257&lt;&gt;"",J257 - ('Shipping Program'!$D$9 + 'Shipping Program'!$F$9 + 'Shipping Program'!$H$9), "")8:0:8:0:0:0:8:39:=IF(SUM(M257:N257)=0,"",SUM(M257:N257))8:0:8:0:0:0:8:0:0:0:8:0:0:0:8:49:=VLOOKUP(I257,'Shipping Program'!$A$32:$B$78,2)-110:10:Error 20428:5:=O25710:10:Error 20428:7:=R257-710:10:Error 20158:155:=IFERROR(XLOOKUP(P257,'Shipping Program'!$B$32:$B$78,'Shipping Program'!$A$32:$A$78),IFERROR(INDEX(_V7Batches!$B:$B,MATCH(P257&amp;"",_V7Batches!$A:$A,0)),""))8:0:8:155:=IFERROR(XLOOKUP(P257,'Shipping Program'!$B$32:$B$78,'Shipping Program'!$E$32:$E$78),IFERROR(INDEX(_V7Batches!$D:$D,MATCH(P257&amp;"",_V7Batches!$A:$A,0)),""))8:0:8:29:=S257+'Shipping Program'!$H$910:10:Error 20158:42:=IFERROR(IF(J257*T257&lt;&gt;0,J257-T257,""),"")8:0:8:66:=IF(U257&lt;&gt;"",IF(U257&gt;28,"Too early",IF(U257&lt;14,"Too late","")),"")8:0:8:0:0:0:8:46:=IF(OFFSET(X257,1,0)="",R257,OFFSET(X257,1,0))8:0:8:70:=IF(OFFSET(Y257,1,0)="",X257+'Shipping Program'!$F$9,OFFSET(Y257,1,0))10:10:Error 20158:70:=IF(OFFSET(Z257,1,0)="",Y257+'Shipping Program'!$H$9,OFFSET(Z257,1,0))10:10:Error 20158:42:=IFERROR(IF(J257*Z257&lt;&gt;0,J257-Z257,""),"")8:0:8:69:=IF(AA257&lt;&gt;"",IF(AA257&gt;28,"Too early",IF(AA257&lt;14,"Too late","")),"")8:0:8:0:0:0:8:0:0:0:8:3:AES8:3:AES8:0:0:0:8:0:0:0:8:49:=IF(AI257="","",AI257*AJ257*AK257/1000/1000/1000)8:0:8:0:0:0:8:0:0:0:8:0:0:0:</t>
  </si>
  <si>
    <t>J257</t>
  </si>
  <si>
    <t>O257</t>
  </si>
  <si>
    <t>Q257</t>
  </si>
  <si>
    <t>T257</t>
  </si>
  <si>
    <t>P258</t>
  </si>
  <si>
    <t>8:45:=COUNTIF(J$3:OFFSET(J258,-1,0),"Subtotal:")+15:2:188:45:=IF(OFFSET(B258,1,0)&lt;&gt;"",OFFSET(B258,1,0),"")8:0:8:0:0:0:8:6:BP17008:6:BP17008:13:=LEFT(F258,3)8:3:#118:12:#11 Shop ASU8:12:#11 Shop ASU8:15:Humidifier unit8:15:Humidifier unit8:3:ASU8:3:ASU8:102:=IF(J258&lt;&gt;"",J258 - ('Shipping Program'!$D$9 + 'Shipping Program'!$F$9 + 'Shipping Program'!$H$9), "")8:0:8:0:0:0:8:39:=IF(SUM(M258:N258)=0,"",SUM(M258:N258))8:0:8:0:0:0:8:0:0:0:8:0:0:0:8:49:=VLOOKUP(I258,'Shipping Program'!$A$32:$B$78,2)-110:10:Error 20428:5:=O25810:10:Error 20428:7:=R258-710:10:Error 20158:155:=IFERROR(XLOOKUP(P258,'Shipping Program'!$B$32:$B$78,'Shipping Program'!$A$32:$A$78),IFERROR(INDEX(_V7Batches!$B:$B,MATCH(P258&amp;"",_V7Batches!$A:$A,0)),""))8:0:8:155:=IFERROR(XLOOKUP(P258,'Shipping Program'!$B$32:$B$78,'Shipping Program'!$E$32:$E$78),IFERROR(INDEX(_V7Batches!$D:$D,MATCH(P258&amp;"",_V7Batches!$A:$A,0)),""))8:0:8:29:=S258+'Shipping Program'!$H$910:10:Error 20158:42:=IFERROR(IF(J258*T258&lt;&gt;0,J258-T258,""),"")8:0:8:66:=IF(U258&lt;&gt;"",IF(U258&gt;28,"Too early",IF(U258&lt;14,"Too late","")),"")8:0:8:0:0:0:8:46:=IF(OFFSET(X258,1,0)="",R258,OFFSET(X258,1,0))8:0:8:70:=IF(OFFSET(Y258,1,0)="",X258+'Shipping Program'!$F$9,OFFSET(Y258,1,0))10:10:Error 20158:70:=IF(OFFSET(Z258,1,0)="",Y258+'Shipping Program'!$H$9,OFFSET(Z258,1,0))10:10:Error 20158:42:=IFERROR(IF(J258*Z258&lt;&gt;0,J258-Z258,""),"")8:0:8:69:=IF(AA258&lt;&gt;"",IF(AA258&gt;28,"Too early",IF(AA258&lt;14,"Too late","")),"")8:0:8:0:0:0:8:0:0:0:8:3:AES8:3:AES8:0:0:0:8:0:0:0:8:49:=IF(AI258="","",AI258*AJ258*AK258/1000/1000/1000)8:0:8:0:0:0:8:0:0:0:8:0:0:0:</t>
  </si>
  <si>
    <t>J258</t>
  </si>
  <si>
    <t>O258</t>
  </si>
  <si>
    <t>Q258</t>
  </si>
  <si>
    <t>T258</t>
  </si>
  <si>
    <t>P259</t>
  </si>
  <si>
    <t>8:45:=COUNTIF(J$3:OFFSET(J259,-1,0),"Subtotal:")+15:2:188:45:=IF(OFFSET(B259,1,0)&lt;&gt;"",OFFSET(B259,1,0),"")8:0:8:0:0:0:8:6:BP17008:6:BP17008:13:=LEFT(F259,3)8:3:#118:12:#11 Shop ASU8:12:#11 Shop ASU8:15:Ducting package8:15:Ducting package8:3:ASU8:3:ASU8:102:=IF(J259&lt;&gt;"",J259 - ('Shipping Program'!$D$9 + 'Shipping Program'!$F$9 + 'Shipping Program'!$H$9), "")8:0:8:0:0:0:8:39:=IF(SUM(M259:N259)=0,"",SUM(M259:N259))8:0:8:0:0:0:8:0:0:0:8:0:0:0:8:49:=VLOOKUP(I259,'Shipping Program'!$A$32:$B$78,2)-110:10:Error 20428:5:=O25910:10:Error 20428:7:=R259-710:10:Error 20158:155:=IFERROR(XLOOKUP(P259,'Shipping Program'!$B$32:$B$78,'Shipping Program'!$A$32:$A$78),IFERROR(INDEX(_V7Batches!$B:$B,MATCH(P259&amp;"",_V7Batches!$A:$A,0)),""))8:0:8:155:=IFERROR(XLOOKUP(P259,'Shipping Program'!$B$32:$B$78,'Shipping Program'!$E$32:$E$78),IFERROR(INDEX(_V7Batches!$D:$D,MATCH(P259&amp;"",_V7Batches!$A:$A,0)),""))8:0:8:29:=S259+'Shipping Program'!$H$910:10:Error 20158:42:=IFERROR(IF(J259*T259&lt;&gt;0,J259-T259,""),"")8:0:8:66:=IF(U259&lt;&gt;"",IF(U259&gt;28,"Too early",IF(U259&lt;14,"Too late","")),"")8:0:8:0:0:0:8:46:=IF(OFFSET(X259,1,0)="",R259,OFFSET(X259,1,0))8:0:8:70:=IF(OFFSET(Y259,1,0)="",X259+'Shipping Program'!$F$9,OFFSET(Y259,1,0))10:10:Error 20158:70:=IF(OFFSET(Z259,1,0)="",Y259+'Shipping Program'!$H$9,OFFSET(Z259,1,0))10:10:Error 20158:42:=IFERROR(IF(J259*Z259&lt;&gt;0,J259-Z259,""),"")8:0:8:69:=IF(AA259&lt;&gt;"",IF(AA259&gt;28,"Too early",IF(AA259&lt;14,"Too late","")),"")8:0:8:0:0:0:8:0:0:0:8:3:AES8:3:AES8:0:0:0:8:0:0:0:8:49:=IF(AI259="","",AI259*AJ259*AK259/1000/1000/1000)8:0:8:0:0:0:8:0:0:0:8:0:0:0:</t>
  </si>
  <si>
    <t>J259</t>
  </si>
  <si>
    <t>O259</t>
  </si>
  <si>
    <t>Q259</t>
  </si>
  <si>
    <t>T259</t>
  </si>
  <si>
    <t>P260</t>
  </si>
  <si>
    <t>8:45:=COUNTIF(J$3:OFFSET(J260,-1,0),"Subtotal:")+15:2:188:45:=IF(OFFSET(B260,1,0)&lt;&gt;"",OFFSET(B260,1,0),"")8:0:8:0:0:0:8:6:BP17008:6:BP17008:13:=LEFT(F260,3)8:3:#138:20:#13 Primer Booth ASU8:20:#13 Primer Booth ASU8:15:Ducting package8:15:Ducting package8:3:ASU8:3:ASU8:102:=IF(J260&lt;&gt;"",J260 - ('Shipping Program'!$D$9 + 'Shipping Program'!$F$9 + 'Shipping Program'!$H$9), "")8:0:8:0:0:0:8:39:=IF(SUM(M260:N260)=0,"",SUM(M260:N260))8:0:8:0:0:0:8:0:0:0:8:0:0:0:8:49:=VLOOKUP(I260,'Shipping Program'!$A$32:$B$78,2)-110:10:Error 20428:5:=O26010:10:Error 20428:7:=R260-710:10:Error 20158:155:=IFERROR(XLOOKUP(P260,'Shipping Program'!$B$32:$B$78,'Shipping Program'!$A$32:$A$78),IFERROR(INDEX(_V7Batches!$B:$B,MATCH(P260&amp;"",_V7Batches!$A:$A,0)),""))8:0:8:155:=IFERROR(XLOOKUP(P260,'Shipping Program'!$B$32:$B$78,'Shipping Program'!$E$32:$E$78),IFERROR(INDEX(_V7Batches!$D:$D,MATCH(P260&amp;"",_V7Batches!$A:$A,0)),""))8:0:8:29:=S260+'Shipping Program'!$H$910:10:Error 20158:42:=IFERROR(IF(J260*T260&lt;&gt;0,J260-T260,""),"")8:0:8:66:=IF(U260&lt;&gt;"",IF(U260&gt;28,"Too early",IF(U260&lt;14,"Too late","")),"")8:0:8:0:0:0:8:46:=IF(OFFSET(X260,1,0)="",R260,OFFSET(X260,1,0))8:0:8:70:=IF(OFFSET(Y260,1,0)="",X260+'Shipping Program'!$F$9,OFFSET(Y260,1,0))10:10:Error 20158:70:=IF(OFFSET(Z260,1,0)="",Y260+'Shipping Program'!$H$9,OFFSET(Z260,1,0))10:10:Error 20158:42:=IFERROR(IF(J260*Z260&lt;&gt;0,J260-Z260,""),"")8:0:8:69:=IF(AA260&lt;&gt;"",IF(AA260&gt;28,"Too early",IF(AA260&lt;14,"Too late","")),"")8:0:8:0:0:0:8:0:0:0:8:3:AES8:3:AES8:0:0:0:8:0:0:0:8:49:=IF(AI260="","",AI260*AJ260*AK260/1000/1000/1000)8:0:8:0:0:0:8:0:0:0:8:0:0:0:</t>
  </si>
  <si>
    <t>J260</t>
  </si>
  <si>
    <t>O260</t>
  </si>
  <si>
    <t>Q260</t>
  </si>
  <si>
    <t>T260</t>
  </si>
  <si>
    <t>P261</t>
  </si>
  <si>
    <t>8:45:=COUNTIF(J$3:OFFSET(J261,-1,0),"Subtotal:")+15:2:188:45:=IF(OFFSET(B261,1,0)&lt;&gt;"",OFFSET(B261,1,0),"")8:0:8:0:0:0:8:6:BP17008:6:BP17008:13:=LEFT(F261,3)8:3:#138:16:#13 TC Booth RAU8:16:#13 TC Booth RAU8:15:Ducting package8:15:Ducting package8:3:RAU8:3:RAU8:102:=IF(J261&lt;&gt;"",J261 - ('Shipping Program'!$D$9 + 'Shipping Program'!$F$9 + 'Shipping Program'!$H$9), "")8:0:8:0:0:0:8:39:=IF(SUM(M261:N261)=0,"",SUM(M261:N261))8:0:8:0:0:0:8:0:0:0:8:0:0:0:8:49:=VLOOKUP(I261,'Shipping Program'!$A$32:$B$78,2)-110:10:Error 20428:5:=O26110:10:Error 20428:7:=R261-710:10:Error 20158:155:=IFERROR(XLOOKUP(P261,'Shipping Program'!$B$32:$B$78,'Shipping Program'!$A$32:$A$78),IFERROR(INDEX(_V7Batches!$B:$B,MATCH(P261&amp;"",_V7Batches!$A:$A,0)),""))8:0:8:155:=IFERROR(XLOOKUP(P261,'Shipping Program'!$B$32:$B$78,'Shipping Program'!$E$32:$E$78),IFERROR(INDEX(_V7Batches!$D:$D,MATCH(P261&amp;"",_V7Batches!$A:$A,0)),""))8:0:8:29:=S261+'Shipping Program'!$H$910:10:Error 20158:42:=IFERROR(IF(J261*T261&lt;&gt;0,J261-T261,""),"")8:0:8:66:=IF(U261&lt;&gt;"",IF(U261&gt;28,"Too early",IF(U261&lt;14,"Too late","")),"")8:0:8:0:0:0:8:46:=IF(OFFSET(X261,1,0)="",R261,OFFSET(X261,1,0))8:0:8:70:=IF(OFFSET(Y261,1,0)="",X261+'Shipping Program'!$F$9,OFFSET(Y261,1,0))10:10:Error 20158:70:=IF(OFFSET(Z261,1,0)="",Y261+'Shipping Program'!$H$9,OFFSET(Z261,1,0))10:10:Error 20158:42:=IFERROR(IF(J261*Z261&lt;&gt;0,J261-Z261,""),"")8:0:8:69:=IF(AA261&lt;&gt;"",IF(AA261&gt;28,"Too early",IF(AA261&lt;14,"Too late","")),"")8:0:8:0:0:0:8:0:0:0:8:3:AES8:3:AES8:0:0:0:8:0:0:0:8:49:=IF(AI261="","",AI261*AJ261*AK261/1000/1000/1000)8:0:8:0:0:0:8:0:0:0:8:0:0:0:</t>
  </si>
  <si>
    <t>J261</t>
  </si>
  <si>
    <t>O261</t>
  </si>
  <si>
    <t>Q261</t>
  </si>
  <si>
    <t>T261</t>
  </si>
  <si>
    <t>P262</t>
  </si>
  <si>
    <t>8:45:=COUNTIF(J$3:OFFSET(J262,-1,0),"Subtotal:")+15:2:188:45:=IF(OFFSET(B262,1,0)&lt;&gt;"",OFFSET(B262,1,0),"")8:0:8:0:0:0:8:6:BP17008:6:BP17008:13:=LEFT(F262,3)8:3:#138:20:#13 Primer Booth RAU8:20:#13 Primer Booth RAU8:15:Ducting package8:15:Ducting package8:3:RAU8:3:RAU8:102:=IF(J262&lt;&gt;"",J262 - ('Shipping Program'!$D$9 + 'Shipping Program'!$F$9 + 'Shipping Program'!$H$9), "")8:0:8:0:0:0:8:39:=IF(SUM(M262:N262)=0,"",SUM(M262:N262))8:0:8:0:0:0:8:0:0:0:8:0:0:0:8:49:=VLOOKUP(I262,'Shipping Program'!$A$32:$B$78,2)-110:10:Error 20428:5:=O26210:10:Error 20428:7:=R262-710:10:Error 20158:155:=IFERROR(XLOOKUP(P262,'Shipping Program'!$B$32:$B$78,'Shipping Program'!$A$32:$A$78),IFERROR(INDEX(_V7Batches!$B:$B,MATCH(P262&amp;"",_V7Batches!$A:$A,0)),""))8:0:8:155:=IFERROR(XLOOKUP(P262,'Shipping Program'!$B$32:$B$78,'Shipping Program'!$E$32:$E$78),IFERROR(INDEX(_V7Batches!$D:$D,MATCH(P262&amp;"",_V7Batches!$A:$A,0)),""))8:0:8:29:=S262+'Shipping Program'!$H$910:10:Error 20158:42:=IFERROR(IF(J262*T262&lt;&gt;0,J262-T262,""),"")8:0:8:66:=IF(U262&lt;&gt;"",IF(U262&gt;28,"Too early",IF(U262&lt;14,"Too late","")),"")8:0:8:0:0:0:8:46:=IF(OFFSET(X262,1,0)="",R262,OFFSET(X262,1,0))8:0:8:70:=IF(OFFSET(Y262,1,0)="",X262+'Shipping Program'!$F$9,OFFSET(Y262,1,0))10:10:Error 20158:70:=IF(OFFSET(Z262,1,0)="",Y262+'Shipping Program'!$H$9,OFFSET(Z262,1,0))10:10:Error 20158:42:=IFERROR(IF(J262*Z262&lt;&gt;0,J262-Z262,""),"")8:0:8:69:=IF(AA262&lt;&gt;"",IF(AA262&gt;28,"Too early",IF(AA262&lt;14,"Too late","")),"")8:0:8:0:0:0:8:0:0:0:8:3:AES8:3:AES8:0:0:0:8:0:0:0:8:49:=IF(AI262="","",AI262*AJ262*AK262/1000/1000/1000)8:0:8:0:0:0:8:0:0:0:8:0:0:0:</t>
  </si>
  <si>
    <t>J262</t>
  </si>
  <si>
    <t>O262</t>
  </si>
  <si>
    <t>Q262</t>
  </si>
  <si>
    <t>T262</t>
  </si>
  <si>
    <t>P263</t>
  </si>
  <si>
    <t>8:45:=COUNTIF(J$3:OFFSET(J263,-1,0),"Subtotal:")+15:2:188:45:=IF(OFFSET(B263,1,0)&lt;&gt;"",OFFSET(B263,1,0),"")8:0:8:0:0:0:8:6:BP12508:6:BP12508:13:=LEFT(F263,3)8:3:#118:33:#11 Shop Ventilation distribution8:33:#11 Shop Ventilation distribution8:29:Ductwork_PMR supply &amp; exhaust8:29:Ductwork_PMR supply &amp; exhaust8:0:0:0:8:102:=IF(J263&lt;&gt;"",J263 - ('Shipping Program'!$D$9 + 'Shipping Program'!$F$9 + 'Shipping Program'!$H$9), "")8:0:8:0:0:0:8:39:=IF(SUM(M263:N263)=0,"",SUM(M263:N263))8:0:8:0:0:0:8:0:0:0:8:0:0:0:8:49:=VLOOKUP(I263,'Shipping Program'!$A$32:$B$78,2)-110:10:Error 20428:5:=O26310:10:Error 20428:7:=R263-710:10:Error 20158:155:=IFERROR(XLOOKUP(P263,'Shipping Program'!$B$32:$B$78,'Shipping Program'!$A$32:$A$78),IFERROR(INDEX(_V7Batches!$B:$B,MATCH(P263&amp;"",_V7Batches!$A:$A,0)),""))8:0:8:155:=IFERROR(XLOOKUP(P263,'Shipping Program'!$B$32:$B$78,'Shipping Program'!$E$32:$E$78),IFERROR(INDEX(_V7Batches!$D:$D,MATCH(P263&amp;"",_V7Batches!$A:$A,0)),""))8:0:8:29:=S263+'Shipping Program'!$H$910:10:Error 20158:42:=IFERROR(IF(J263*T263&lt;&gt;0,J263-T263,""),"")8:0:8:66:=IF(U263&lt;&gt;"",IF(U263&gt;28,"Too early",IF(U263&lt;14,"Too late","")),"")8:0:8:0:0:0:8:46:=IF(OFFSET(X263,1,0)="",R263,OFFSET(X263,1,0))8:0:8:70:=IF(OFFSET(Y263,1,0)="",X263+'Shipping Program'!$F$9,OFFSET(Y263,1,0))10:10:Error 20158:70:=IF(OFFSET(Z263,1,0)="",Y263+'Shipping Program'!$H$9,OFFSET(Z263,1,0))10:10:Error 20158:42:=IFERROR(IF(J263*Z263&lt;&gt;0,J263-Z263,""),"")8:0:8:69:=IF(AA263&lt;&gt;"",IF(AA263&gt;28,"Too early",IF(AA263&lt;14,"Too late","")),"")8:0:8:0:0:0:8:0:0:0:8:3:AES8:3:AES8:0:0:0:8:0:0:0:8:49:=IF(AI263="","",AI263*AJ263*AK263/1000/1000/1000)8:0:8:0:0:0:8:0:0:0:8:0:0:0:</t>
  </si>
  <si>
    <t>J263</t>
  </si>
  <si>
    <t>O263</t>
  </si>
  <si>
    <t>Q263</t>
  </si>
  <si>
    <t>T263</t>
  </si>
  <si>
    <t>P264</t>
  </si>
  <si>
    <t>8:45:=COUNTIF(J$3:OFFSET(J264,-1,0),"Subtotal:")+15:2:188:45:=IF(OFFSET(B264,1,0)&lt;&gt;"",OFFSET(B264,1,0),"")8:0:8:0:0:0:8:6:BP12508:6:BP12508:13:=LEFT(F264,3)8:3:#118:33:#11 Shop Ventilation distribution8:33:#11 Shop Ventilation distribution8:13:Ductwork_shop8:13:Ductwork_shop8:0:0:0:8:102:=IF(J264&lt;&gt;"",J264 - ('Shipping Program'!$D$9 + 'Shipping Program'!$F$9 + 'Shipping Program'!$H$9), "")8:0:8:0:0:0:8:39:=IF(SUM(M264:N264)=0,"",SUM(M264:N264))8:0:8:0:0:0:8:0:0:0:8:0:0:0:8:49:=VLOOKUP(I264,'Shipping Program'!$A$32:$B$78,2)-110:10:Error 20428:5:=O26410:10:Error 20428:7:=R264-710:10:Error 20158:155:=IFERROR(XLOOKUP(P264,'Shipping Program'!$B$32:$B$78,'Shipping Program'!$A$32:$A$78),IFERROR(INDEX(_V7Batches!$B:$B,MATCH(P264&amp;"",_V7Batches!$A:$A,0)),""))8:0:8:155:=IFERROR(XLOOKUP(P264,'Shipping Program'!$B$32:$B$78,'Shipping Program'!$E$32:$E$78),IFERROR(INDEX(_V7Batches!$D:$D,MATCH(P264&amp;"",_V7Batches!$A:$A,0)),""))8:0:8:29:=S264+'Shipping Program'!$H$910:10:Error 20158:42:=IFERROR(IF(J264*T264&lt;&gt;0,J264-T264,""),"")8:0:8:66:=IF(U264&lt;&gt;"",IF(U264&gt;28,"Too early",IF(U264&lt;14,"Too late","")),"")8:0:8:0:0:0:8:46:=IF(OFFSET(X264,1,0)="",R264,OFFSET(X264,1,0))8:0:8:70:=IF(OFFSET(Y264,1,0)="",X264+'Shipping Program'!$F$9,OFFSET(Y264,1,0))10:10:Error 20158:70:=IF(OFFSET(Z264,1,0)="",Y264+'Shipping Program'!$H$9,OFFSET(Z264,1,0))10:10:Error 20158:42:=IFERROR(IF(J264*Z264&lt;&gt;0,J264-Z264,""),"")8:0:8:69:=IF(AA264&lt;&gt;"",IF(AA264&gt;28,"Too early",IF(AA264&lt;14,"Too late","")),"")8:0:8:0:0:0:8:0:0:0:8:3:AES8:3:AES8:0:0:0:8:0:0:0:8:49:=IF(AI264="","",AI264*AJ264*AK264/1000/1000/1000)8:0:8:0:0:0:8:0:0:0:8:0:0:0:</t>
  </si>
  <si>
    <t>J264</t>
  </si>
  <si>
    <t>O264</t>
  </si>
  <si>
    <t>Q264</t>
  </si>
  <si>
    <t>T264</t>
  </si>
  <si>
    <t>P265</t>
  </si>
  <si>
    <t>8:45:=COUNTIF(J$3:OFFSET(J265,-1,0),"Subtotal:")+15:2:188:45:=IF(OFFSET(B265,1,0)&lt;&gt;"",OFFSET(B265,1,0),"")8:0:8:0:0:0:8:6:BP12508:6:BP12508:13:=LEFT(F265,3)8:3:#118:33:#11 Shop Ventilation distribution8:33:#11 Shop Ventilation distribution8:24:Ductwork Workdeck supply8:24:Ductwork Workdeck supply8:0:0:0:8:102:=IF(J265&lt;&gt;"",J265 - ('Shipping Program'!$D$9 + 'Shipping Program'!$F$9 + 'Shipping Program'!$H$9), "")8:0:8:0:0:0:8:39:=IF(SUM(M265:N265)=0,"",SUM(M265:N265))8:0:8:0:0:0:8:0:0:0:8:0:0:0:8:49:=VLOOKUP(I265,'Shipping Program'!$A$32:$B$78,2)-110:10:Error 20428:5:=O26510:10:Error 20428:7:=R265-710:10:Error 20158:155:=IFERROR(XLOOKUP(P265,'Shipping Program'!$B$32:$B$78,'Shipping Program'!$A$32:$A$78),IFERROR(INDEX(_V7Batches!$B:$B,MATCH(P265&amp;"",_V7Batches!$A:$A,0)),""))8:0:8:155:=IFERROR(XLOOKUP(P265,'Shipping Program'!$B$32:$B$78,'Shipping Program'!$E$32:$E$78),IFERROR(INDEX(_V7Batches!$D:$D,MATCH(P265&amp;"",_V7Batches!$A:$A,0)),""))8:0:8:29:=S265+'Shipping Program'!$H$910:10:Error 20158:42:=IFERROR(IF(J265*T265&lt;&gt;0,J265-T265,""),"")8:0:8:66:=IF(U265&lt;&gt;"",IF(U265&gt;28,"Too early",IF(U265&lt;14,"Too late","")),"")8:0:8:0:0:0:8:46:=IF(OFFSET(X265,1,0)="",R265,OFFSET(X265,1,0))8:0:8:70:=IF(OFFSET(Y265,1,0)="",X265+'Shipping Program'!$F$9,OFFSET(Y265,1,0))10:10:Error 20158:70:=IF(OFFSET(Z265,1,0)="",Y265+'Shipping Program'!$H$9,OFFSET(Z265,1,0))10:10:Error 20158:42:=IFERROR(IF(J265*Z265&lt;&gt;0,J265-Z265,""),"")8:0:8:69:=IF(AA265&lt;&gt;"",IF(AA265&gt;28,"Too early",IF(AA265&lt;14,"Too late","")),"")8:0:8:0:0:0:8:0:0:0:8:3:AES8:3:AES8:0:0:0:8:0:0:0:8:49:=IF(AI265="","",AI265*AJ265*AK265/1000/1000/1000)8:0:8:0:0:0:8:0:0:0:8:0:0:0:</t>
  </si>
  <si>
    <t>J265</t>
  </si>
  <si>
    <t>O265</t>
  </si>
  <si>
    <t>Q265</t>
  </si>
  <si>
    <t>T265</t>
  </si>
  <si>
    <t>P266</t>
  </si>
  <si>
    <t>8:45:=COUNTIF(J$3:OFFSET(J266,-1,0),"Subtotal:")+15:2:188:45:=IF(OFFSET(B266,1,0)&lt;&gt;"",OFFSET(B266,1,0),"")8:0:8:0:0:0:8:6:BP16508:6:BP16508:13:=LEFT(F266,3)8:3:#118:13:#11 Utilities8:13:#11 Utilities8:16:Piping Utilities8:16:Piping Utilities8:0:0:0:8:102:=IF(J266&lt;&gt;"",J266 - ('Shipping Program'!$D$9 + 'Shipping Program'!$F$9 + 'Shipping Program'!$H$9), "")8:0:8:0:0:0:8:39:=IF(SUM(M266:N266)=0,"",SUM(M266:N266))8:0:8:0:0:0:8:0:0:0:8:0:0:0:8:49:=VLOOKUP(I266,'Shipping Program'!$A$32:$B$78,2)-110:10:Error 20428:5:=O26610:10:Error 20428:7:=R266-710:10:Error 20158:155:=IFERROR(XLOOKUP(P266,'Shipping Program'!$B$32:$B$78,'Shipping Program'!$A$32:$A$78),IFERROR(INDEX(_V7Batches!$B:$B,MATCH(P266&amp;"",_V7Batches!$A:$A,0)),""))8:0:8:155:=IFERROR(XLOOKUP(P266,'Shipping Program'!$B$32:$B$78,'Shipping Program'!$E$32:$E$78),IFERROR(INDEX(_V7Batches!$D:$D,MATCH(P266&amp;"",_V7Batches!$A:$A,0)),""))8:0:8:29:=S266+'Shipping Program'!$H$910:10:Error 20158:42:=IFERROR(IF(J266*T266&lt;&gt;0,J266-T266,""),"")8:0:8:66:=IF(U266&lt;&gt;"",IF(U266&gt;28,"Too early",IF(U266&lt;14,"Too late","")),"")8:0:8:0:0:0:8:46:=IF(OFFSET(X266,1,0)="",R266,OFFSET(X266,1,0))8:0:8:70:=IF(OFFSET(Y266,1,0)="",X266+'Shipping Program'!$F$9,OFFSET(Y266,1,0))10:10:Error 20158:70:=IF(OFFSET(Z266,1,0)="",Y266+'Shipping Program'!$H$9,OFFSET(Z266,1,0))10:10:Error 20158:42:=IFERROR(IF(J266*Z266&lt;&gt;0,J266-Z266,""),"")8:0:8:69:=IF(AA266&lt;&gt;"",IF(AA266&gt;28,"Too early",IF(AA266&lt;14,"Too late","")),"")8:0:8:0:0:0:8:0:0:0:8:3:AES8:3:AES8:0:0:0:8:0:0:0:8:49:=IF(AI266="","",AI266*AJ266*AK266/1000/1000/1000)8:0:8:0:0:0:8:0:0:0:8:0:0:0:</t>
  </si>
  <si>
    <t>J266</t>
  </si>
  <si>
    <t>O266</t>
  </si>
  <si>
    <t>Q266</t>
  </si>
  <si>
    <t>T266</t>
  </si>
  <si>
    <t>P267</t>
  </si>
  <si>
    <t>8:45:=COUNTIF(J$3:OFFSET(J267,-1,0),"Subtotal:")+15:2:188:45:=IF(OFFSET(B267,1,0)&lt;&gt;"",OFFSET(B267,1,0),"")8:0:8:0:0:0:8:6:BP15508:6:BP15508:13:=LEFT(F267,3)8:3:#118:13:#11 Utilities8:13:#11 Utilities8:36:Insulation utility, Shop Ventilation8:36:Insulation utility, Shop Ventilation8:0:0:0:8:102:=IF(J267&lt;&gt;"",J267 - ('Shipping Program'!$D$9 + 'Shipping Program'!$F$9 + 'Shipping Program'!$H$9), "")8:0:8:0:0:0:8:39:=IF(SUM(M267:N267)=0,"",SUM(M267:N267))8:0:8:0:0:0:8:0:0:0:8:0:0:0:8:49:=VLOOKUP(I267,'Shipping Program'!$A$32:$B$78,2)-110:10:Error 20428:5:=O26710:10:Error 20428:7:=R267-710:10:Error 20158:155:=IFERROR(XLOOKUP(P267,'Shipping Program'!$B$32:$B$78,'Shipping Program'!$A$32:$A$78),IFERROR(INDEX(_V7Batches!$B:$B,MATCH(P267&amp;"",_V7Batches!$A:$A,0)),""))8:0:8:155:=IFERROR(XLOOKUP(P267,'Shipping Program'!$B$32:$B$78,'Shipping Program'!$E$32:$E$78),IFERROR(INDEX(_V7Batches!$D:$D,MATCH(P267&amp;"",_V7Batches!$A:$A,0)),""))8:0:8:29:=S267+'Shipping Program'!$H$910:10:Error 20158:42:=IFERROR(IF(J267*T267&lt;&gt;0,J267-T267,""),"")8:0:8:66:=IF(U267&lt;&gt;"",IF(U267&gt;28,"Too early",IF(U267&lt;14,"Too late","")),"")8:0:8:0:0:0:8:46:=IF(OFFSET(X267,1,0)="",R267,OFFSET(X267,1,0))8:0:8:70:=IF(OFFSET(Y267,1,0)="",X267+'Shipping Program'!$F$9,OFFSET(Y267,1,0))10:10:Error 20158:70:=IF(OFFSET(Z267,1,0)="",Y267+'Shipping Program'!$H$9,OFFSET(Z267,1,0))10:10:Error 20158:42:=IFERROR(IF(J267*Z267&lt;&gt;0,J267-Z267,""),"")8:0:8:69:=IF(AA267&lt;&gt;"",IF(AA267&gt;28,"Too early",IF(AA267&lt;14,"Too late","")),"")8:0:8:0:0:0:8:0:0:0:8:3:AES8:3:AES8:0:0:0:8:0:0:0:8:49:=IF(AI267="","",AI267*AJ267*AK267/1000/1000/1000)8:0:8:0:0:0:8:0:0:0:8:0:0:0:</t>
  </si>
  <si>
    <t>J267</t>
  </si>
  <si>
    <t>O267</t>
  </si>
  <si>
    <t>Q267</t>
  </si>
  <si>
    <t>T267</t>
  </si>
  <si>
    <t>P268</t>
  </si>
  <si>
    <t>8:45:=COUNTIF(J$3:OFFSET(J268,-1,0),"Subtotal:")+15:2:188:45:=IF(OFFSET(B268,1,0)&lt;&gt;"",OFFSET(B268,1,0),"")8:0:8:0:0:0:8:6:BP23308:6:BP23308:13:=LEFT(F268,3)8:3:#038:18:#03 RO Water Plant8:18:#03 RO Water Plant8:13:RO water Unit8:13:RO water Unit8:0:0:0:8:102:=IF(J268&lt;&gt;"",J268 - ('Shipping Program'!$D$9 + 'Shipping Program'!$F$9 + 'Shipping Program'!$H$9), "")8:0:8:0:0:0:8:39:=IF(SUM(M268:N268)=0,"",SUM(M268:N268))8:0:8:0:0:0:8:0:0:0:8:0:0:0:8:49:=VLOOKUP(I268,'Shipping Program'!$A$32:$B$78,2)-110:10:Error 20428:5:=O26810:10:Error 20428:7:=R268-710:10:Error 20158:155:=IFERROR(XLOOKUP(P268,'Shipping Program'!$B$32:$B$78,'Shipping Program'!$A$32:$A$78),IFERROR(INDEX(_V7Batches!$B:$B,MATCH(P268&amp;"",_V7Batches!$A:$A,0)),""))8:0:8:155:=IFERROR(XLOOKUP(P268,'Shipping Program'!$B$32:$B$78,'Shipping Program'!$E$32:$E$78),IFERROR(INDEX(_V7Batches!$D:$D,MATCH(P268&amp;"",_V7Batches!$A:$A,0)),""))8:0:8:29:=S268+'Shipping Program'!$H$910:10:Error 20158:42:=IFERROR(IF(J268*T268&lt;&gt;0,J268-T268,""),"")8:0:8:66:=IF(U268&lt;&gt;"",IF(U268&gt;28,"Too early",IF(U268&lt;14,"Too late","")),"")8:0:8:0:0:0:8:46:=IF(OFFSET(X268,1,0)="",R268,OFFSET(X268,1,0))8:0:8:70:=IF(OFFSET(Y268,1,0)="",X268+'Shipping Program'!$F$9,OFFSET(Y268,1,0))10:10:Error 20158:70:=IF(OFFSET(Z268,1,0)="",Y268+'Shipping Program'!$H$9,OFFSET(Z268,1,0))10:10:Error 20158:42:=IFERROR(IF(J268*Z268&lt;&gt;0,J268-Z268,""),"")8:0:8:69:=IF(AA268&lt;&gt;"",IF(AA268&gt;28,"Too early",IF(AA268&lt;14,"Too late","")),"")8:0:8:0:0:0:8:0:0:0:8:3:AES8:3:AES8:0:0:0:8:0:0:0:8:49:=IF(AI268="","",AI268*AJ268*AK268/1000/1000/1000)8:0:8:0:0:0:8:0:0:0:8:0:0:0:</t>
  </si>
  <si>
    <t>J268</t>
  </si>
  <si>
    <t>O268</t>
  </si>
  <si>
    <t>Q268</t>
  </si>
  <si>
    <t>T268</t>
  </si>
  <si>
    <t>P269</t>
  </si>
  <si>
    <t>8:45:=COUNTIF(J$3:OFFSET(J269,-1,0),"Subtotal:")+15:2:188:45:=IF(OFFSET(B269,1,0)&lt;&gt;"",OFFSET(B269,1,0),"")8:0:8:0:0:0:8:6:BP23208:6:BP23208:13:=LEFT(F269,3)8:3:#118:19:#11 Fire Protection8:19:#11 Fire Protection8:16:Fire protection 8:16:Fire protection 8:0:0:0:8:102:=IF(J269&lt;&gt;"",J269 - ('Shipping Program'!$D$9 + 'Shipping Program'!$F$9 + 'Shipping Program'!$H$9), "")8:0:8:0:0:0:8:39:=IF(SUM(M269:N269)=0,"",SUM(M269:N269))8:0:8:0:0:0:8:0:0:0:8:0:0:0:8:49:=VLOOKUP(I269,'Shipping Program'!$A$32:$B$78,2)-110:10:Error 20428:5:=O26910:10:Error 20428:7:=R269-710:10:Error 20158:155:=IFERROR(XLOOKUP(P269,'Shipping Program'!$B$32:$B$78,'Shipping Program'!$A$32:$A$78),IFERROR(INDEX(_V7Batches!$B:$B,MATCH(P269&amp;"",_V7Batches!$A:$A,0)),""))8:0:8:155:=IFERROR(XLOOKUP(P269,'Shipping Program'!$B$32:$B$78,'Shipping Program'!$E$32:$E$78),IFERROR(INDEX(_V7Batches!$D:$D,MATCH(P269&amp;"",_V7Batches!$A:$A,0)),""))8:0:8:29:=S269+'Shipping Program'!$H$910:10:Error 20158:42:=IFERROR(IF(J269*T269&lt;&gt;0,J269-T269,""),"")8:0:8:66:=IF(U269&lt;&gt;"",IF(U269&gt;28,"Too early",IF(U269&lt;14,"Too late","")),"")8:0:8:0:0:0:8:46:=IF(OFFSET(X269,1,0)="",R269,OFFSET(X269,1,0))8:0:8:70:=IF(OFFSET(Y269,1,0)="",X269+'Shipping Program'!$F$9,OFFSET(Y269,1,0))10:10:Error 20158:70:=IF(OFFSET(Z269,1,0)="",Y269+'Shipping Program'!$H$9,OFFSET(Z269,1,0))10:10:Error 20158:42:=IFERROR(IF(J269*Z269&lt;&gt;0,J269-Z269,""),"")8:0:8:69:=IF(AA269&lt;&gt;"",IF(AA269&gt;28,"Too early",IF(AA269&lt;14,"Too late","")),"")8:0:8:0:0:0:8:0:0:0:8:3:AES8:3:AES8:0:0:0:8:0:0:0:8:49:=IF(AI269="","",AI269*AJ269*AK269/1000/1000/1000)8:0:8:0:0:0:8:0:0:0:8:0:0:0:</t>
  </si>
  <si>
    <t>J269</t>
  </si>
  <si>
    <t>O269</t>
  </si>
  <si>
    <t>Q269</t>
  </si>
  <si>
    <t>T269</t>
  </si>
  <si>
    <t>P270</t>
  </si>
  <si>
    <t>8:45:=COUNTIF(J$3:OFFSET(J270,-1,0),"Subtotal:")+15:2:188:45:=IF(OFFSET(B270,1,0)&lt;&gt;"",OFFSET(B270,1,0),"")8:0:8:0:0:0:8:6:BP23108:6:BP23108:13:=LEFT(F270,3)8:3:#118:25:#11 Cold water generation8:25:#11 Cold water generation8:12:Chiller Unit8:12:Chiller Unit8:0:0:0:8:102:=IF(J270&lt;&gt;"",J270 - ('Shipping Program'!$D$9 + 'Shipping Program'!$F$9 + 'Shipping Program'!$H$9), "")8:0:8:0:0:0:8:39:=IF(SUM(M270:N270)=0,"",SUM(M270:N270))8:0:8:0:0:0:8:0:0:0:8:0:0:0:8:49:=VLOOKUP(I270,'Shipping Program'!$A$32:$B$78,2)-110:10:Error 20428:5:=O27010:10:Error 20428:7:=R270-710:10:Error 20158:155:=IFERROR(XLOOKUP(P270,'Shipping Program'!$B$32:$B$78,'Shipping Program'!$A$32:$A$78),IFERROR(INDEX(_V7Batches!$B:$B,MATCH(P270&amp;"",_V7Batches!$A:$A,0)),""))8:0:8:155:=IFERROR(XLOOKUP(P270,'Shipping Program'!$B$32:$B$78,'Shipping Program'!$E$32:$E$78),IFERROR(INDEX(_V7Batches!$D:$D,MATCH(P270&amp;"",_V7Batches!$A:$A,0)),""))8:0:8:29:=S270+'Shipping Program'!$H$910:10:Error 20158:42:=IFERROR(IF(J270*T270&lt;&gt;0,J270-T270,""),"")8:0:8:66:=IF(U270&lt;&gt;"",IF(U270&gt;28,"Too early",IF(U270&lt;14,"Too late","")),"")8:0:8:0:0:0:8:46:=IF(OFFSET(X270,1,0)="",R270,OFFSET(X270,1,0))8:0:8:70:=IF(OFFSET(Y270,1,0)="",X270+'Shipping Program'!$F$9,OFFSET(Y270,1,0))10:10:Error 20158:70:=IF(OFFSET(Z270,1,0)="",Y270+'Shipping Program'!$H$9,OFFSET(Z270,1,0))10:10:Error 20158:42:=IFERROR(IF(J270*Z270&lt;&gt;0,J270-Z270,""),"")8:0:8:69:=IF(AA270&lt;&gt;"",IF(AA270&gt;28,"Too early",IF(AA270&lt;14,"Too late","")),"")8:0:8:0:0:0:8:0:0:0:8:3:AES8:3:AES8:0:0:0:8:0:0:0:8:49:=IF(AI270="","",AI270*AJ270*AK270/1000/1000/1000)8:0:8:0:0:0:8:0:0:0:8:0:0:0:</t>
  </si>
  <si>
    <t>J270</t>
  </si>
  <si>
    <t>O270</t>
  </si>
  <si>
    <t>Q270</t>
  </si>
  <si>
    <t>T270</t>
  </si>
  <si>
    <t>P271</t>
  </si>
  <si>
    <t>8:45:=COUNTIF(J$3:OFFSET(J271,-1,0),"Subtotal:")+15:2:188:45:=IF(OFFSET(B271,1,0)&lt;&gt;"",OFFSET(B271,1,0),"")8:0:8:0:0:0:8:6:BP23108:6:BP23108:13:=LEFT(F271,3)8:3:#118:24:#11 Hot water generation8:24:#11 Hot water generation8:11:Boiler Unit8:11:Boiler Unit8:0:0:0:8:102:=IF(J271&lt;&gt;"",J271 - ('Shipping Program'!$D$9 + 'Shipping Program'!$F$9 + 'Shipping Program'!$H$9), "")8:0:8:0:0:0:8:39:=IF(SUM(M271:N271)=0,"",SUM(M271:N271))8:0:8:0:0:0:8:0:0:0:8:0:0:0:8:49:=VLOOKUP(I271,'Shipping Program'!$A$32:$B$78,2)-110:10:Error 20428:5:=O27110:10:Error 20428:7:=R271-710:10:Error 20158:155:=IFERROR(XLOOKUP(P271,'Shipping Program'!$B$32:$B$78,'Shipping Program'!$A$32:$A$78),IFERROR(INDEX(_V7Batches!$B:$B,MATCH(P271&amp;"",_V7Batches!$A:$A,0)),""))8:0:8:155:=IFERROR(XLOOKUP(P271,'Shipping Program'!$B$32:$B$78,'Shipping Program'!$E$32:$E$78),IFERROR(INDEX(_V7Batches!$D:$D,MATCH(P271&amp;"",_V7Batches!$A:$A,0)),""))8:0:8:29:=S271+'Shipping Program'!$H$910:10:Error 20158:42:=IFERROR(IF(J271*T271&lt;&gt;0,J271-T271,""),"")8:0:8:66:=IF(U271&lt;&gt;"",IF(U271&gt;28,"Too early",IF(U271&lt;14,"Too late","")),"")8:0:8:0:0:0:8:46:=IF(OFFSET(X271,1,0)="",R271,OFFSET(X271,1,0))8:0:8:70:=IF(OFFSET(Y271,1,0)="",X271+'Shipping Program'!$F$9,OFFSET(Y271,1,0))10:10:Error 20158:70:=IF(OFFSET(Z271,1,0)="",Y271+'Shipping Program'!$H$9,OFFSET(Z271,1,0))10:10:Error 20158:42:=IFERROR(IF(J271*Z271&lt;&gt;0,J271-Z271,""),"")8:0:8:69:=IF(AA271&lt;&gt;"",IF(AA271&gt;28,"Too early",IF(AA271&lt;14,"Too late","")),"")8:0:8:0:0:0:8:0:0:0:8:3:AES8:3:AES8:0:0:0:8:0:0:0:8:49:=IF(AI271="","",AI271*AJ271*AK271/1000/1000/1000)8:0:8:0:0:0:8:0:0:0:8:0:0:0:</t>
  </si>
  <si>
    <t>J271</t>
  </si>
  <si>
    <t>O271</t>
  </si>
  <si>
    <t>Q271</t>
  </si>
  <si>
    <t>T271</t>
  </si>
  <si>
    <t>P272</t>
  </si>
  <si>
    <t>8:45:=COUNTIF(J$3:OFFSET(J272,-1,0),"Subtotal:")+15:2:188:45:=IF(OFFSET(B272,1,0)&lt;&gt;"",OFFSET(B272,1,0),"")8:0:8:0:0:0:8:6:BP23108:6:BP23108:13:=LEFT(F272,3)8:3:#118:29:#11 Compressed air generation8:29:#11 Compressed air generation8:15:Compressor Unit8:15:Compressor Unit8:0:0:0:8:102:=IF(J272&lt;&gt;"",J272 - ('Shipping Program'!$D$9 + 'Shipping Program'!$F$9 + 'Shipping Program'!$H$9), "")8:0:8:0:0:0:8:39:=IF(SUM(M272:N272)=0,"",SUM(M272:N272))8:0:8:0:0:0:8:0:0:0:8:0:0:0:8:49:=VLOOKUP(I272,'Shipping Program'!$A$32:$B$78,2)-110:10:Error 20428:5:=O27210:10:Error 20428:7:=R272-710:10:Error 20158:155:=IFERROR(XLOOKUP(P272,'Shipping Program'!$B$32:$B$78,'Shipping Program'!$A$32:$A$78),IFERROR(INDEX(_V7Batches!$B:$B,MATCH(P272&amp;"",_V7Batches!$A:$A,0)),""))8:0:8:155:=IFERROR(XLOOKUP(P272,'Shipping Program'!$B$32:$B$78,'Shipping Program'!$E$32:$E$78),IFERROR(INDEX(_V7Batches!$D:$D,MATCH(P272&amp;"",_V7Batches!$A:$A,0)),""))8:0:8:29:=S272+'Shipping Program'!$H$910:10:Error 20158:42:=IFERROR(IF(J272*T272&lt;&gt;0,J272-T272,""),"")8:0:8:66:=IF(U272&lt;&gt;"",IF(U272&gt;28,"Too early",IF(U272&lt;14,"Too late","")),"")8:0:8:0:0:0:8:46:=IF(OFFSET(X272,1,0)="",R272,OFFSET(X272,1,0))8:0:8:70:=IF(OFFSET(Y272,1,0)="",X272+'Shipping Program'!$F$9,OFFSET(Y272,1,0))10:10:Error 20158:70:=IF(OFFSET(Z272,1,0)="",Y272+'Shipping Program'!$H$9,OFFSET(Z272,1,0))10:10:Error 20158:42:=IFERROR(IF(J272*Z272&lt;&gt;0,J272-Z272,""),"")8:0:8:69:=IF(AA272&lt;&gt;"",IF(AA272&gt;28,"Too early",IF(AA272&lt;14,"Too late","")),"")8:0:8:0:0:0:8:0:0:0:8:3:AES8:3:AES8:0:0:0:8:0:0:0:8:49:=IF(AI272="","",AI272*AJ272*AK272/1000/1000/1000)8:0:8:0:0:0:8:0:0:0:8:0:0:0:</t>
  </si>
  <si>
    <t>J272</t>
  </si>
  <si>
    <t>O272</t>
  </si>
  <si>
    <t>Q272</t>
  </si>
  <si>
    <t>T272</t>
  </si>
  <si>
    <t>P273</t>
  </si>
  <si>
    <t>8:45:=COUNTIF(J$3:OFFSET(J273,-1,0),"Subtotal:")+15:2:188:45:=IF(OFFSET(B273,1,0)&lt;&gt;"",OFFSET(B273,1,0),"")8:0:8:0:0:0:8:6:BP23108:6:BP23108:13:=LEFT(F273,3)8:3:#118:24:#11 Utility distribution8:24:#11 Utility distribution8:6:Piping8:6:Piping8:0:0:0:8:102:=IF(J273&lt;&gt;"",J273 - ('Shipping Program'!$D$9 + 'Shipping Program'!$F$9 + 'Shipping Program'!$H$9), "")8:0:8:0:0:0:8:39:=IF(SUM(M273:N273)=0,"",SUM(M273:N273))8:0:8:0:0:0:8:0:0:0:8:0:0:0:8:49:=VLOOKUP(I273,'Shipping Program'!$A$32:$B$78,2)-110:10:Error 20428:5:=O27310:10:Error 20428:7:=R273-710:10:Error 20158:155:=IFERROR(XLOOKUP(P273,'Shipping Program'!$B$32:$B$78,'Shipping Program'!$A$32:$A$78),IFERROR(INDEX(_V7Batches!$B:$B,MATCH(P273&amp;"",_V7Batches!$A:$A,0)),""))8:0:8:155:=IFERROR(XLOOKUP(P273,'Shipping Program'!$B$32:$B$78,'Shipping Program'!$E$32:$E$78),IFERROR(INDEX(_V7Batches!$D:$D,MATCH(P273&amp;"",_V7Batches!$A:$A,0)),""))8:0:8:29:=S273+'Shipping Program'!$H$910:10:Error 20158:42:=IFERROR(IF(J273*T273&lt;&gt;0,J273-T273,""),"")8:0:8:66:=IF(U273&lt;&gt;"",IF(U273&gt;28,"Too early",IF(U273&lt;14,"Too late","")),"")8:0:8:0:0:0:8:46:=IF(OFFSET(X273,1,0)="",R273,OFFSET(X273,1,0))8:0:8:70:=IF(OFFSET(Y273,1,0)="",X273+'Shipping Program'!$F$9,OFFSET(Y273,1,0))10:10:Error 20158:70:=IF(OFFSET(Z273,1,0)="",Y273+'Shipping Program'!$H$9,OFFSET(Z273,1,0))10:10:Error 20158:42:=IFERROR(IF(J273*Z273&lt;&gt;0,J273-Z273,""),"")8:0:8:69:=IF(AA273&lt;&gt;"",IF(AA273&gt;28,"Too early",IF(AA273&lt;14,"Too late","")),"")8:0:8:0:0:0:8:0:0:0:8:3:AES8:3:AES8:0:0:0:8:0:0:0:8:49:=IF(AI273="","",AI273*AJ273*AK273/1000/1000/1000)8:0:8:0:0:0:8:0:0:0:8:0:0:0:</t>
  </si>
  <si>
    <t>J273</t>
  </si>
  <si>
    <t>O273</t>
  </si>
  <si>
    <t>Q273</t>
  </si>
  <si>
    <t>T273</t>
  </si>
  <si>
    <t>P274</t>
  </si>
  <si>
    <t>8:45:=COUNTIF(J$3:OFFSET(J274,-1,0),"Subtotal:")+15:2:188:45:=IF(OFFSET(B274,1,0)&lt;&gt;"",OFFSET(B274,1,0),"")8:0:8:0:0:0:8:11:BP2110&amp;21208:11:BP2110&amp;21208:13:=LEFT(F274,3)8:3:#068:32:#06 AP001,004 PreClean,ECSandOff8:32:#06 AP001,004 PreClean,ECSandOff8:14:Piping package8:14:Piping package8:0:0:0:8:102:=IF(J274&lt;&gt;"",J274 - ('Shipping Program'!$D$9 + 'Shipping Program'!$F$9 + 'Shipping Program'!$H$9), "")8:0:8:0:0:0:8:39:=IF(SUM(M274:N274)=0,"",SUM(M274:N274))8:0:8:0:0:0:8:0:0:0:8:0:0:0:8:49:=VLOOKUP(I274,'Shipping Program'!$A$32:$B$78,2)-110:10:Error 20428:5:=O27410:10:Error 20428:7:=R274-710:10:Error 20158:155:=IFERROR(XLOOKUP(P274,'Shipping Program'!$B$32:$B$78,'Shipping Program'!$A$32:$A$78),IFERROR(INDEX(_V7Batches!$B:$B,MATCH(P274&amp;"",_V7Batches!$A:$A,0)),""))8:0:8:155:=IFERROR(XLOOKUP(P274,'Shipping Program'!$B$32:$B$78,'Shipping Program'!$E$32:$E$78),IFERROR(INDEX(_V7Batches!$D:$D,MATCH(P274&amp;"",_V7Batches!$A:$A,0)),""))8:0:8:29:=S274+'Shipping Program'!$H$910:10:Error 20158:42:=IFERROR(IF(J274*T274&lt;&gt;0,J274-T274,""),"")8:0:8:66:=IF(U274&lt;&gt;"",IF(U274&gt;28,"Too early",IF(U274&lt;14,"Too late","")),"")8:0:8:0:0:0:8:46:=IF(OFFSET(X274,1,0)="",R274,OFFSET(X274,1,0))8:0:8:70:=IF(OFFSET(Y274,1,0)="",X274+'Shipping Program'!$F$9,OFFSET(Y274,1,0))10:10:Error 20158:70:=IF(OFFSET(Z274,1,0)="",Y274+'Shipping Program'!$H$9,OFFSET(Z274,1,0))10:10:Error 20158:42:=IFERROR(IF(J274*Z274&lt;&gt;0,J274-Z274,""),"")8:0:8:69:=IF(AA274&lt;&gt;"",IF(AA274&gt;28,"Too early",IF(AA274&lt;14,"Too late","")),"")8:0:8:0:0:0:8:0:0:0:8:4:Durr8:4:Durr8:3:FOB8:3:FOB8:2:NR8:2:NR8:49:=IF(AI274="","",AI274*AJ274*AK274/1000/1000/1000)8:0:8:0:0:0:8:0:0:0:8:0:0:0:</t>
  </si>
  <si>
    <t>J274</t>
  </si>
  <si>
    <t>O274</t>
  </si>
  <si>
    <t>Q274</t>
  </si>
  <si>
    <t>T274</t>
  </si>
  <si>
    <t>P275</t>
  </si>
  <si>
    <t>8:45:=COUNTIF(J$3:OFFSET(J275,-1,0),"Subtotal:")+15:2:188:45:=IF(OFFSET(B275,1,0)&lt;&gt;"",OFFSET(B275,1,0),"")8:0:8:0:0:0:8:11:BP2110&amp;21208:11:BP2110&amp;21208:13:=LEFT(F275,3)8:3:#068:35:#06 AP2,3,5 MatelRepair,ECSand,Seal8:35:#06 AP2,3,5 MatelRepair,ECSand,Seal8:14:Piping package8:14:Piping package8:0:0:0:8:102:=IF(J275&lt;&gt;"",J275 - ('Shipping Program'!$D$9 + 'Shipping Program'!$F$9 + 'Shipping Program'!$H$9), "")8:0:8:0:0:0:8:39:=IF(SUM(M275:N275)=0,"",SUM(M275:N275))8:0:8:0:0:0:8:0:0:0:8:0:0:0:8:49:=VLOOKUP(I275,'Shipping Program'!$A$32:$B$78,2)-110:10:Error 20428:5:=O27510:10:Error 20428:7:=R275-710:10:Error 20158:155:=IFERROR(XLOOKUP(P275,'Shipping Program'!$B$32:$B$78,'Shipping Program'!$A$32:$A$78),IFERROR(INDEX(_V7Batches!$B:$B,MATCH(P275&amp;"",_V7Batches!$A:$A,0)),""))8:0:8:155:=IFERROR(XLOOKUP(P275,'Shipping Program'!$B$32:$B$78,'Shipping Program'!$E$32:$E$78),IFERROR(INDEX(_V7Batches!$D:$D,MATCH(P275&amp;"",_V7Batches!$A:$A,0)),""))8:0:8:29:=S275+'Shipping Program'!$H$910:10:Error 20158:42:=IFERROR(IF(J275*T275&lt;&gt;0,J275-T275,""),"")8:0:8:66:=IF(U275&lt;&gt;"",IF(U275&gt;28,"Too early",IF(U275&lt;14,"Too late","")),"")8:0:8:0:0:0:8:46:=IF(OFFSET(X275,1,0)="",R275,OFFSET(X275,1,0))8:0:8:70:=IF(OFFSET(Y275,1,0)="",X275+'Shipping Program'!$F$9,OFFSET(Y275,1,0))10:10:Error 20158:70:=IF(OFFSET(Z275,1,0)="",Y275+'Shipping Program'!$H$9,OFFSET(Z275,1,0))10:10:Error 20158:42:=IFERROR(IF(J275*Z275&lt;&gt;0,J275-Z275,""),"")8:0:8:69:=IF(AA275&lt;&gt;"",IF(AA275&gt;28,"Too early",IF(AA275&lt;14,"Too late","")),"")8:0:8:0:0:0:8:0:0:0:8:4:Durr8:4:Durr8:3:FOB8:3:FOB8:2:NR8:2:NR8:49:=IF(AI275="","",AI275*AJ275*AK275/1000/1000/1000)8:0:8:0:0:0:8:0:0:0:8:0:0:0:</t>
  </si>
  <si>
    <t>J275</t>
  </si>
  <si>
    <t>O275</t>
  </si>
  <si>
    <t>Q275</t>
  </si>
  <si>
    <t>T275</t>
  </si>
  <si>
    <t>P276</t>
  </si>
  <si>
    <t>8:45:=COUNTIF(J$3:OFFSET(J276,-1,0),"Subtotal:")+15:2:188:45:=IF(OFFSET(B276,1,0)&lt;&gt;"",OFFSET(B276,1,0),"")8:0:8:0:0:0:8:11:BP2110&amp;21208:11:BP2110&amp;21208:13:=LEFT(F276,3)8:3:#068:31:#06 AP006-009 UBS line+Transfer8:31:#06 AP006-009 UBS line+Transfer8:10:Floor pans8:10:Floor pans8:0:0:0:8:102:=IF(J276&lt;&gt;"",J276 - ('Shipping Program'!$D$9 + 'Shipping Program'!$F$9 + 'Shipping Program'!$H$9), "")8:0:8:0:0:0:8:39:=IF(SUM(M276:N276)=0,"",SUM(M276:N276))8:0:8:0:0:0:8:0:0:0:8:0:0:0:8:49:=VLOOKUP(I276,'Shipping Program'!$A$32:$B$78,2)-110:10:Error 20428:5:=O27610:10:Error 20428:7:=R276-710:10:Error 20158:155:=IFERROR(XLOOKUP(P276,'Shipping Program'!$B$32:$B$78,'Shipping Program'!$A$32:$A$78),IFERROR(INDEX(_V7Batches!$B:$B,MATCH(P276&amp;"",_V7Batches!$A:$A,0)),""))8:0:8:155:=IFERROR(XLOOKUP(P276,'Shipping Program'!$B$32:$B$78,'Shipping Program'!$E$32:$E$78),IFERROR(INDEX(_V7Batches!$D:$D,MATCH(P276&amp;"",_V7Batches!$A:$A,0)),""))8:0:8:29:=S276+'Shipping Program'!$H$910:10:Error 20158:42:=IFERROR(IF(J276*T276&lt;&gt;0,J276-T276,""),"")8:0:8:66:=IF(U276&lt;&gt;"",IF(U276&gt;28,"Too early",IF(U276&lt;14,"Too late","")),"")8:0:8:0:0:0:8:46:=IF(OFFSET(X276,1,0)="",R276,OFFSET(X276,1,0))8:0:8:70:=IF(OFFSET(Y276,1,0)="",X276+'Shipping Program'!$F$9,OFFSET(Y276,1,0))10:10:Error 20158:70:=IF(OFFSET(Z276,1,0)="",Y276+'Shipping Program'!$H$9,OFFSET(Z276,1,0))10:10:Error 20158:42:=IFERROR(IF(J276*Z276&lt;&gt;0,J276-Z276,""),"")8:0:8:69:=IF(AA276&lt;&gt;"",IF(AA276&gt;28,"Too early",IF(AA276&lt;14,"Too late","")),"")8:0:8:0:0:0:8:0:0:0:8:4:Durr8:4:Durr8:3:FOB8:3:FOB8:2:NR8:2:NR8:49:=IF(AI276="","",AI276*AJ276*AK276/1000/1000/1000)8:0:8:0:0:0:8:0:0:0:8:0:0:0:</t>
  </si>
  <si>
    <t>J276</t>
  </si>
  <si>
    <t>O276</t>
  </si>
  <si>
    <t>Q276</t>
  </si>
  <si>
    <t>T276</t>
  </si>
  <si>
    <t>P277</t>
  </si>
  <si>
    <t>8:45:=COUNTIF(J$3:OFFSET(J277,-1,0),"Subtotal:")+15:2:188:45:=IF(OFFSET(B277,1,0)&lt;&gt;"",OFFSET(B277,1,0),"")8:0:8:0:0:0:8:11:BP2110&amp;21208:11:BP2110&amp;21208:13:=LEFT(F277,3)8:3:#068:31:#06 AP006-009 UBS line+Transfer8:31:#06 AP006-009 UBS line+Transfer8:14:Piping package8:14:Piping package8:0:0:0:8:102:=IF(J277&lt;&gt;"",J277 - ('Shipping Program'!$D$9 + 'Shipping Program'!$F$9 + 'Shipping Program'!$H$9), "")8:0:8:0:0:0:8:39:=IF(SUM(M277:N277)=0,"",SUM(M277:N277))8:0:8:0:0:0:8:0:0:0:8:0:0:0:8:49:=VLOOKUP(I277,'Shipping Program'!$A$32:$B$78,2)-110:10:Error 20428:5:=O27710:10:Error 20428:7:=R277-710:10:Error 20158:155:=IFERROR(XLOOKUP(P277,'Shipping Program'!$B$32:$B$78,'Shipping Program'!$A$32:$A$78),IFERROR(INDEX(_V7Batches!$B:$B,MATCH(P277&amp;"",_V7Batches!$A:$A,0)),""))8:0:8:155:=IFERROR(XLOOKUP(P277,'Shipping Program'!$B$32:$B$78,'Shipping Program'!$E$32:$E$78),IFERROR(INDEX(_V7Batches!$D:$D,MATCH(P277&amp;"",_V7Batches!$A:$A,0)),""))8:0:8:29:=S277+'Shipping Program'!$H$910:10:Error 20158:42:=IFERROR(IF(J277*T277&lt;&gt;0,J277-T277,""),"")8:0:8:66:=IF(U277&lt;&gt;"",IF(U277&gt;28,"Too early",IF(U277&lt;14,"Too late","")),"")8:0:8:0:0:0:8:46:=IF(OFFSET(X277,1,0)="",R277,OFFSET(X277,1,0))8:0:8:70:=IF(OFFSET(Y277,1,0)="",X277+'Shipping Program'!$F$9,OFFSET(Y277,1,0))10:10:Error 20158:70:=IF(OFFSET(Z277,1,0)="",Y277+'Shipping Program'!$H$9,OFFSET(Z277,1,0))10:10:Error 20158:42:=IFERROR(IF(J277*Z277&lt;&gt;0,J277-Z277,""),"")8:0:8:69:=IF(AA277&lt;&gt;"",IF(AA277&gt;28,"Too early",IF(AA277&lt;14,"Too late","")),"")8:0:8:0:0:0:8:0:0:0:8:4:Durr8:4:Durr8:3:FOB8:3:FOB8:2:NR8:2:NR8:49:=IF(AI277="","",AI277*AJ277*AK277/1000/1000/1000)8:0:8:0:0:0:8:0:0:0:8:0:0:0:</t>
  </si>
  <si>
    <t>J277</t>
  </si>
  <si>
    <t>O277</t>
  </si>
  <si>
    <t>Q277</t>
  </si>
  <si>
    <t>T277</t>
  </si>
  <si>
    <t>P278</t>
  </si>
  <si>
    <t>8:45:=COUNTIF(J$3:OFFSET(J278,-1,0),"Subtotal:")+15:2:188:45:=IF(OFFSET(B278,1,0)&lt;&gt;"",OFFSET(B278,1,0),"")8:0:8:0:0:0:8:11:BP2110&amp;21208:11:BP2110&amp;21208:13:=LEFT(F278,3)8:3:#068:24:#06 AP12 Dust Protection8:24:#06 AP12 Dust Protection8:14:Piping package8:14:Piping package8:0:0:0:8:102:=IF(J278&lt;&gt;"",J278 - ('Shipping Program'!$D$9 + 'Shipping Program'!$F$9 + 'Shipping Program'!$H$9), "")8:0:8:0:0:0:8:39:=IF(SUM(M278:N278)=0,"",SUM(M278:N278))8:0:8:0:0:0:8:0:0:0:8:0:0:0:8:49:=VLOOKUP(I278,'Shipping Program'!$A$32:$B$78,2)-110:10:Error 20428:5:=O27810:10:Error 20428:7:=R278-710:10:Error 20158:155:=IFERROR(XLOOKUP(P278,'Shipping Program'!$B$32:$B$78,'Shipping Program'!$A$32:$A$78),IFERROR(INDEX(_V7Batches!$B:$B,MATCH(P278&amp;"",_V7Batches!$A:$A,0)),""))8:0:8:155:=IFERROR(XLOOKUP(P278,'Shipping Program'!$B$32:$B$78,'Shipping Program'!$E$32:$E$78),IFERROR(INDEX(_V7Batches!$D:$D,MATCH(P278&amp;"",_V7Batches!$A:$A,0)),""))8:0:8:29:=S278+'Shipping Program'!$H$910:10:Error 20158:42:=IFERROR(IF(J278*T278&lt;&gt;0,J278-T278,""),"")8:0:8:66:=IF(U278&lt;&gt;"",IF(U278&gt;28,"Too early",IF(U278&lt;14,"Too late","")),"")8:0:8:0:0:0:8:46:=IF(OFFSET(X278,1,0)="",R278,OFFSET(X278,1,0))8:0:8:70:=IF(OFFSET(Y278,1,0)="",X278+'Shipping Program'!$F$9,OFFSET(Y278,1,0))10:10:Error 20158:70:=IF(OFFSET(Z278,1,0)="",Y278+'Shipping Program'!$H$9,OFFSET(Z278,1,0))10:10:Error 20158:42:=IFERROR(IF(J278*Z278&lt;&gt;0,J278-Z278,""),"")8:0:8:69:=IF(AA278&lt;&gt;"",IF(AA278&gt;28,"Too early",IF(AA278&lt;14,"Too late","")),"")8:0:8:0:0:0:8:0:0:0:8:4:Durr8:4:Durr8:3:CNF8:3:CNF8:2:NR8:2:NR8:49:=IF(AI278="","",AI278*AJ278*AK278/1000/1000/1000)8:0:8:0:0:0:8:0:0:0:8:0:0:0:</t>
  </si>
  <si>
    <t>J278</t>
  </si>
  <si>
    <t>O278</t>
  </si>
  <si>
    <t>Q278</t>
  </si>
  <si>
    <t>T278</t>
  </si>
  <si>
    <t>P279</t>
  </si>
  <si>
    <t>8:45:=COUNTIF(J$3:OFFSET(J279,-1,0),"Subtotal:")+15:2:188:45:=IF(OFFSET(B279,1,0)&lt;&gt;"",OFFSET(B279,1,0),"")8:0:8:0:0:0:8:11:BP2110&amp;21208:11:BP2110&amp;21208:13:=LEFT(F279,3)8:3:#068:33:#06 AP10,16 PrimerSand,RepairSand8:33:#06 AP10,16 PrimerSand,RepairSand8:14:Piping package8:14:Piping package8:0:0:0:8:102:=IF(J279&lt;&gt;"",J279 - ('Shipping Program'!$D$9 + 'Shipping Program'!$F$9 + 'Shipping Program'!$H$9), "")8:0:8:0:0:0:8:39:=IF(SUM(M279:N279)=0,"",SUM(M279:N279))8:0:8:0:0:0:8:0:0:0:8:0:0:0:8:49:=VLOOKUP(I279,'Shipping Program'!$A$32:$B$78,2)-110:10:Error 20428:5:=O27910:10:Error 20428:7:=R279-710:10:Error 20158:155:=IFERROR(XLOOKUP(P279,'Shipping Program'!$B$32:$B$78,'Shipping Program'!$A$32:$A$78),IFERROR(INDEX(_V7Batches!$B:$B,MATCH(P279&amp;"",_V7Batches!$A:$A,0)),""))8:0:8:155:=IFERROR(XLOOKUP(P279,'Shipping Program'!$B$32:$B$78,'Shipping Program'!$E$32:$E$78),IFERROR(INDEX(_V7Batches!$D:$D,MATCH(P279&amp;"",_V7Batches!$A:$A,0)),""))8:0:8:29:=S279+'Shipping Program'!$H$910:10:Error 20158:42:=IFERROR(IF(J279*T279&lt;&gt;0,J279-T279,""),"")8:0:8:66:=IF(U279&lt;&gt;"",IF(U279&gt;28,"Too early",IF(U279&lt;14,"Too late","")),"")8:0:8:0:0:0:8:46:=IF(OFFSET(X279,1,0)="",R279,OFFSET(X279,1,0))8:0:8:70:=IF(OFFSET(Y279,1,0)="",X279+'Shipping Program'!$F$9,OFFSET(Y279,1,0))10:10:Error 20158:70:=IF(OFFSET(Z279,1,0)="",Y279+'Shipping Program'!$H$9,OFFSET(Z279,1,0))10:10:Error 20158:42:=IFERROR(IF(J279*Z279&lt;&gt;0,J279-Z279,""),"")8:0:8:69:=IF(AA279&lt;&gt;"",IF(AA279&gt;28,"Too early",IF(AA279&lt;14,"Too late","")),"")8:0:8:0:0:0:8:0:0:0:8:4:Durr8:4:Durr8:3:CNF8:3:CNF8:2:NR8:2:NR8:49:=IF(AI279="","",AI279*AJ279*AK279/1000/1000/1000)8:0:8:0:0:0:8:0:0:0:8:0:0:0:</t>
  </si>
  <si>
    <t>J279</t>
  </si>
  <si>
    <t>O279</t>
  </si>
  <si>
    <t>Q279</t>
  </si>
  <si>
    <t>T279</t>
  </si>
  <si>
    <t>P280</t>
  </si>
  <si>
    <t>8:45:=COUNTIF(J$3:OFFSET(J280,-1,0),"Subtotal:")+15:2:188:45:=IF(OFFSET(B280,1,0)&lt;&gt;"",OFFSET(B280,1,0),"")8:0:8:0:0:0:8:11:BP2110&amp;21208:11:BP2110&amp;21208:13:=LEFT(F280,3)8:3:#068:49:#06 AP13-15,20 TCInsp&amp;Audit,SpotRepair+PartChange8:49:#06 AP13-15,20 TCInsp&amp;Audit,SpotRepair+PartChange8:14:Piping package8:14:Piping package8:0:0:0:8:102:=IF(J280&lt;&gt;"",J280 - ('Shipping Program'!$D$9 + 'Shipping Program'!$F$9 + 'Shipping Program'!$H$9), "")8:0:8:0:0:0:8:39:=IF(SUM(M280:N280)=0,"",SUM(M280:N280))8:0:8:0:0:0:8:0:0:0:8:0:0:0:8:49:=VLOOKUP(I280,'Shipping Program'!$A$32:$B$78,2)-110:10:Error 20428:5:=O28010:10:Error 20428:7:=R280-710:10:Error 20158:155:=IFERROR(XLOOKUP(P280,'Shipping Program'!$B$32:$B$78,'Shipping Program'!$A$32:$A$78),IFERROR(INDEX(_V7Batches!$B:$B,MATCH(P280&amp;"",_V7Batches!$A:$A,0)),""))8:0:8:155:=IFERROR(XLOOKUP(P280,'Shipping Program'!$B$32:$B$78,'Shipping Program'!$E$32:$E$78),IFERROR(INDEX(_V7Batches!$D:$D,MATCH(P280&amp;"",_V7Batches!$A:$A,0)),""))8:0:8:29:=S280+'Shipping Program'!$H$910:10:Error 20158:42:=IFERROR(IF(J280*T280&lt;&gt;0,J280-T280,""),"")8:0:8:66:=IF(U280&lt;&gt;"",IF(U280&gt;28,"Too early",IF(U280&lt;14,"Too late","")),"")8:0:8:0:0:0:8:46:=IF(OFFSET(X280,1,0)="",R280,OFFSET(X280,1,0))8:0:8:70:=IF(OFFSET(Y280,1,0)="",X280+'Shipping Program'!$F$9,OFFSET(Y280,1,0))10:10:Error 20158:70:=IF(OFFSET(Z280,1,0)="",Y280+'Shipping Program'!$H$9,OFFSET(Z280,1,0))10:10:Error 20158:42:=IFERROR(IF(J280*Z280&lt;&gt;0,J280-Z280,""),"")8:0:8:69:=IF(AA280&lt;&gt;"",IF(AA280&gt;28,"Too early",IF(AA280&lt;14,"Too late","")),"")8:0:8:0:0:0:8:0:0:0:8:4:Durr8:4:Durr8:3:CNF8:3:CNF8:2:NR8:2:NR8:49:=IF(AI280="","",AI280*AJ280*AK280/1000/1000/1000)8:0:8:0:0:0:8:0:0:0:8:0:0:0:</t>
  </si>
  <si>
    <t>J280</t>
  </si>
  <si>
    <t>O280</t>
  </si>
  <si>
    <t>Q280</t>
  </si>
  <si>
    <t>T280</t>
  </si>
  <si>
    <t>P281</t>
  </si>
  <si>
    <t>8:45:=COUNTIF(J$3:OFFSET(J281,-1,0),"Subtotal:")+15:2:188:45:=IF(OFFSET(B281,1,0)&lt;&gt;"",OFFSET(B281,1,0),"")8:0:8:0:0:0:8:11:BP2110&amp;21208:11:BP2110&amp;21208:13:=LEFT(F281,3)8:3:#068:39:#06 AP17-19,21-23 SprDryPol,InsWaxBlack8:39:#06 AP17-19,21-23 SprDryPol,InsWaxBlack8:14:Piping package8:14:Piping package8:0:0:0:8:102:=IF(J281&lt;&gt;"",J281 - ('Shipping Program'!$D$9 + 'Shipping Program'!$F$9 + 'Shipping Program'!$H$9), "")8:0:8:0:0:0:8:39:=IF(SUM(M281:N281)=0,"",SUM(M281:N281))8:0:8:0:0:0:8:0:0:0:8:0:0:0:8:49:=VLOOKUP(I281,'Shipping Program'!$A$32:$B$78,2)-110:10:Error 20428:5:=O28110:10:Error 20428:7:=R281-710:10:Error 20158:155:=IFERROR(XLOOKUP(P281,'Shipping Program'!$B$32:$B$78,'Shipping Program'!$A$32:$A$78),IFERROR(INDEX(_V7Batches!$B:$B,MATCH(P281&amp;"",_V7Batches!$A:$A,0)),""))8:0:8:155:=IFERROR(XLOOKUP(P281,'Shipping Program'!$B$32:$B$78,'Shipping Program'!$E$32:$E$78),IFERROR(INDEX(_V7Batches!$D:$D,MATCH(P281&amp;"",_V7Batches!$A:$A,0)),""))8:0:8:29:=S281+'Shipping Program'!$H$910:10:Error 20158:42:=IFERROR(IF(J281*T281&lt;&gt;0,J281-T281,""),"")8:0:8:66:=IF(U281&lt;&gt;"",IF(U281&gt;28,"Too early",IF(U281&lt;14,"Too late","")),"")8:0:8:0:0:0:8:46:=IF(OFFSET(X281,1,0)="",R281,OFFSET(X281,1,0))8:0:8:70:=IF(OFFSET(Y281,1,0)="",X281+'Shipping Program'!$F$9,OFFSET(Y281,1,0))10:10:Error 20158:70:=IF(OFFSET(Z281,1,0)="",Y281+'Shipping Program'!$H$9,OFFSET(Z281,1,0))10:10:Error 20158:42:=IFERROR(IF(J281*Z281&lt;&gt;0,J281-Z281,""),"")8:0:8:69:=IF(AA281&lt;&gt;"",IF(AA281&gt;28,"Too early",IF(AA281&lt;14,"Too late","")),"")8:0:8:0:0:0:8:0:0:0:8:4:Durr8:4:Durr8:3:CNF8:3:CNF8:2:NR8:2:NR8:49:=IF(AI281="","",AI281*AJ281*AK281/1000/1000/1000)8:0:8:0:0:0:8:0:0:0:8:0:0:0:</t>
  </si>
  <si>
    <t>J281</t>
  </si>
  <si>
    <t>O281</t>
  </si>
  <si>
    <t>Q281</t>
  </si>
  <si>
    <t>T281</t>
  </si>
  <si>
    <t>疑似漏填（存在业务字段）</t>
  </si>
  <si>
    <t>G282</t>
  </si>
  <si>
    <t>核实是否业务行；补齐名称，不自动更名</t>
  </si>
  <si>
    <t>8:45:=COUNTIF(J$3:OFFSET(J282,-1,0),"Subtotal:")+15:2:188:45:=IF(OFFSET(B282,1,0)&lt;&gt;"",OFFSET(B282,1,0),"")8:0:8:0:0:0:8:11:BP2110&amp;21208:11:BP2110&amp;21208:13:=LEFT(F282,3)8:3:#068:15:#06 RB Wax room8:15:#06 RB Wax room8:0:0:0:8:0:0:0:8:102:=IF(J282&lt;&gt;"",J282 - ('Shipping Program'!$D$9 + 'Shipping Program'!$F$9 + 'Shipping Program'!$H$9), "")8:0:8:0:0:0:8:39:=IF(SUM(M282:N282)=0,"",SUM(M282:N282))8:0:8:0:0:0:8:0:0:0:8:0:0:0:8:49:=VLOOKUP(I282,'Shipping Program'!$A$32:$B$78,2)-110:10:Error 20428:5:=O28210:10:Error 20428:7:=R282-710:10:Error 20158:155:=IFERROR(XLOOKUP(P282,'Shipping Program'!$B$32:$B$78,'Shipping Program'!$A$32:$A$78),IFERROR(INDEX(_V7Batches!$B:$B,MATCH(P282&amp;"",_V7Batches!$A:$A,0)),""))8:0:8:155:=IFERROR(XLOOKUP(P282,'Shipping Program'!$B$32:$B$78,'Shipping Program'!$E$32:$E$78),IFERROR(INDEX(_V7Batches!$D:$D,MATCH(P282&amp;"",_V7Batches!$A:$A,0)),""))8:0:8:29:=S282+'Shipping Program'!$H$910:10:Error 20158:42:=IFERROR(IF(J282*T282&lt;&gt;0,J282-T282,""),"")8:0:8:66:=IF(U282&lt;&gt;"",IF(U282&gt;28,"Too early",IF(U282&lt;14,"Too late","")),"")8:0:8:0:0:0:8:46:=IF(OFFSET(X282,1,0)="",R282,OFFSET(X282,1,0))8:0:8:70:=IF(OFFSET(Y282,1,0)="",X282+'Shipping Program'!$F$9,OFFSET(Y282,1,0))10:10:Error 20158:70:=IF(OFFSET(Z282,1,0)="",Y282+'Shipping Program'!$H$9,OFFSET(Z282,1,0))10:10:Error 20158:42:=IFERROR(IF(J282*Z282&lt;&gt;0,J282-Z282,""),"")8:0:8:69:=IF(AA282&lt;&gt;"",IF(AA282&gt;28,"Too early",IF(AA282&lt;14,"Too late","")),"")8:0:8:0:0:0:8:0:0:0:8:4:Durr8:4:Durr8:3:CNF8:3:CNF8:2:NR8:2:NR8:49:=IF(AI282="","",AI282*AJ282*AK282/1000/1000/1000)8:0:8:0:0:0:8:0:0:0:8:0:0:0:</t>
  </si>
  <si>
    <t>P282</t>
  </si>
  <si>
    <t>O282</t>
  </si>
  <si>
    <t>Q282</t>
  </si>
  <si>
    <t>T282</t>
  </si>
  <si>
    <t>P283</t>
  </si>
  <si>
    <t>8:45:=COUNTIF(J$3:OFFSET(J283,-1,0),"Subtotal:")+15:2:188:45:=IF(OFFSET(B283,1,0)&lt;&gt;"",OFFSET(B283,1,0),"")8:0:8:0:0:0:8:11:BP2110&amp;21208:11:BP2110&amp;21208:13:=LEFT(F283,3)8:3:#068:13:#06 Work Zone8:13:#06 Work Zone8:24:Work deck move plateform8:24:Work deck move plateform8:0:0:0:8:102:=IF(J283&lt;&gt;"",J283 - ('Shipping Program'!$D$9 + 'Shipping Program'!$F$9 + 'Shipping Program'!$H$9), "")8:0:8:0:0:0:8:39:=IF(SUM(M283:N283)=0,"",SUM(M283:N283))8:0:8:0:0:0:8:0:0:0:8:0:0:0:8:49:=VLOOKUP(I283,'Shipping Program'!$A$32:$B$78,2)-110:10:Error 20428:5:=O28310:10:Error 20428:7:=R283-710:10:Error 20158:155:=IFERROR(XLOOKUP(P283,'Shipping Program'!$B$32:$B$78,'Shipping Program'!$A$32:$A$78),IFERROR(INDEX(_V7Batches!$B:$B,MATCH(P283&amp;"",_V7Batches!$A:$A,0)),""))8:0:8:155:=IFERROR(XLOOKUP(P283,'Shipping Program'!$B$32:$B$78,'Shipping Program'!$E$32:$E$78),IFERROR(INDEX(_V7Batches!$D:$D,MATCH(P283&amp;"",_V7Batches!$A:$A,0)),""))8:0:8:29:=S283+'Shipping Program'!$H$910:10:Error 20158:42:=IFERROR(IF(J283*T283&lt;&gt;0,J283-T283,""),"")8:0:8:66:=IF(U283&lt;&gt;"",IF(U283&gt;28,"Too early",IF(U283&lt;14,"Too late","")),"")8:0:8:0:0:0:8:46:=IF(OFFSET(X283,1,0)="",R283,OFFSET(X283,1,0))8:0:8:70:=IF(OFFSET(Y283,1,0)="",X283+'Shipping Program'!$F$9,OFFSET(Y283,1,0))10:10:Error 20158:70:=IF(OFFSET(Z283,1,0)="",Y283+'Shipping Program'!$H$9,OFFSET(Z283,1,0))10:10:Error 20158:42:=IFERROR(IF(J283*Z283&lt;&gt;0,J283-Z283,""),"")8:0:8:69:=IF(AA283&lt;&gt;"",IF(AA283&gt;28,"Too early",IF(AA283&lt;14,"Too late","")),"")8:0:8:0:0:0:8:0:0:0:8:4:Durr8:4:Durr8:3:CNF8:3:CNF8:2:NR8:2:NR8:49:=IF(AI283="","",AI283*AJ283*AK283/1000/1000/1000)8:0:8:0:0:0:8:0:0:0:8:0:0:0:</t>
  </si>
  <si>
    <t>J283</t>
  </si>
  <si>
    <t>O283</t>
  </si>
  <si>
    <t>Q283</t>
  </si>
  <si>
    <t>T283</t>
  </si>
  <si>
    <t>缺失或 Excel 错误</t>
  </si>
  <si>
    <t>E284</t>
  </si>
  <si>
    <t>核实并补齐本行业务字段</t>
  </si>
  <si>
    <t>8:45:=COUNTIF(J$3:OFFSET(J284,-1,0),"Subtotal:")+15:2:188:45:=IF(OFFSET(B284,1,0)&lt;&gt;"",OFFSET(B284,1,0),"")8:0:8:0:0:0:8:6:BP23708:6:BP23708:0:0:0:8:16:Purchasing parts8:16:Purchasing parts8:15:Burner_ASU&amp;Oven8:15:Burner_ASU&amp;Oven8:0:0:0:8:102:=IF(J284&lt;&gt;"",J284 - ('Shipping Program'!$D$9 + 'Shipping Program'!$F$9 + 'Shipping Program'!$H$9), "")8:0:8:0:0:0:8:39:=IF(SUM(M284:N284)=0,"",SUM(M284:N284))8:0:8:0:0:0:8:0:0:0:8:0:0:0:8:49:=VLOOKUP(I284,'Shipping Program'!$A$32:$B$78,2)-110:10:Error 20428:5:=O28410:10:Error 20428:7:=R284-710:10:Error 20158:155:=IFERROR(XLOOKUP(P284,'Shipping Program'!$B$32:$B$78,'Shipping Program'!$A$32:$A$78),IFERROR(INDEX(_V7Batches!$B:$B,MATCH(P284&amp;"",_V7Batches!$A:$A,0)),""))8:0:8:155:=IFERROR(XLOOKUP(P284,'Shipping Program'!$B$32:$B$78,'Shipping Program'!$E$32:$E$78),IFERROR(INDEX(_V7Batches!$D:$D,MATCH(P284&amp;"",_V7Batches!$A:$A,0)),""))8:0:8:29:=S284+'Shipping Program'!$H$910:10:Error 20158:42:=IFERROR(IF(J284*T284&lt;&gt;0,J284-T284,""),"")8:0:8:66:=IF(U284&lt;&gt;"",IF(U284&gt;28,"Too early",IF(U284&lt;14,"Too late","")),"")8:0:8:0:0:0:8:46:=IF(OFFSET(X284,1,0)="",R284,OFFSET(X284,1,0))8:0:8:70:=IF(OFFSET(Y284,1,0)="",X284+'Shipping Program'!$F$9,OFFSET(Y284,1,0))10:10:Error 20158:70:=IF(OFFSET(Z284,1,0)="",Y284+'Shipping Program'!$H$9,OFFSET(Z284,1,0))10:10:Error 20158:42:=IFERROR(IF(J284*Z284&lt;&gt;0,J284-Z284,""),"")8:0:8:69:=IF(AA284&lt;&gt;"",IF(AA284&gt;28,"Too early",IF(AA284&lt;14,"Too late","")),"")8:0:8:0:0:0:8:0:0:0:8:4:Durr8:4:Durr8:3:FOB8:3:FOB8:2:NR8:2:NR8:49:=IF(AI284="","",AI284*AJ284*AK284/1000/1000/1000)8:0:8:0:0:0:8:0:0:0:8:0:0:0:</t>
  </si>
  <si>
    <t>P284</t>
  </si>
  <si>
    <t>J284</t>
  </si>
  <si>
    <t>O284</t>
  </si>
  <si>
    <t>Q284</t>
  </si>
  <si>
    <t>T284</t>
  </si>
  <si>
    <t>P285</t>
  </si>
  <si>
    <t>8:45:=COUNTIF(J$3:OFFSET(J285,-1,0),"Subtotal:")+15:2:188:45:=IF(OFFSET(B285,1,0)&lt;&gt;"",OFFSET(B285,1,0),"")8:0:8:0:0:0:8:6:BP76508:6:BP76508:13:=LEFT(F285,3)8:3:#108:12:#10 Conveyor8:12:#10 Conveyor8:24:CV_765_Protective Fences8:24:CV_765_Protective Fences8:3:7655:3:7658:102:=IF(J285&lt;&gt;"",J285 - ('Shipping Program'!$D$9 + 'Shipping Program'!$F$9 + 'Shipping Program'!$H$9), "")8:0:8:0:0:0:8:39:=IF(SUM(M285:N285)=0,"",SUM(M285:N285))8:0:8:0:0:0:8:0:0:0:8:0:0:0:8:49:=VLOOKUP(I285,'Shipping Program'!$A$32:$B$78,2)-110:10:Error 20428:5:=O28510:10:Error 20428:7:=R285-710:10:Error 20158:155:=IFERROR(XLOOKUP(P285,'Shipping Program'!$B$32:$B$78,'Shipping Program'!$A$32:$A$78),IFERROR(INDEX(_V7Batches!$B:$B,MATCH(P285&amp;"",_V7Batches!$A:$A,0)),""))8:0:8:155:=IFERROR(XLOOKUP(P285,'Shipping Program'!$B$32:$B$78,'Shipping Program'!$E$32:$E$78),IFERROR(INDEX(_V7Batches!$D:$D,MATCH(P285&amp;"",_V7Batches!$A:$A,0)),""))8:0:8:29:=S285+'Shipping Program'!$H$910:10:Error 20158:42:=IFERROR(IF(J285*T285&lt;&gt;0,J285-T285,""),"")8:0:8:66:=IF(U285&lt;&gt;"",IF(U285&gt;28,"Too early",IF(U285&lt;14,"Too late","")),"")8:0:8:0:0:0:8:46:=IF(OFFSET(X285,1,0)="",R285,OFFSET(X285,1,0))8:0:8:70:=IF(OFFSET(Y285,1,0)="",X285+'Shipping Program'!$F$9,OFFSET(Y285,1,0))10:10:Error 20158:70:=IF(OFFSET(Z285,1,0)="",Y285+'Shipping Program'!$H$9,OFFSET(Z285,1,0))10:10:Error 20158:42:=IFERROR(IF(J285*Z285&lt;&gt;0,J285-Z285,""),"")8:0:8:69:=IF(AA285&lt;&gt;"",IF(AA285&gt;28,"Too early",IF(AA285&lt;14,"Too late","")),"")8:0:8:0:0:0:8:0:0:0:8:4:Durr8:4:Durr8:3:FOB8:3:FOB8:2:NR8:2:NR8:49:=IF(AI285="","",AI285*AJ285*AK285/1000/1000/1000)8:0:8:0:0:0:8:0:0:0:8:0:0:0:</t>
  </si>
  <si>
    <t>J285</t>
  </si>
  <si>
    <t>O285</t>
  </si>
  <si>
    <t>Q285</t>
  </si>
  <si>
    <t>T285</t>
  </si>
  <si>
    <t>P286</t>
  </si>
  <si>
    <t>8:45:=COUNTIF(J$3:OFFSET(J286,-1,0),"Subtotal:")+15:2:188:45:=IF(OFFSET(B286,1,0)&lt;&gt;"",OFFSET(B286,1,0),"")8:0:8:0:0:0:8:6:BP78508:6:BP78508:13:=LEFT(F286,3)8:3:#108:12:#10 Conveyor8:12:#10 Conveyor8:14:CV_785_Trolley8:14:CV_785_Trolley8:3:7855:3:7858:102:=IF(J286&lt;&gt;"",J286 - ('Shipping Program'!$D$9 + 'Shipping Program'!$F$9 + 'Shipping Program'!$H$9), "")8:0:8:0:0:0:8:39:=IF(SUM(M286:N286)=0,"",SUM(M286:N286))8:0:8:0:0:0:8:0:0:0:8:0:0:0:8:49:=VLOOKUP(I286,'Shipping Program'!$A$32:$B$78,2)-110:10:Error 20428:5:=O28610:10:Error 20428:7:=R286-710:10:Error 20158:155:=IFERROR(XLOOKUP(P286,'Shipping Program'!$B$32:$B$78,'Shipping Program'!$A$32:$A$78),IFERROR(INDEX(_V7Batches!$B:$B,MATCH(P286&amp;"",_V7Batches!$A:$A,0)),""))8:0:8:155:=IFERROR(XLOOKUP(P286,'Shipping Program'!$B$32:$B$78,'Shipping Program'!$E$32:$E$78),IFERROR(INDEX(_V7Batches!$D:$D,MATCH(P286&amp;"",_V7Batches!$A:$A,0)),""))8:0:8:29:=S286+'Shipping Program'!$H$910:10:Error 20158:42:=IFERROR(IF(J286*T286&lt;&gt;0,J286-T286,""),"")8:0:8:66:=IF(U286&lt;&gt;"",IF(U286&gt;28,"Too early",IF(U286&lt;14,"Too late","")),"")8:0:8:0:0:0:8:46:=IF(OFFSET(X286,1,0)="",R286,OFFSET(X286,1,0))8:0:8:70:=IF(OFFSET(Y286,1,0)="",X286+'Shipping Program'!$F$9,OFFSET(Y286,1,0))10:10:Error 20158:70:=IF(OFFSET(Z286,1,0)="",Y286+'Shipping Program'!$H$9,OFFSET(Z286,1,0))10:10:Error 20158:42:=IFERROR(IF(J286*Z286&lt;&gt;0,J286-Z286,""),"")8:0:8:69:=IF(AA286&lt;&gt;"",IF(AA286&gt;28,"Too early",IF(AA286&lt;14,"Too late","")),"")8:0:8:0:0:0:8:0:0:0:8:4:Durr8:4:Durr8:3:FOB8:3:FOB8:2:NR8:2:NR8:49:=IF(AI286="","",AI286*AJ286*AK286/1000/1000/1000)8:0:8:0:0:0:8:0:0:0:8:0:0:0:</t>
  </si>
  <si>
    <t>J286</t>
  </si>
  <si>
    <t>O286</t>
  </si>
  <si>
    <t>Q286</t>
  </si>
  <si>
    <t>T286</t>
  </si>
  <si>
    <t>P287</t>
  </si>
  <si>
    <t>8:45:=COUNTIF(J$3:OFFSET(J287,-1,0),"Subtotal:")+15:2:188:45:=IF(OFFSET(B287,1,0)&lt;&gt;"",OFFSET(B287,1,0),"")8:0:8:0:0:0:8:6:BP78208:6:BP78208:13:=LEFT(F287,3)8:3:#108:12:#10 Conveyor8:12:#10 Conveyor8:23:CV_782_checking station8:23:CV_782_checking station8:3:7825:3:7828:102:=IF(J287&lt;&gt;"",J287 - ('Shipping Program'!$D$9 + 'Shipping Program'!$F$9 + 'Shipping Program'!$H$9), "")8:0:8:0:0:0:8:39:=IF(SUM(M287:N287)=0,"",SUM(M287:N287))8:0:8:0:0:0:8:0:0:0:8:0:0:0:8:49:=VLOOKUP(I287,'Shipping Program'!$A$32:$B$78,2)-110:10:Error 20428:5:=O28710:10:Error 20428:7:=R287-710:10:Error 20158:155:=IFERROR(XLOOKUP(P287,'Shipping Program'!$B$32:$B$78,'Shipping Program'!$A$32:$A$78),IFERROR(INDEX(_V7Batches!$B:$B,MATCH(P287&amp;"",_V7Batches!$A:$A,0)),""))8:0:8:155:=IFERROR(XLOOKUP(P287,'Shipping Program'!$B$32:$B$78,'Shipping Program'!$E$32:$E$78),IFERROR(INDEX(_V7Batches!$D:$D,MATCH(P287&amp;"",_V7Batches!$A:$A,0)),""))8:0:8:29:=S287+'Shipping Program'!$H$910:10:Error 20158:42:=IFERROR(IF(J287*T287&lt;&gt;0,J287-T287,""),"")8:0:8:66:=IF(U287&lt;&gt;"",IF(U287&gt;28,"Too early",IF(U287&lt;14,"Too late","")),"")8:0:8:0:0:0:8:46:=IF(OFFSET(X287,1,0)="",R287,OFFSET(X287,1,0))8:0:8:70:=IF(OFFSET(Y287,1,0)="",X287+'Shipping Program'!$F$9,OFFSET(Y287,1,0))10:10:Error 20158:70:=IF(OFFSET(Z287,1,0)="",Y287+'Shipping Program'!$H$9,OFFSET(Z287,1,0))10:10:Error 20158:42:=IFERROR(IF(J287*Z287&lt;&gt;0,J287-Z287,""),"")8:0:8:69:=IF(AA287&lt;&gt;"",IF(AA287&gt;28,"Too early",IF(AA287&lt;14,"Too late","")),"")8:0:8:0:0:0:8:0:0:0:8:4:Durr8:4:Durr8:3:FOB8:3:FOB8:2:NR8:2:NR8:49:=IF(AI287="","",AI287*AJ287*AK287/1000/1000/1000)8:0:8:0:0:0:8:0:0:0:8:0:0:0:</t>
  </si>
  <si>
    <t>J287</t>
  </si>
  <si>
    <t>O287</t>
  </si>
  <si>
    <t>Q287</t>
  </si>
  <si>
    <t>T287</t>
  </si>
  <si>
    <t>P288</t>
  </si>
  <si>
    <t>8:45:=COUNTIF(J$3:OFFSET(J288,-1,0),"Subtotal:")+15:2:188:45:=IF(OFFSET(B288,1,0)&lt;&gt;"",OFFSET(B288,1,0),"")8:0:8:0:0:0:8:6:BP78108:6:BP78108:13:=LEFT(F288,3)8:3:#108:12:#10 Conveyor8:12:#10 Conveyor8:15:CV_781_SKID_1st8:15:CV_781_SKID_1st8:3:7815:3:7818:102:=IF(J288&lt;&gt;"",J288 - ('Shipping Program'!$D$9 + 'Shipping Program'!$F$9 + 'Shipping Program'!$H$9), "")8:0:8:0:0:0:8:39:=IF(SUM(M288:N288)=0,"",SUM(M288:N288))8:0:8:0:0:0:8:0:0:0:8:0:0:0:8:49:=VLOOKUP(I288,'Shipping Program'!$A$32:$B$78,2)-110:10:Error 20428:5:=O28810:10:Error 20428:7:=R288-710:10:Error 20158:155:=IFERROR(XLOOKUP(P288,'Shipping Program'!$B$32:$B$78,'Shipping Program'!$A$32:$A$78),IFERROR(INDEX(_V7Batches!$B:$B,MATCH(P288&amp;"",_V7Batches!$A:$A,0)),""))8:0:8:155:=IFERROR(XLOOKUP(P288,'Shipping Program'!$B$32:$B$78,'Shipping Program'!$E$32:$E$78),IFERROR(INDEX(_V7Batches!$D:$D,MATCH(P288&amp;"",_V7Batches!$A:$A,0)),""))8:0:8:29:=S288+'Shipping Program'!$H$910:10:Error 20158:42:=IFERROR(IF(J288*T288&lt;&gt;0,J288-T288,""),"")8:0:8:66:=IF(U288&lt;&gt;"",IF(U288&gt;28,"Too early",IF(U288&lt;14,"Too late","")),"")8:0:8:0:0:0:8:46:=IF(OFFSET(X288,1,0)="",R288,OFFSET(X288,1,0))8:0:8:70:=IF(OFFSET(Y288,1,0)="",X288+'Shipping Program'!$F$9,OFFSET(Y288,1,0))10:10:Error 20158:70:=IF(OFFSET(Z288,1,0)="",Y288+'Shipping Program'!$H$9,OFFSET(Z288,1,0))10:10:Error 20158:42:=IFERROR(IF(J288*Z288&lt;&gt;0,J288-Z288,""),"")8:0:8:69:=IF(AA288&lt;&gt;"",IF(AA288&gt;28,"Too early",IF(AA288&lt;14,"Too late","")),"")8:0:8:0:0:0:8:0:0:0:8:4:Durr8:4:Durr8:3:FOB8:3:FOB8:2:NR8:2:NR8:49:=IF(AI288="","",AI288*AJ288*AK288/1000/1000/1000)8:0:8:0:0:0:8:0:0:0:8:0:0:0:</t>
  </si>
  <si>
    <t>J288</t>
  </si>
  <si>
    <t>O288</t>
  </si>
  <si>
    <t>Q288</t>
  </si>
  <si>
    <t>T288</t>
  </si>
  <si>
    <t>P289</t>
  </si>
  <si>
    <t>8:45:=COUNTIF(J$3:OFFSET(J289,-1,0),"Subtotal:")+15:2:188:45:=IF(OFFSET(B289,1,0)&lt;&gt;"",OFFSET(B289,1,0),"")8:0:8:0:0:0:8:6:BP78408:6:BP78408:13:=LEFT(F289,3)8:3:#108:12:#10 Conveyor8:12:#10 Conveyor8:13:CV_784_Hanger8:13:CV_784_Hanger8:3:7845:3:7848:102:=IF(J289&lt;&gt;"",J289 - ('Shipping Program'!$D$9 + 'Shipping Program'!$F$9 + 'Shipping Program'!$H$9), "")8:0:8:0:0:0:8:39:=IF(SUM(M289:N289)=0,"",SUM(M289:N289))8:0:8:0:0:0:8:0:0:0:8:0:0:0:8:49:=VLOOKUP(I289,'Shipping Program'!$A$32:$B$78,2)-110:10:Error 20428:5:=O28910:10:Error 20428:7:=R289-710:10:Error 20158:155:=IFERROR(XLOOKUP(P289,'Shipping Program'!$B$32:$B$78,'Shipping Program'!$A$32:$A$78),IFERROR(INDEX(_V7Batches!$B:$B,MATCH(P289&amp;"",_V7Batches!$A:$A,0)),""))8:0:8:155:=IFERROR(XLOOKUP(P289,'Shipping Program'!$B$32:$B$78,'Shipping Program'!$E$32:$E$78),IFERROR(INDEX(_V7Batches!$D:$D,MATCH(P289&amp;"",_V7Batches!$A:$A,0)),""))8:0:8:29:=S289+'Shipping Program'!$H$910:10:Error 20158:42:=IFERROR(IF(J289*T289&lt;&gt;0,J289-T289,""),"")8:0:8:66:=IF(U289&lt;&gt;"",IF(U289&gt;28,"Too early",IF(U289&lt;14,"Too late","")),"")8:0:8:0:0:0:8:46:=IF(OFFSET(X289,1,0)="",R289,OFFSET(X289,1,0))8:0:8:70:=IF(OFFSET(Y289,1,0)="",X289+'Shipping Program'!$F$9,OFFSET(Y289,1,0))10:10:Error 20158:70:=IF(OFFSET(Z289,1,0)="",Y289+'Shipping Program'!$H$9,OFFSET(Z289,1,0))10:10:Error 20158:42:=IFERROR(IF(J289*Z289&lt;&gt;0,J289-Z289,""),"")8:0:8:69:=IF(AA289&lt;&gt;"",IF(AA289&gt;28,"Too early",IF(AA289&lt;14,"Too late","")),"")8:0:8:0:0:0:8:0:0:0:8:4:Durr8:4:Durr8:3:FOB8:3:FOB8:2:NR8:2:NR8:49:=IF(AI289="","",AI289*AJ289*AK289/1000/1000/1000)8:0:8:0:0:0:8:0:0:0:8:0:0:0:</t>
  </si>
  <si>
    <t>J289</t>
  </si>
  <si>
    <t>O289</t>
  </si>
  <si>
    <t>Q289</t>
  </si>
  <si>
    <t>T289</t>
  </si>
  <si>
    <t>P290</t>
  </si>
  <si>
    <t>8:45:=COUNTIF(J$3:OFFSET(J290,-1,0),"Subtotal:")+15:2:188:45:=IF(OFFSET(B290,1,0)&lt;&gt;"",OFFSET(B290,1,0),"")8:0:8:0:0:0:8:6:BP78108:6:BP78108:13:=LEFT(F290,3)8:3:#108:12:#10 Conveyor8:12:#10 Conveyor8:15:CV_781_SKID_2st8:15:CV_781_SKID_2st8:3:7815:3:7818:102:=IF(J290&lt;&gt;"",J290 - ('Shipping Program'!$D$9 + 'Shipping Program'!$F$9 + 'Shipping Program'!$H$9), "")8:0:8:0:0:0:8:39:=IF(SUM(M290:N290)=0,"",SUM(M290:N290))8:0:8:0:0:0:8:0:0:0:8:0:0:0:8:49:=VLOOKUP(I290,'Shipping Program'!$A$32:$B$78,2)-110:10:Error 20428:5:=O29010:10:Error 20428:7:=R290-710:10:Error 20158:155:=IFERROR(XLOOKUP(P290,'Shipping Program'!$B$32:$B$78,'Shipping Program'!$A$32:$A$78),IFERROR(INDEX(_V7Batches!$B:$B,MATCH(P290&amp;"",_V7Batches!$A:$A,0)),""))8:0:8:155:=IFERROR(XLOOKUP(P290,'Shipping Program'!$B$32:$B$78,'Shipping Program'!$E$32:$E$78),IFERROR(INDEX(_V7Batches!$D:$D,MATCH(P290&amp;"",_V7Batches!$A:$A,0)),""))8:0:8:29:=S290+'Shipping Program'!$H$910:10:Error 20158:42:=IFERROR(IF(J290*T290&lt;&gt;0,J290-T290,""),"")8:0:8:66:=IF(U290&lt;&gt;"",IF(U290&gt;28,"Too early",IF(U290&lt;14,"Too late","")),"")8:0:8:0:0:0:8:46:=IF(OFFSET(X290,1,0)="",R290,OFFSET(X290,1,0))8:0:8:70:=IF(OFFSET(Y290,1,0)="",X290+'Shipping Program'!$F$9,OFFSET(Y290,1,0))10:10:Error 20158:70:=IF(OFFSET(Z290,1,0)="",Y290+'Shipping Program'!$H$9,OFFSET(Z290,1,0))10:10:Error 20158:42:=IFERROR(IF(J290*Z290&lt;&gt;0,J290-Z290,""),"")8:0:8:69:=IF(AA290&lt;&gt;"",IF(AA290&gt;28,"Too early",IF(AA290&lt;14,"Too late","")),"")8:0:8:0:0:0:8:0:0:0:8:4:Durr8:4:Durr8:3:FOB8:3:FOB8:2:NR8:2:NR8:49:=IF(AI290="","",AI290*AJ290*AK290/1000/1000/1000)8:0:8:0:0:0:8:0:0:0:8:0:0:0:</t>
  </si>
  <si>
    <t>J290</t>
  </si>
  <si>
    <t>O290</t>
  </si>
  <si>
    <t>Q290</t>
  </si>
  <si>
    <t>T290</t>
  </si>
  <si>
    <t>P291</t>
  </si>
  <si>
    <t>8:45:=COUNTIF(J$3:OFFSET(J291,-1,0),"Subtotal:")+15:2:188:45:=IF(OFFSET(B291,1,0)&lt;&gt;"",OFFSET(B291,1,0),"")8:0:8:0:0:0:8:6:BP13328:6:BP13328:13:=LEFT(F291,3)8:3:#208:24:#20 CS Inst. material CV8:24:#20 CS Inst. material CV8:23:Electrical installation8:23:Electrical installation8:0:0:0:8:102:=IF(J291&lt;&gt;"",J291 - ('Shipping Program'!$D$9 + 'Shipping Program'!$F$9 + 'Shipping Program'!$H$9), "")8:0:8:0:0:0:8:39:=IF(SUM(M291:N291)=0,"",SUM(M291:N291))8:0:8:0:0:0:8:0:0:0:8:0:0:0:8:49:=VLOOKUP(I291,'Shipping Program'!$A$32:$B$78,2)-110:10:Error 20428:5:=O29110:10:Error 20428:7:=R291-710:10:Error 20158:155:=IFERROR(XLOOKUP(P291,'Shipping Program'!$B$32:$B$78,'Shipping Program'!$A$32:$A$78),IFERROR(INDEX(_V7Batches!$B:$B,MATCH(P291&amp;"",_V7Batches!$A:$A,0)),""))8:0:8:155:=IFERROR(XLOOKUP(P291,'Shipping Program'!$B$32:$B$78,'Shipping Program'!$E$32:$E$78),IFERROR(INDEX(_V7Batches!$D:$D,MATCH(P291&amp;"",_V7Batches!$A:$A,0)),""))8:0:8:29:=S291+'Shipping Program'!$H$910:10:Error 20158:42:=IFERROR(IF(J291*T291&lt;&gt;0,J291-T291,""),"")8:0:8:66:=IF(U291&lt;&gt;"",IF(U291&gt;28,"Too early",IF(U291&lt;14,"Too late","")),"")8:0:8:0:0:0:8:46:=IF(OFFSET(X291,1,0)="",R291,OFFSET(X291,1,0))8:0:8:70:=IF(OFFSET(Y291,1,0)="",X291+'Shipping Program'!$F$9,OFFSET(Y291,1,0))10:10:Error 20158:70:=IF(OFFSET(Z291,1,0)="",Y291+'Shipping Program'!$H$9,OFFSET(Z291,1,0))10:10:Error 20158:42:=IFERROR(IF(J291*Z291&lt;&gt;0,J291-Z291,""),"")8:0:8:69:=IF(AA291&lt;&gt;"",IF(AA291&gt;28,"Too early",IF(AA291&lt;14,"Too late","")),"")8:0:8:0:0:0:8:0:0:0:8:4:Durr8:4:Durr8:3:CNF8:3:CNF8:2:NR8:2:NR8:49:=IF(AI291="","",AI291*AJ291*AK291/1000/1000/1000)8:0:8:0:0:0:8:0:0:0:8:0:0:0:</t>
  </si>
  <si>
    <t>J291</t>
  </si>
  <si>
    <t>O291</t>
  </si>
  <si>
    <t>Q291</t>
  </si>
  <si>
    <t>T291</t>
  </si>
  <si>
    <t>P292</t>
  </si>
  <si>
    <t>8:45:=COUNTIF(J$3:OFFSET(J292,-1,0),"Subtotal:")+15:2:188:45:=IF(OFFSET(B292,1,0)&lt;&gt;"",OFFSET(B292,1,0),"")8:0:8:0:0:0:8:6:BP13328:6:BP13328:13:=LEFT(F292,3)8:3:#208:29:#20 CS Inst. material Process8:29:#20 CS Inst. material Process8:23:Electrical installation8:23:Electrical installation8:0:0:0:8:102:=IF(J292&lt;&gt;"",J292 - ('Shipping Program'!$D$9 + 'Shipping Program'!$F$9 + 'Shipping Program'!$H$9), "")8:0:8:0:0:0:8:39:=IF(SUM(M292:N292)=0,"",SUM(M292:N292))8:0:8:0:0:0:8:0:0:0:8:0:0:0:8:49:=VLOOKUP(I292,'Shipping Program'!$A$32:$B$78,2)-110:10:Error 20428:5:=O29210:10:Error 20428:7:=R292-710:10:Error 20158:155:=IFERROR(XLOOKUP(P292,'Shipping Program'!$B$32:$B$78,'Shipping Program'!$A$32:$A$78),IFERROR(INDEX(_V7Batches!$B:$B,MATCH(P292&amp;"",_V7Batches!$A:$A,0)),""))8:0:8:155:=IFERROR(XLOOKUP(P292,'Shipping Program'!$B$32:$B$78,'Shipping Program'!$E$32:$E$78),IFERROR(INDEX(_V7Batches!$D:$D,MATCH(P292&amp;"",_V7Batches!$A:$A,0)),""))8:0:8:29:=S292+'Shipping Program'!$H$910:10:Error 20158:42:=IFERROR(IF(J292*T292&lt;&gt;0,J292-T292,""),"")8:0:8:66:=IF(U292&lt;&gt;"",IF(U292&gt;28,"Too early",IF(U292&lt;14,"Too late","")),"")8:0:8:0:0:0:8:46:=IF(OFFSET(X292,1,0)="",R292,OFFSET(X292,1,0))8:0:8:70:=IF(OFFSET(Y292,1,0)="",X292+'Shipping Program'!$F$9,OFFSET(Y292,1,0))10:10:Error 20158:70:=IF(OFFSET(Z292,1,0)="",Y292+'Shipping Program'!$H$9,OFFSET(Z292,1,0))10:10:Error 20158:42:=IFERROR(IF(J292*Z292&lt;&gt;0,J292-Z292,""),"")8:0:8:69:=IF(AA292&lt;&gt;"",IF(AA292&gt;28,"Too early",IF(AA292&lt;14,"Too late","")),"")8:0:8:0:0:0:8:0:0:0:8:4:Durr8:4:Durr8:3:CNF8:3:CNF8:2:NR8:2:NR8:49:=IF(AI292="","",AI292*AJ292*AK292/1000/1000/1000)8:0:8:0:0:0:8:0:0:0:8:0:0:0:</t>
  </si>
  <si>
    <t>J292</t>
  </si>
  <si>
    <t>O292</t>
  </si>
  <si>
    <t>Q292</t>
  </si>
  <si>
    <t>T292</t>
  </si>
  <si>
    <t>P293</t>
  </si>
  <si>
    <t>8:45:=COUNTIF(J$3:OFFSET(J293,-1,0),"Subtotal:")+15:2:188:45:=IF(OFFSET(B293,1,0)&lt;&gt;"",OFFSET(B293,1,0),"")8:0:8:0:0:0:8:6:BP13328:6:BP13328:13:=LEFT(F293,3)8:3:#208:28:#20 CS Inst. Material Feedin8:28:#20 CS Inst. Material Feedin8:23:Electrical installation8:23:Electrical installation8:0:0:0:8:102:=IF(J293&lt;&gt;"",J293 - ('Shipping Program'!$D$9 + 'Shipping Program'!$F$9 + 'Shipping Program'!$H$9), "")8:0:8:0:0:0:8:39:=IF(SUM(M293:N293)=0,"",SUM(M293:N293))8:0:8:0:0:0:8:0:0:0:8:0:0:0:8:49:=VLOOKUP(I293,'Shipping Program'!$A$32:$B$78,2)-110:10:Error 20428:5:=O29310:10:Error 20428:7:=R293-710:10:Error 20158:155:=IFERROR(XLOOKUP(P293,'Shipping Program'!$B$32:$B$78,'Shipping Program'!$A$32:$A$78),IFERROR(INDEX(_V7Batches!$B:$B,MATCH(P293&amp;"",_V7Batches!$A:$A,0)),""))8:0:8:155:=IFERROR(XLOOKUP(P293,'Shipping Program'!$B$32:$B$78,'Shipping Program'!$E$32:$E$78),IFERROR(INDEX(_V7Batches!$D:$D,MATCH(P293&amp;"",_V7Batches!$A:$A,0)),""))8:0:8:29:=S293+'Shipping Program'!$H$910:10:Error 20158:42:=IFERROR(IF(J293*T293&lt;&gt;0,J293-T293,""),"")8:0:8:66:=IF(U293&lt;&gt;"",IF(U293&gt;28,"Too early",IF(U293&lt;14,"Too late","")),"")8:0:8:0:0:0:8:46:=IF(OFFSET(X293,1,0)="",R293,OFFSET(X293,1,0))8:0:8:70:=IF(OFFSET(Y293,1,0)="",X293+'Shipping Program'!$F$9,OFFSET(Y293,1,0))10:10:Error 20158:70:=IF(OFFSET(Z293,1,0)="",Y293+'Shipping Program'!$H$9,OFFSET(Z293,1,0))10:10:Error 20158:42:=IFERROR(IF(J293*Z293&lt;&gt;0,J293-Z293,""),"")8:0:8:69:=IF(AA293&lt;&gt;"",IF(AA293&gt;28,"Too early",IF(AA293&lt;14,"Too late","")),"")8:0:8:0:0:0:8:0:0:0:8:4:Durr8:4:Durr8:3:CNF8:3:CNF8:2:NR8:2:NR8:49:=IF(AI293="","",AI293*AJ293*AK293/1000/1000/1000)8:0:8:0:0:0:8:0:0:0:8:0:0:0:</t>
  </si>
  <si>
    <t>J293</t>
  </si>
  <si>
    <t>O293</t>
  </si>
  <si>
    <t>Q293</t>
  </si>
  <si>
    <t>T293</t>
  </si>
  <si>
    <t>E294</t>
  </si>
  <si>
    <t>8:45:=COUNTIF(J$3:OFFSET(J294,-1,0),"Subtotal:")+15:2:188:45:=IF(OFFSET(B294,1,0)&lt;&gt;"",OFFSET(B294,1,0),"")8:0:8:0:0:0:8:2:BP8:2:BP8:0:0:0:8:16:Purchasing parts8:16:Purchasing parts8:7:Sealing8:7:Sealing8:0:0:0:8:102:=IF(J294&lt;&gt;"",J294 - ('Shipping Program'!$D$9 + 'Shipping Program'!$F$9 + 'Shipping Program'!$H$9), "")8:0:8:0:0:0:8:39:=IF(SUM(M294:N294)=0,"",SUM(M294:N294))8:0:8:0:0:0:8:0:0:0:8:0:0:0:8:49:=VLOOKUP(I294,'Shipping Program'!$A$32:$B$78,2)-110:10:Error 20428:5:=O29410:10:Error 20428:7:=R294-710:10:Error 20158:155:=IFERROR(XLOOKUP(P294,'Shipping Program'!$B$32:$B$78,'Shipping Program'!$A$32:$A$78),IFERROR(INDEX(_V7Batches!$B:$B,MATCH(P294&amp;"",_V7Batches!$A:$A,0)),""))8:0:8:155:=IFERROR(XLOOKUP(P294,'Shipping Program'!$B$32:$B$78,'Shipping Program'!$E$32:$E$78),IFERROR(INDEX(_V7Batches!$D:$D,MATCH(P294&amp;"",_V7Batches!$A:$A,0)),""))8:0:8:29:=S294+'Shipping Program'!$H$910:10:Error 20158:42:=IFERROR(IF(J294*T294&lt;&gt;0,J294-T294,""),"")8:0:8:66:=IF(U294&lt;&gt;"",IF(U294&gt;28,"Too early",IF(U294&lt;14,"Too late","")),"")8:0:8:0:0:0:8:46:=IF(OFFSET(X294,1,0)="",R294,OFFSET(X294,1,0))8:0:8:70:=IF(OFFSET(Y294,1,0)="",X294+'Shipping Program'!$F$9,OFFSET(Y294,1,0))10:10:Error 20158:70:=IF(OFFSET(Z294,1,0)="",Y294+'Shipping Program'!$H$9,OFFSET(Z294,1,0))10:10:Error 20158:42:=IFERROR(IF(J294*Z294&lt;&gt;0,J294-Z294,""),"")8:0:8:69:=IF(AA294&lt;&gt;"",IF(AA294&gt;28,"Too early",IF(AA294&lt;14,"Too late","")),"")8:0:8:0:0:0:8:0:0:0:8:4:Durr8:4:Durr8:3:FOB8:3:FOB8:2:NR8:2:NR8:49:=IF(AI294="","",AI294*AJ294*AK294/1000/1000/1000)8:0:8:0:0:0:8:0:0:0:8:0:0:0:</t>
  </si>
  <si>
    <t>P294</t>
  </si>
  <si>
    <t>J294</t>
  </si>
  <si>
    <t>O294</t>
  </si>
  <si>
    <t>Q294</t>
  </si>
  <si>
    <t>T294</t>
  </si>
  <si>
    <t>E295</t>
  </si>
  <si>
    <t>8:45:=COUNTIF(J$3:OFFSET(J295,-1,0),"Subtotal:")+15:2:188:45:=IF(OFFSET(B295,1,0)&lt;&gt;"",OFFSET(B295,1,0),"")8:0:8:0:0:0:8:2:BP8:2:BP8:0:0:0:8:16:Purchasing parts8:16:Purchasing parts8:28:Connecting compensators_Oven8:28:Connecting compensators_Oven8:0:0:0:8:102:=IF(J295&lt;&gt;"",J295 - ('Shipping Program'!$D$9 + 'Shipping Program'!$F$9 + 'Shipping Program'!$H$9), "")8:0:8:0:0:0:8:39:=IF(SUM(M295:N295)=0,"",SUM(M295:N295))8:0:8:0:0:0:8:0:0:0:8:0:0:0:8:49:=VLOOKUP(I295,'Shipping Program'!$A$32:$B$78,2)-110:10:Error 20428:5:=O29510:10:Error 20428:7:=R295-710:10:Error 20158:155:=IFERROR(XLOOKUP(P295,'Shipping Program'!$B$32:$B$78,'Shipping Program'!$A$32:$A$78),IFERROR(INDEX(_V7Batches!$B:$B,MATCH(P295&amp;"",_V7Batches!$A:$A,0)),""))8:0:8:155:=IFERROR(XLOOKUP(P295,'Shipping Program'!$B$32:$B$78,'Shipping Program'!$E$32:$E$78),IFERROR(INDEX(_V7Batches!$D:$D,MATCH(P295&amp;"",_V7Batches!$A:$A,0)),""))8:0:8:29:=S295+'Shipping Program'!$H$910:10:Error 20158:42:=IFERROR(IF(J295*T295&lt;&gt;0,J295-T295,""),"")8:0:8:66:=IF(U295&lt;&gt;"",IF(U295&gt;28,"Too early",IF(U295&lt;14,"Too late","")),"")8:0:8:0:0:0:8:46:=IF(OFFSET(X295,1,0)="",R295,OFFSET(X295,1,0))8:0:8:70:=IF(OFFSET(Y295,1,0)="",X295+'Shipping Program'!$F$9,OFFSET(Y295,1,0))10:10:Error 20158:70:=IF(OFFSET(Z295,1,0)="",Y295+'Shipping Program'!$H$9,OFFSET(Z295,1,0))10:10:Error 20158:42:=IFERROR(IF(J295*Z295&lt;&gt;0,J295-Z295,""),"")8:0:8:69:=IF(AA295&lt;&gt;"",IF(AA295&gt;28,"Too early",IF(AA295&lt;14,"Too late","")),"")8:0:8:0:0:0:8:0:0:0:8:4:Durr8:4:Durr8:3:FOB8:3:FOB8:2:NR8:2:NR8:49:=IF(AI295="","",AI295*AJ295*AK295/1000/1000/1000)8:0:8:0:0:0:8:0:0:0:8:0:0:0:</t>
  </si>
  <si>
    <t>P295</t>
  </si>
  <si>
    <t>J295</t>
  </si>
  <si>
    <t>O295</t>
  </si>
  <si>
    <t>Q295</t>
  </si>
  <si>
    <t>T295</t>
  </si>
  <si>
    <t>E296</t>
  </si>
  <si>
    <t>8:45:=COUNTIF(J$3:OFFSET(J296,-1,0),"Subtotal:")+15:2:188:45:=IF(OFFSET(B296,1,0)&lt;&gt;"",OFFSET(B296,1,0),"")8:0:8:0:0:0:8:6:BP26038:6:BP26038:0:0:0:8:16:Purchasing parts8:16:Purchasing parts8:7:Grating8:7:Grating8:0:0:0:8:102:=IF(J296&lt;&gt;"",J296 - ('Shipping Program'!$D$9 + 'Shipping Program'!$F$9 + 'Shipping Program'!$H$9), "")8:0:8:0:0:0:8:39:=IF(SUM(M296:N296)=0,"",SUM(M296:N296))8:0:8:0:0:0:8:0:0:0:8:0:0:0:8:49:=VLOOKUP(I296,'Shipping Program'!$A$32:$B$78,2)-110:10:Error 20428:5:=O29610:10:Error 20428:7:=R296-710:10:Error 20158:155:=IFERROR(XLOOKUP(P296,'Shipping Program'!$B$32:$B$78,'Shipping Program'!$A$32:$A$78),IFERROR(INDEX(_V7Batches!$B:$B,MATCH(P296&amp;"",_V7Batches!$A:$A,0)),""))8:0:8:155:=IFERROR(XLOOKUP(P296,'Shipping Program'!$B$32:$B$78,'Shipping Program'!$E$32:$E$78),IFERROR(INDEX(_V7Batches!$D:$D,MATCH(P296&amp;"",_V7Batches!$A:$A,0)),""))8:0:8:29:=S296+'Shipping Program'!$H$910:10:Error 20158:42:=IFERROR(IF(J296*T296&lt;&gt;0,J296-T296,""),"")8:0:8:66:=IF(U296&lt;&gt;"",IF(U296&gt;28,"Too early",IF(U296&lt;14,"Too late","")),"")8:0:8:0:0:0:8:46:=IF(OFFSET(X296,1,0)="",R296,OFFSET(X296,1,0))8:0:8:70:=IF(OFFSET(Y296,1,0)="",X296+'Shipping Program'!$F$9,OFFSET(Y296,1,0))10:10:Error 20158:70:=IF(OFFSET(Z296,1,0)="",Y296+'Shipping Program'!$H$9,OFFSET(Z296,1,0))10:10:Error 20158:42:=IFERROR(IF(J296*Z296&lt;&gt;0,J296-Z296,""),"")8:0:8:69:=IF(AA296&lt;&gt;"",IF(AA296&gt;28,"Too early",IF(AA296&lt;14,"Too late","")),"")8:0:8:0:0:0:8:0:0:0:8:4:Durr8:4:Durr8:3:FOB8:3:FOB8:2:NR8:2:NR8:49:=IF(AI296="","",AI296*AJ296*AK296/1000/1000/1000)8:0:8:0:0:0:8:0:0:0:8:0:0:0:</t>
  </si>
  <si>
    <t>P296</t>
  </si>
  <si>
    <t>J296</t>
  </si>
  <si>
    <t>O296</t>
  </si>
  <si>
    <t>Q296</t>
  </si>
  <si>
    <t>T296</t>
  </si>
  <si>
    <t>E297</t>
  </si>
  <si>
    <t>8:45:=COUNTIF(J$3:OFFSET(J297,-1,0),"Subtotal:")+15:2:188:45:=IF(OFFSET(B297,1,0)&lt;&gt;"",OFFSET(B297,1,0),"")8:0:8:0:0:0:8:6:BP14308:6:BP14308:0:0:0:8:16:Purchasing parts8:16:Purchasing parts8:12:Fan complete8:12:Fan complete8:0:0:0:8:102:=IF(J297&lt;&gt;"",J297 - ('Shipping Program'!$D$9 + 'Shipping Program'!$F$9 + 'Shipping Program'!$H$9), "")8:0:8:0:0:0:8:39:=IF(SUM(M297:N297)=0,"",SUM(M297:N297))8:0:8:0:0:0:8:0:0:0:8:0:0:0:8:49:=VLOOKUP(I297,'Shipping Program'!$A$32:$B$78,2)-110:10:Error 20428:5:=O29710:10:Error 20428:7:=R297-710:10:Error 20158:155:=IFERROR(XLOOKUP(P297,'Shipping Program'!$B$32:$B$78,'Shipping Program'!$A$32:$A$78),IFERROR(INDEX(_V7Batches!$B:$B,MATCH(P297&amp;"",_V7Batches!$A:$A,0)),""))8:0:8:155:=IFERROR(XLOOKUP(P297,'Shipping Program'!$B$32:$B$78,'Shipping Program'!$E$32:$E$78),IFERROR(INDEX(_V7Batches!$D:$D,MATCH(P297&amp;"",_V7Batches!$A:$A,0)),""))8:0:8:29:=S297+'Shipping Program'!$H$910:10:Error 20158:42:=IFERROR(IF(J297*T297&lt;&gt;0,J297-T297,""),"")8:0:8:66:=IF(U297&lt;&gt;"",IF(U297&gt;28,"Too early",IF(U297&lt;14,"Too late","")),"")8:0:8:0:0:0:8:46:=IF(OFFSET(X297,1,0)="",R297,OFFSET(X297,1,0))8:0:8:70:=IF(OFFSET(Y297,1,0)="",X297+'Shipping Program'!$F$9,OFFSET(Y297,1,0))10:10:Error 20158:70:=IF(OFFSET(Z297,1,0)="",Y297+'Shipping Program'!$H$9,OFFSET(Z297,1,0))10:10:Error 20158:42:=IFERROR(IF(J297*Z297&lt;&gt;0,J297-Z297,""),"")8:0:8:69:=IF(AA297&lt;&gt;"",IF(AA297&gt;28,"Too early",IF(AA297&lt;14,"Too late","")),"")8:0:8:0:0:0:8:0:0:0:8:4:Durr8:4:Durr8:3:FOB8:3:FOB8:2:NR8:2:NR8:49:=IF(AI297="","",AI297*AJ297*AK297/1000/1000/1000)8:0:8:0:0:0:8:0:0:0:8:0:0:0:</t>
  </si>
  <si>
    <t>P297</t>
  </si>
  <si>
    <t>J297</t>
  </si>
  <si>
    <t>O297</t>
  </si>
  <si>
    <t>Q297</t>
  </si>
  <si>
    <t>T297</t>
  </si>
  <si>
    <t>E298</t>
  </si>
  <si>
    <t>8:45:=COUNTIF(J$3:OFFSET(J298,-1,0),"Subtotal:")+15:2:188:45:=IF(OFFSET(B298,1,0)&lt;&gt;"",OFFSET(B298,1,0),"")8:0:8:0:0:0:8:6:BP14308:6:BP14308:0:0:0:8:16:Purchasing parts8:16:Purchasing parts8:8:Roof Fan8:8:Roof Fan8:0:0:0:8:102:=IF(J298&lt;&gt;"",J298 - ('Shipping Program'!$D$9 + 'Shipping Program'!$F$9 + 'Shipping Program'!$H$9), "")8:0:8:0:0:0:8:39:=IF(SUM(M298:N298)=0,"",SUM(M298:N298))8:0:8:0:0:0:8:0:0:0:8:0:0:0:8:49:=VLOOKUP(I298,'Shipping Program'!$A$32:$B$78,2)-110:10:Error 20428:5:=O29810:10:Error 20428:7:=R298-710:10:Error 20158:155:=IFERROR(XLOOKUP(P298,'Shipping Program'!$B$32:$B$78,'Shipping Program'!$A$32:$A$78),IFERROR(INDEX(_V7Batches!$B:$B,MATCH(P298&amp;"",_V7Batches!$A:$A,0)),""))8:0:8:155:=IFERROR(XLOOKUP(P298,'Shipping Program'!$B$32:$B$78,'Shipping Program'!$E$32:$E$78),IFERROR(INDEX(_V7Batches!$D:$D,MATCH(P298&amp;"",_V7Batches!$A:$A,0)),""))8:0:8:29:=S298+'Shipping Program'!$H$910:10:Error 20158:42:=IFERROR(IF(J298*T298&lt;&gt;0,J298-T298,""),"")8:0:8:66:=IF(U298&lt;&gt;"",IF(U298&gt;28,"Too early",IF(U298&lt;14,"Too late","")),"")8:0:8:0:0:0:8:46:=IF(OFFSET(X298,1,0)="",R298,OFFSET(X298,1,0))8:0:8:70:=IF(OFFSET(Y298,1,0)="",X298+'Shipping Program'!$F$9,OFFSET(Y298,1,0))10:10:Error 20158:70:=IF(OFFSET(Z298,1,0)="",Y298+'Shipping Program'!$H$9,OFFSET(Z298,1,0))10:10:Error 20158:42:=IFERROR(IF(J298*Z298&lt;&gt;0,J298-Z298,""),"")8:0:8:69:=IF(AA298&lt;&gt;"",IF(AA298&gt;28,"Too early",IF(AA298&lt;14,"Too late","")),"")8:0:8:0:0:0:8:0:0:0:8:3:AES8:3:AES8:3:FOB8:3:FOB8:2:NR8:2:NR8:49:=IF(AI298="","",AI298*AJ298*AK298/1000/1000/1000)8:0:8:0:0:0:8:0:0:0:8:0:0:0:</t>
  </si>
  <si>
    <t>P298</t>
  </si>
  <si>
    <t>J298</t>
  </si>
  <si>
    <t>O298</t>
  </si>
  <si>
    <t>Q298</t>
  </si>
  <si>
    <t>T298</t>
  </si>
  <si>
    <t>E299</t>
  </si>
  <si>
    <t>8:45:=COUNTIF(J$3:OFFSET(J299,-1,0),"Subtotal:")+15:2:188:45:=IF(OFFSET(B299,1,0)&lt;&gt;"",OFFSET(B299,1,0),"")8:0:8:0:0:0:8:6:BP26048:6:BP26048:0:0:0:8:16:Purchasing parts8:16:Purchasing parts8:19:Damper, fire damper8:19:Damper, fire damper8:0:0:0:8:102:=IF(J299&lt;&gt;"",J299 - ('Shipping Program'!$D$9 + 'Shipping Program'!$F$9 + 'Shipping Program'!$H$9), "")8:0:8:0:0:0:8:39:=IF(SUM(M299:N299)=0,"",SUM(M299:N299))8:0:8:0:0:0:8:0:0:0:8:0:0:0:8:49:=VLOOKUP(I299,'Shipping Program'!$A$32:$B$78,2)-110:10:Error 20428:5:=O29910:10:Error 20428:7:=R299-710:10:Error 20158:155:=IFERROR(XLOOKUP(P299,'Shipping Program'!$B$32:$B$78,'Shipping Program'!$A$32:$A$78),IFERROR(INDEX(_V7Batches!$B:$B,MATCH(P299&amp;"",_V7Batches!$A:$A,0)),""))8:0:8:155:=IFERROR(XLOOKUP(P299,'Shipping Program'!$B$32:$B$78,'Shipping Program'!$E$32:$E$78),IFERROR(INDEX(_V7Batches!$D:$D,MATCH(P299&amp;"",_V7Batches!$A:$A,0)),""))8:0:8:29:=S299+'Shipping Program'!$H$910:10:Error 20158:42:=IFERROR(IF(J299*T299&lt;&gt;0,J299-T299,""),"")8:0:8:66:=IF(U299&lt;&gt;"",IF(U299&gt;28,"Too early",IF(U299&lt;14,"Too late","")),"")8:0:8:0:0:0:8:46:=IF(OFFSET(X299,1,0)="",R299,OFFSET(X299,1,0))8:0:8:70:=IF(OFFSET(Y299,1,0)="",X299+'Shipping Program'!$F$9,OFFSET(Y299,1,0))10:10:Error 20158:70:=IF(OFFSET(Z299,1,0)="",Y299+'Shipping Program'!$H$9,OFFSET(Z299,1,0))10:10:Error 20158:42:=IFERROR(IF(J299*Z299&lt;&gt;0,J299-Z299,""),"")8:0:8:69:=IF(AA299&lt;&gt;"",IF(AA299&gt;28,"Too early",IF(AA299&lt;14,"Too late","")),"")8:0:8:0:0:0:8:0:0:0:8:4:Durr8:4:Durr8:3:FOB8:3:FOB8:2:NR8:2:NR8:49:=IF(AI299="","",AI299*AJ299*AK299/1000/1000/1000)8:0:8:0:0:0:8:0:0:0:8:0:0:0:</t>
  </si>
  <si>
    <t>P299</t>
  </si>
  <si>
    <t>J299</t>
  </si>
  <si>
    <t>O299</t>
  </si>
  <si>
    <t>Q299</t>
  </si>
  <si>
    <t>T299</t>
  </si>
  <si>
    <t>E300</t>
  </si>
  <si>
    <t>8:45:=COUNTIF(J$3:OFFSET(J300,-1,0),"Subtotal:")+15:2:188:45:=IF(OFFSET(B300,1,0)&lt;&gt;"",OFFSET(B300,1,0),"")8:0:8:0:0:0:8:6:BP26048:6:BP26048:0:0:0:8:16:Purchasing parts8:16:Purchasing parts8:11:Lubrication8:11:Lubrication8:0:0:0:8:102:=IF(J300&lt;&gt;"",J300 - ('Shipping Program'!$D$9 + 'Shipping Program'!$F$9 + 'Shipping Program'!$H$9), "")8:0:8:0:0:0:8:39:=IF(SUM(M300:N300)=0,"",SUM(M300:N300))8:0:8:0:0:0:8:0:0:0:8:0:0:0:8:49:=VLOOKUP(I300,'Shipping Program'!$A$32:$B$78,2)-110:10:Error 20428:5:=O30010:10:Error 20428:7:=R300-710:10:Error 20158:155:=IFERROR(XLOOKUP(P300,'Shipping Program'!$B$32:$B$78,'Shipping Program'!$A$32:$A$78),IFERROR(INDEX(_V7Batches!$B:$B,MATCH(P300&amp;"",_V7Batches!$A:$A,0)),""))8:0:8:155:=IFERROR(XLOOKUP(P300,'Shipping Program'!$B$32:$B$78,'Shipping Program'!$E$32:$E$78),IFERROR(INDEX(_V7Batches!$D:$D,MATCH(P300&amp;"",_V7Batches!$A:$A,0)),""))8:0:8:29:=S300+'Shipping Program'!$H$910:10:Error 20158:42:=IFERROR(IF(J300*T300&lt;&gt;0,J300-T300,""),"")8:0:8:66:=IF(U300&lt;&gt;"",IF(U300&gt;28,"Too early",IF(U300&lt;14,"Too late","")),"")8:0:8:0:0:0:8:46:=IF(OFFSET(X300,1,0)="",R300,OFFSET(X300,1,0))8:0:8:70:=IF(OFFSET(Y300,1,0)="",X300+'Shipping Program'!$F$9,OFFSET(Y300,1,0))10:10:Error 20158:70:=IF(OFFSET(Z300,1,0)="",Y300+'Shipping Program'!$H$9,OFFSET(Z300,1,0))10:10:Error 20158:42:=IFERROR(IF(J300*Z300&lt;&gt;0,J300-Z300,""),"")8:0:8:69:=IF(AA300&lt;&gt;"",IF(AA300&gt;28,"Too early",IF(AA300&lt;14,"Too late","")),"")8:0:8:0:0:0:8:0:0:0:8:4:Durr8:4:Durr8:3:FOB8:3:FOB8:2:NR8:2:NR8:49:=IF(AI300="","",AI300*AJ300*AK300/1000/1000/1000)8:0:8:0:0:0:8:0:0:0:8:0:0:0:</t>
  </si>
  <si>
    <t>P300</t>
  </si>
  <si>
    <t>J300</t>
  </si>
  <si>
    <t>O300</t>
  </si>
  <si>
    <t>Q300</t>
  </si>
  <si>
    <t>T300</t>
  </si>
  <si>
    <t>E301</t>
  </si>
  <si>
    <t>8:45:=COUNTIF(J$3:OFFSET(J301,-1,0),"Subtotal:")+15:2:188:45:=IF(OFFSET(B301,1,0)&lt;&gt;"",OFFSET(B301,1,0),"")8:0:8:0:0:0:8:6:BP23918:6:BP23918:0:0:0:8:16:Purchasing parts8:16:Purchasing parts8:8:Lighting8:8:Lighting8:0:0:0:8:102:=IF(J301&lt;&gt;"",J301 - ('Shipping Program'!$D$9 + 'Shipping Program'!$F$9 + 'Shipping Program'!$H$9), "")8:0:8:0:0:0:8:39:=IF(SUM(M301:N301)=0,"",SUM(M301:N301))8:0:8:0:0:0:8:0:0:0:8:0:0:0:8:49:=VLOOKUP(I301,'Shipping Program'!$A$32:$B$78,2)-110:10:Error 20428:5:=O30110:10:Error 20428:7:=R301-710:10:Error 20158:155:=IFERROR(XLOOKUP(P301,'Shipping Program'!$B$32:$B$78,'Shipping Program'!$A$32:$A$78),IFERROR(INDEX(_V7Batches!$B:$B,MATCH(P301&amp;"",_V7Batches!$A:$A,0)),""))8:0:8:155:=IFERROR(XLOOKUP(P301,'Shipping Program'!$B$32:$B$78,'Shipping Program'!$E$32:$E$78),IFERROR(INDEX(_V7Batches!$D:$D,MATCH(P301&amp;"",_V7Batches!$A:$A,0)),""))8:0:8:29:=S301+'Shipping Program'!$H$910:10:Error 20158:42:=IFERROR(IF(J301*T301&lt;&gt;0,J301-T301,""),"")8:0:8:66:=IF(U301&lt;&gt;"",IF(U301&gt;28,"Too early",IF(U301&lt;14,"Too late","")),"")8:0:8:0:0:0:8:46:=IF(OFFSET(X301,1,0)="",R301,OFFSET(X301,1,0))8:0:8:70:=IF(OFFSET(Y301,1,0)="",X301+'Shipping Program'!$F$9,OFFSET(Y301,1,0))10:10:Error 20158:70:=IF(OFFSET(Z301,1,0)="",Y301+'Shipping Program'!$H$9,OFFSET(Z301,1,0))10:10:Error 20158:42:=IFERROR(IF(J301*Z301&lt;&gt;0,J301-Z301,""),"")8:0:8:69:=IF(AA301&lt;&gt;"",IF(AA301&gt;28,"Too early",IF(AA301&lt;14,"Too late","")),"")8:0:8:0:0:0:8:0:0:0:8:4:Durr8:4:Durr8:3:CNF8:3:CNF8:2:NR8:2:NR8:49:=IF(AI301="","",AI301*AJ301*AK301/1000/1000/1000)8:0:8:0:0:0:8:0:0:0:8:0:0:0:</t>
  </si>
  <si>
    <t>P301</t>
  </si>
  <si>
    <t>J301</t>
  </si>
  <si>
    <t>O301</t>
  </si>
  <si>
    <t>Q301</t>
  </si>
  <si>
    <t>T301</t>
  </si>
  <si>
    <t>E302</t>
  </si>
  <si>
    <t>8:45:=COUNTIF(J$3:OFFSET(J302,-1,0),"Subtotal:")+15:2:188:45:=IF(OFFSET(B302,1,0)&lt;&gt;"",OFFSET(B302,1,0),"")8:0:8:0:0:0:8:6:BP23948:6:BP23948:0:0:0:8:16:Purchasing parts8:16:Purchasing parts8:21:Rolling Shutter Doors8:21:Rolling Shutter Doors8:0:0:0:8:102:=IF(J302&lt;&gt;"",J302 - ('Shipping Program'!$D$9 + 'Shipping Program'!$F$9 + 'Shipping Program'!$H$9), "")8:0:8:0:0:0:8:39:=IF(SUM(M302:N302)=0,"",SUM(M302:N302))8:0:8:0:0:0:8:0:0:0:8:0:0:0:8:49:=VLOOKUP(I302,'Shipping Program'!$A$32:$B$78,2)-110:10:Error 20428:5:=O30210:10:Error 20428:7:=R302-710:10:Error 20158:155:=IFERROR(XLOOKUP(P302,'Shipping Program'!$B$32:$B$78,'Shipping Program'!$A$32:$A$78),IFERROR(INDEX(_V7Batches!$B:$B,MATCH(P302&amp;"",_V7Batches!$A:$A,0)),""))8:0:8:155:=IFERROR(XLOOKUP(P302,'Shipping Program'!$B$32:$B$78,'Shipping Program'!$E$32:$E$78),IFERROR(INDEX(_V7Batches!$D:$D,MATCH(P302&amp;"",_V7Batches!$A:$A,0)),""))8:0:8:29:=S302+'Shipping Program'!$H$910:10:Error 20158:42:=IFERROR(IF(J302*T302&lt;&gt;0,J302-T302,""),"")8:0:8:66:=IF(U302&lt;&gt;"",IF(U302&gt;28,"Too early",IF(U302&lt;14,"Too late","")),"")8:0:8:0:0:0:8:46:=IF(OFFSET(X302,1,0)="",R302,OFFSET(X302,1,0))8:0:8:70:=IF(OFFSET(Y302,1,0)="",X302+'Shipping Program'!$F$9,OFFSET(Y302,1,0))10:10:Error 20158:70:=IF(OFFSET(Z302,1,0)="",Y302+'Shipping Program'!$H$9,OFFSET(Z302,1,0))10:10:Error 20158:42:=IFERROR(IF(J302*Z302&lt;&gt;0,J302-Z302,""),"")8:0:8:69:=IF(AA302&lt;&gt;"",IF(AA302&gt;28,"Too early",IF(AA302&lt;14,"Too late","")),"")8:0:8:0:0:0:8:0:0:0:8:4:Durr8:4:Durr8:3:FOB8:3:FOB8:2:NR8:2:NR8:49:=IF(AI302="","",AI302*AJ302*AK302/1000/1000/1000)8:0:8:0:0:0:8:0:0:0:8:0:0:0:</t>
  </si>
  <si>
    <t>P302</t>
  </si>
  <si>
    <t>J302</t>
  </si>
  <si>
    <t>O302</t>
  </si>
  <si>
    <t>Q302</t>
  </si>
  <si>
    <t>T302</t>
  </si>
  <si>
    <t>E303</t>
  </si>
  <si>
    <t>8:45:=COUNTIF(J$3:OFFSET(J303,-1,0),"Subtotal:")+15:2:188:45:=IF(OFFSET(B303,1,0)&lt;&gt;"",OFFSET(B303,1,0),"")8:0:8:0:0:0:8:6:BP23978:6:BP23978:0:0:0:8:16:Purchasing parts8:16:Purchasing parts8:14:Dialysis Cells8:14:Dialysis Cells8:0:0:0:8:102:=IF(J303&lt;&gt;"",J303 - ('Shipping Program'!$D$9 + 'Shipping Program'!$F$9 + 'Shipping Program'!$H$9), "")8:0:8:0:0:0:8:39:=IF(SUM(M303:N303)=0,"",SUM(M303:N303))8:0:8:0:0:0:8:0:0:0:8:0:0:0:8:49:=VLOOKUP(I303,'Shipping Program'!$A$32:$B$78,2)-110:10:Error 20428:5:=O30310:10:Error 20428:7:=R303-710:10:Error 20158:155:=IFERROR(XLOOKUP(P303,'Shipping Program'!$B$32:$B$78,'Shipping Program'!$A$32:$A$78),IFERROR(INDEX(_V7Batches!$B:$B,MATCH(P303&amp;"",_V7Batches!$A:$A,0)),""))8:0:8:155:=IFERROR(XLOOKUP(P303,'Shipping Program'!$B$32:$B$78,'Shipping Program'!$E$32:$E$78),IFERROR(INDEX(_V7Batches!$D:$D,MATCH(P303&amp;"",_V7Batches!$A:$A,0)),""))8:0:8:29:=S303+'Shipping Program'!$H$910:10:Error 20158:42:=IFERROR(IF(J303*T303&lt;&gt;0,J303-T303,""),"")8:0:8:66:=IF(U303&lt;&gt;"",IF(U303&gt;28,"Too early",IF(U303&lt;14,"Too late","")),"")8:0:8:0:0:0:8:46:=IF(OFFSET(X303,1,0)="",R303,OFFSET(X303,1,0))8:0:8:70:=IF(OFFSET(Y303,1,0)="",X303+'Shipping Program'!$F$9,OFFSET(Y303,1,0))10:10:Error 20158:70:=IF(OFFSET(Z303,1,0)="",Y303+'Shipping Program'!$H$9,OFFSET(Z303,1,0))10:10:Error 20158:42:=IFERROR(IF(J303*Z303&lt;&gt;0,J303-Z303,""),"")8:0:8:69:=IF(AA303&lt;&gt;"",IF(AA303&gt;28,"Too early",IF(AA303&lt;14,"Too late","")),"")8:0:8:0:0:0:8:0:0:0:8:4:Durr8:4:Durr8:3:FOB8:3:FOB8:2:NR8:2:NR8:49:=IF(AI303="","",AI303*AJ303*AK303/1000/1000/1000)8:0:8:0:0:0:8:0:0:0:8:0:0:0:</t>
  </si>
  <si>
    <t>P303</t>
  </si>
  <si>
    <t>J303</t>
  </si>
  <si>
    <t>O303</t>
  </si>
  <si>
    <t>Q303</t>
  </si>
  <si>
    <t>T303</t>
  </si>
  <si>
    <t>E304</t>
  </si>
  <si>
    <t>8:45:=COUNTIF(J$3:OFFSET(J304,-1,0),"Subtotal:")+15:2:188:45:=IF(OFFSET(B304,1,0)&lt;&gt;"",OFFSET(B304,1,0),"")8:0:8:0:0:0:8:6:BP23978:6:BP23978:0:0:0:8:16:Purchasing parts8:16:Purchasing parts8:6:Filter8:6:Filter8:0:0:0:8:102:=IF(J304&lt;&gt;"",J304 - ('Shipping Program'!$D$9 + 'Shipping Program'!$F$9 + 'Shipping Program'!$H$9), "")8:0:8:0:0:0:8:39:=IF(SUM(M304:N304)=0,"",SUM(M304:N304))8:0:8:0:0:0:8:0:0:0:8:0:0:0:8:49:=VLOOKUP(I304,'Shipping Program'!$A$32:$B$78,2)-110:10:Error 20428:5:=O30410:10:Error 20428:7:=R304-710:10:Error 20158:155:=IFERROR(XLOOKUP(P304,'Shipping Program'!$B$32:$B$78,'Shipping Program'!$A$32:$A$78),IFERROR(INDEX(_V7Batches!$B:$B,MATCH(P304&amp;"",_V7Batches!$A:$A,0)),""))8:0:8:155:=IFERROR(XLOOKUP(P304,'Shipping Program'!$B$32:$B$78,'Shipping Program'!$E$32:$E$78),IFERROR(INDEX(_V7Batches!$D:$D,MATCH(P304&amp;"",_V7Batches!$A:$A,0)),""))8:0:8:29:=S304+'Shipping Program'!$H$910:10:Error 20158:42:=IFERROR(IF(J304*T304&lt;&gt;0,J304-T304,""),"")8:0:8:66:=IF(U304&lt;&gt;"",IF(U304&gt;28,"Too early",IF(U304&lt;14,"Too late","")),"")8:0:8:0:0:0:8:46:=IF(OFFSET(X304,1,0)="",R304,OFFSET(X304,1,0))8:0:8:70:=IF(OFFSET(Y304,1,0)="",X304+'Shipping Program'!$F$9,OFFSET(Y304,1,0))10:10:Error 20158:70:=IF(OFFSET(Z304,1,0)="",Y304+'Shipping Program'!$H$9,OFFSET(Z304,1,0))10:10:Error 20158:42:=IFERROR(IF(J304*Z304&lt;&gt;0,J304-Z304,""),"")8:0:8:69:=IF(AA304&lt;&gt;"",IF(AA304&gt;28,"Too early",IF(AA304&lt;14,"Too late","")),"")8:0:8:0:0:0:8:0:0:0:8:4:Durr8:4:Durr8:3:FOB8:3:FOB8:2:NR8:2:NR8:49:=IF(AI304="","",AI304*AJ304*AK304/1000/1000/1000)8:0:8:0:0:0:8:0:0:0:8:0:0:0:</t>
  </si>
  <si>
    <t>P304</t>
  </si>
  <si>
    <t>J304</t>
  </si>
  <si>
    <t>O304</t>
  </si>
  <si>
    <t>Q304</t>
  </si>
  <si>
    <t>T304</t>
  </si>
  <si>
    <t>E305</t>
  </si>
  <si>
    <t>8:45:=COUNTIF(J$3:OFFSET(J305,-1,0),"Subtotal:")+15:2:188:45:=IF(OFFSET(B305,1,0)&lt;&gt;"",OFFSET(B305,1,0),"")8:0:8:0:0:0:8:6:BP23978:6:BP23978:0:0:0:8:16:Purchasing parts8:16:Purchasing parts8:41:Dismantling  tools like Oven fans trolley8:41:Dismantling  tools like Oven fans trolley8:0:0:0:8:102:=IF(J305&lt;&gt;"",J305 - ('Shipping Program'!$D$9 + 'Shipping Program'!$F$9 + 'Shipping Program'!$H$9), "")8:0:8:0:0:0:8:39:=IF(SUM(M305:N305)=0,"",SUM(M305:N305))8:0:8:0:0:0:8:0:0:0:8:0:0:0:8:49:=VLOOKUP(I305,'Shipping Program'!$A$32:$B$78,2)-110:10:Error 20428:5:=O30510:10:Error 20428:7:=R305-710:10:Error 20158:155:=IFERROR(XLOOKUP(P305,'Shipping Program'!$B$32:$B$78,'Shipping Program'!$A$32:$A$78),IFERROR(INDEX(_V7Batches!$B:$B,MATCH(P305&amp;"",_V7Batches!$A:$A,0)),""))8:0:8:155:=IFERROR(XLOOKUP(P305,'Shipping Program'!$B$32:$B$78,'Shipping Program'!$E$32:$E$78),IFERROR(INDEX(_V7Batches!$D:$D,MATCH(P305&amp;"",_V7Batches!$A:$A,0)),""))8:0:8:29:=S305+'Shipping Program'!$H$910:10:Error 20158:42:=IFERROR(IF(J305*T305&lt;&gt;0,J305-T305,""),"")8:0:8:66:=IF(U305&lt;&gt;"",IF(U305&gt;28,"Too early",IF(U305&lt;14,"Too late","")),"")8:0:8:0:0:0:8:46:=IF(OFFSET(X305,1,0)="",R305,OFFSET(X305,1,0))8:0:8:70:=IF(OFFSET(Y305,1,0)="",X305+'Shipping Program'!$F$9,OFFSET(Y305,1,0))10:10:Error 20158:70:=IF(OFFSET(Z305,1,0)="",Y305+'Shipping Program'!$H$9,OFFSET(Z305,1,0))10:10:Error 20158:42:=IFERROR(IF(J305*Z305&lt;&gt;0,J305-Z305,""),"")8:0:8:69:=IF(AA305&lt;&gt;"",IF(AA305&gt;28,"Too early",IF(AA305&lt;14,"Too late","")),"")8:0:8:0:0:0:8:0:0:0:8:4:Durr8:4:Durr8:3:FOB8:3:FOB8:2:NR8:2:NR8:49:=IF(AI305="","",AI305*AJ305*AK305/1000/1000/1000)8:0:8:0:0:0:8:0:0:0:8:0:0:0:</t>
  </si>
  <si>
    <t>P305</t>
  </si>
  <si>
    <t>J305</t>
  </si>
  <si>
    <t>O305</t>
  </si>
  <si>
    <t>Q305</t>
  </si>
  <si>
    <t>T305</t>
  </si>
  <si>
    <t>P306</t>
  </si>
  <si>
    <t>8:45:=COUNTIF(J$3:OFFSET(J306,-1,0),"Subtotal:")+15:2:188:45:=IF(OFFSET(B306,1,0)&lt;&gt;"",OFFSET(B306,1,0),"")8:0:8:0:0:0:8:6:BP24008:6:BP24008:13:=LEFT(F306,3)8:3:#158:23:#15 Painting Technology8:23:#15 Painting Technology8:22:Topcoat_Robot_material8:22:Topcoat_Robot_material8:0:0:0:8:102:=IF(J306&lt;&gt;"",J306 - ('Shipping Program'!$D$9 + 'Shipping Program'!$F$9 + 'Shipping Program'!$H$9), "")8:0:8:0:0:0:8:39:=IF(SUM(M306:N306)=0,"",SUM(M306:N306))8:0:8:0:0:0:8:0:0:0:8:0:0:0:8:49:=VLOOKUP(I306,'Shipping Program'!$A$32:$B$78,2)-110:10:Error 20428:5:=O30610:10:Error 20428:7:=R306-710:10:Error 20158:155:=IFERROR(XLOOKUP(P306,'Shipping Program'!$B$32:$B$78,'Shipping Program'!$A$32:$A$78),IFERROR(INDEX(_V7Batches!$B:$B,MATCH(P306&amp;"",_V7Batches!$A:$A,0)),""))8:0:8:155:=IFERROR(XLOOKUP(P306,'Shipping Program'!$B$32:$B$78,'Shipping Program'!$E$32:$E$78),IFERROR(INDEX(_V7Batches!$D:$D,MATCH(P306&amp;"",_V7Batches!$A:$A,0)),""))8:0:8:29:=S306+'Shipping Program'!$H$910:10:Error 20158:42:=IFERROR(IF(J306*T306&lt;&gt;0,J306-T306,""),"")8:0:8:66:=IF(U306&lt;&gt;"",IF(U306&gt;28,"Too early",IF(U306&lt;14,"Too late","")),"")8:0:8:0:0:0:8:46:=IF(OFFSET(X306,1,0)="",R306,OFFSET(X306,1,0))8:0:8:70:=IF(OFFSET(Y306,1,0)="",X306+'Shipping Program'!$F$9,OFFSET(Y306,1,0))10:10:Error 20158:70:=IF(OFFSET(Z306,1,0)="",Y306+'Shipping Program'!$H$9,OFFSET(Z306,1,0))10:10:Error 20158:42:=IFERROR(IF(J306*Z306&lt;&gt;0,J306-Z306,""),"")8:0:8:69:=IF(AA306&lt;&gt;"",IF(AA306&gt;28,"Too early",IF(AA306&lt;14,"Too late","")),"")8:0:8:0:0:0:8:0:0:0:8:4:Durr8:4:Durr8:3:CNF8:3:CNF8:2:NR8:2:NR8:49:=IF(AI306="","",AI306*AJ306*AK306/1000/1000/1000)8:0:8:0:0:0:8:0:0:0:8:0:0:0:</t>
  </si>
  <si>
    <t>J306</t>
  </si>
  <si>
    <t>O306</t>
  </si>
  <si>
    <t>Q306</t>
  </si>
  <si>
    <t>T306</t>
  </si>
  <si>
    <t>P307</t>
  </si>
  <si>
    <t>8:45:=COUNTIF(J$3:OFFSET(J307,-1,0),"Subtotal:")+15:2:188:45:=IF(OFFSET(B307,1,0)&lt;&gt;"",OFFSET(B307,1,0),"")8:0:8:0:0:0:8:6:BP24008:6:BP24008:13:=LEFT(F307,3)8:3:#158:23:#15 Painting Technology8:23:#15 Painting Technology8:21:Primer_Robot_material8:21:Primer_Robot_material8:0:0:0:8:102:=IF(J307&lt;&gt;"",J307 - ('Shipping Program'!$D$9 + 'Shipping Program'!$F$9 + 'Shipping Program'!$H$9), "")8:0:8:0:0:0:8:39:=IF(SUM(M307:N307)=0,"",SUM(M307:N307))8:0:8:0:0:0:8:0:0:0:8:0:0:0:8:49:=VLOOKUP(I307,'Shipping Program'!$A$32:$B$78,2)-110:10:Error 20428:5:=O30710:10:Error 20428:7:=R307-710:10:Error 20158:155:=IFERROR(XLOOKUP(P307,'Shipping Program'!$B$32:$B$78,'Shipping Program'!$A$32:$A$78),IFERROR(INDEX(_V7Batches!$B:$B,MATCH(P307&amp;"",_V7Batches!$A:$A,0)),""))8:0:8:155:=IFERROR(XLOOKUP(P307,'Shipping Program'!$B$32:$B$78,'Shipping Program'!$E$32:$E$78),IFERROR(INDEX(_V7Batches!$D:$D,MATCH(P307&amp;"",_V7Batches!$A:$A,0)),""))8:0:8:29:=S307+'Shipping Program'!$H$910:10:Error 20158:42:=IFERROR(IF(J307*T307&lt;&gt;0,J307-T307,""),"")8:0:8:66:=IF(U307&lt;&gt;"",IF(U307&gt;28,"Too early",IF(U307&lt;14,"Too late","")),"")8:0:8:0:0:0:8:46:=IF(OFFSET(X307,1,0)="",R307,OFFSET(X307,1,0))8:0:8:70:=IF(OFFSET(Y307,1,0)="",X307+'Shipping Program'!$F$9,OFFSET(Y307,1,0))10:10:Error 20158:70:=IF(OFFSET(Z307,1,0)="",Y307+'Shipping Program'!$H$9,OFFSET(Z307,1,0))10:10:Error 20158:42:=IFERROR(IF(J307*Z307&lt;&gt;0,J307-Z307,""),"")8:0:8:69:=IF(AA307&lt;&gt;"",IF(AA307&gt;28,"Too early",IF(AA307&lt;14,"Too late","")),"")8:0:8:0:0:0:8:0:0:0:8:4:Durr8:4:Durr8:3:FOB8:3:FOB8:2:NR8:2:NR8:49:=IF(AI307="","",AI307*AJ307*AK307/1000/1000/1000)8:0:8:0:0:0:8:0:0:0:8:0:0:0:</t>
  </si>
  <si>
    <t>J307</t>
  </si>
  <si>
    <t>O307</t>
  </si>
  <si>
    <t>Q307</t>
  </si>
  <si>
    <t>T307</t>
  </si>
  <si>
    <t>P308</t>
  </si>
  <si>
    <t>8:45:=COUNTIF(J$3:OFFSET(J308,-1,0),"Subtotal:")+15:2:188:45:=IF(OFFSET(B308,1,0)&lt;&gt;"",OFFSET(B308,1,0),"")8:0:8:0:0:0:8:6:BP24008:6:BP24008:13:=LEFT(F308,3)8:3:#078:19:#07 Material Supply8:19:#07 Material Supply8:19:Paint-mix equipment8:19:Paint-mix equipment8:0:0:0:8:102:=IF(J308&lt;&gt;"",J308 - ('Shipping Program'!$D$9 + 'Shipping Program'!$F$9 + 'Shipping Program'!$H$9), "")8:0:8:0:0:0:8:39:=IF(SUM(M308:N308)=0,"",SUM(M308:N308))8:0:8:0:0:0:8:0:0:0:8:0:0:0:8:49:=VLOOKUP(I308,'Shipping Program'!$A$32:$B$78,2)-110:10:Error 20428:5:=O30810:10:Error 20428:7:=R308-710:10:Error 20158:155:=IFERROR(XLOOKUP(P308,'Shipping Program'!$B$32:$B$78,'Shipping Program'!$A$32:$A$78),IFERROR(INDEX(_V7Batches!$B:$B,MATCH(P308&amp;"",_V7Batches!$A:$A,0)),""))8:0:8:155:=IFERROR(XLOOKUP(P308,'Shipping Program'!$B$32:$B$78,'Shipping Program'!$E$32:$E$78),IFERROR(INDEX(_V7Batches!$D:$D,MATCH(P308&amp;"",_V7Batches!$A:$A,0)),""))8:0:8:29:=S308+'Shipping Program'!$H$910:10:Error 20158:42:=IFERROR(IF(J308*T308&lt;&gt;0,J308-T308,""),"")8:0:8:66:=IF(U308&lt;&gt;"",IF(U308&gt;28,"Too early",IF(U308&lt;14,"Too late","")),"")8:0:8:0:0:0:8:46:=IF(OFFSET(X308,1,0)="",R308,OFFSET(X308,1,0))8:0:8:70:=IF(OFFSET(Y308,1,0)="",X308+'Shipping Program'!$F$9,OFFSET(Y308,1,0))10:10:Error 20158:70:=IF(OFFSET(Z308,1,0)="",Y308+'Shipping Program'!$H$9,OFFSET(Z308,1,0))10:10:Error 20158:42:=IFERROR(IF(J308*Z308&lt;&gt;0,J308-Z308,""),"")8:0:8:69:=IF(AA308&lt;&gt;"",IF(AA308&gt;28,"Too early",IF(AA308&lt;14,"Too late","")),"")8:0:8:0:0:0:8:0:0:0:8:4:Durr8:4:Durr8:3:CNF8:3:CNF8:2:NR8:2:NR8:49:=IF(AI308="","",AI308*AJ308*AK308/1000/1000/1000)8:0:8:0:0:0:8:0:0:0:8:0:0:0:</t>
  </si>
  <si>
    <t>J308</t>
  </si>
  <si>
    <t>O308</t>
  </si>
  <si>
    <t>Q308</t>
  </si>
  <si>
    <t>T308</t>
  </si>
  <si>
    <t>P309</t>
  </si>
  <si>
    <t>8:45:=COUNTIF(J$3:OFFSET(J309,-1,0),"Subtotal:")+15:2:188:45:=IF(OFFSET(B309,1,0)&lt;&gt;"",OFFSET(B309,1,0),"")8:0:8:0:0:0:8:6:BP25008:6:BP25008:13:=LEFT(F309,3)8:3:#078:19:#07 Material Supply8:19:#07 Material Supply8:13:Sealer Supply8:13:Sealer Supply8:0:0:0:8:102:=IF(J309&lt;&gt;"",J309 - ('Shipping Program'!$D$9 + 'Shipping Program'!$F$9 + 'Shipping Program'!$H$9), "")8:0:8:0:0:0:8:39:=IF(SUM(M309:N309)=0,"",SUM(M309:N309))8:0:8:0:0:0:8:0:0:0:8:0:0:0:8:49:=VLOOKUP(I309,'Shipping Program'!$A$32:$B$78,2)-110:10:Error 20428:5:=O30910:10:Error 20428:7:=R309-710:10:Error 20158:155:=IFERROR(XLOOKUP(P309,'Shipping Program'!$B$32:$B$78,'Shipping Program'!$A$32:$A$78),IFERROR(INDEX(_V7Batches!$B:$B,MATCH(P309&amp;"",_V7Batches!$A:$A,0)),""))8:0:8:155:=IFERROR(XLOOKUP(P309,'Shipping Program'!$B$32:$B$78,'Shipping Program'!$E$32:$E$78),IFERROR(INDEX(_V7Batches!$D:$D,MATCH(P309&amp;"",_V7Batches!$A:$A,0)),""))8:0:8:29:=S309+'Shipping Program'!$H$910:10:Error 20158:42:=IFERROR(IF(J309*T309&lt;&gt;0,J309-T309,""),"")8:0:8:66:=IF(U309&lt;&gt;"",IF(U309&gt;28,"Too early",IF(U309&lt;14,"Too late","")),"")8:0:8:0:0:0:8:46:=IF(OFFSET(X309,1,0)="",R309,OFFSET(X309,1,0))8:0:8:70:=IF(OFFSET(Y309,1,0)="",X309+'Shipping Program'!$F$9,OFFSET(Y309,1,0))10:10:Error 20158:70:=IF(OFFSET(Z309,1,0)="",Y309+'Shipping Program'!$H$9,OFFSET(Z309,1,0))10:10:Error 20158:42:=IFERROR(IF(J309*Z309&lt;&gt;0,J309-Z309,""),"")8:0:8:69:=IF(AA309&lt;&gt;"",IF(AA309&gt;28,"Too early",IF(AA309&lt;14,"Too late","")),"")8:0:8:0:0:0:8:0:0:0:8:4:Durr8:4:Durr8:3:FOB8:3:FOB8:2:NR8:2:NR8:49:=IF(AI309="","",AI309*AJ309*AK309/1000/1000/1000)8:0:8:0:0:0:8:0:0:0:8:0:0:0:</t>
  </si>
  <si>
    <t>J309</t>
  </si>
  <si>
    <t>O309</t>
  </si>
  <si>
    <t>Q309</t>
  </si>
  <si>
    <t>T309</t>
  </si>
  <si>
    <t>8:41:CN01-2305033_Sazgar Project_Shipping plan8:41:CN01-2305033_Sazgar Project_Shipping plan8:0:0:0:8:0:0:0:8:0:0:0:8:0:0:0:8:0:0:0:8:0:0:0:8:0:0:0:8:3:SOI8:3:SOI8:5:464335:5:464338:3:SOC8:3:SOC8:5:465835:5:465838:0:0:0:8:0:0:0:8:0:0:0:8:0:0:0:8:0:0:0:8:0:0:0:8:0:0:0:8:0:0:0:8:0:0:0:8:0:0:0:8:0:0:0:8:0:0:0:8:0:0:0:8:0:0:0:8:0:0:0:8:0:0:0:8:0:0:0:8:0:0:0:8:0:0:0:8:0:0:0:8:0:0:0:8:0:0:0:8:0:0:0:8:0:0:0:8:0:0:0:</t>
  </si>
  <si>
    <t>8:14:Shipment batch8:14:Shipment batch8:25:Shipment No. of Logistics8:25:Shipment No. of Logistics8:8:Supplier8:8:Supplier8:6:BP. No8:6:BP. No8:7:Product8:7:Product8:5:Plant8:5:Plant8:9:Task Name8:9:Task Name8:16:Add. Information8:16:Add. Information8:18:Ready for Shipping8:18:Ready for Shipping8:23:Installation Start Date8:23:Installation Start Date8:18:Container Quantity8:18:Container Quantity8:16:BB(bulk cargo)M38:16:BB(bulk cargo)M38:25:Frame Container QTY (40')8:25:Frame Container QTY (40')8:26:Normal Container Qty (40')8:26:Normal Container Qty (40')8:24:Automatic Shipping order8:24:Automatic Shipping order8:22:Planned Shipping order8:22:Planned Shipping order8:20:Planned Pick up date8:20:Planned Pick up date8:11:Planned ETD8:11:Planned ETD8:11:Planned ETA8:11:Planned ETA8:11:Planned ETS8:11:Planned ETS8:16:ΔSOI-Planned ETS8:16:ΔSOI-Planned ETS8:5:Notes8:5:Notes8:26:Strorage area on site (m2)8:26:Strorage area on site (m2)8:10:Actual ETD8:10:Actual ETD8:10:Actual ETA8:10:Actual ETA8:10:Actual ETS8:10:Actual ETS8:15:ΔSOI-Actual ETS8:15:ΔSOI-Actual ETS8:5:Notes8:5:Notes8:26:Strorage area on site (m2)8:26:Strorage area on site (m2)8:0:0:0:8:23:Purchase Responsibility8:23:Purchase Responsibility8:11:Trade terms8:11:Trade terms8:16:Oversize/ Normal8:16:Oversize/ Normal8:8:Area 
M38:8:Area 
M38:12:Length 
(mm)8:12:Length 
(mm)8:10:Width
(mm)8:10:Width
(mm)8:9:High
(mm)8:9:High
(mm)</t>
  </si>
  <si>
    <t>8:0:0:0:8:0:0:0:8:0:0:0:8:0:0:0:8:0:0:0:8:0:0:0:8:0:0:0:8:0:0:0:8:0:0:0:8:0:0:0:8:0:0:0:8:0:0:0:8:0:0:0:8:0:0:0:8:0:0:0:8:0:0:0:8:0:0:0:8:0:0:0:8:0:0:0:8:0:0:0:8:0:0:0:8:0:0:0:8:0:0:0:8:0:0:0:8:0:0:0:8:0:0:0:8:0:0:0:8:0:0:0:8:0:0:0:8:0:0:0:8:0:0:0:8:0:0:0:8:0:0:0:8:0:0:0:8:0:0:0:8:0:0:0:8:0:0:0:</t>
  </si>
  <si>
    <t>8:43:=COUNTIF(J$3:OFFSET(J4,-1,0),"Subtotal:")+15:1:18:41:=IF(OFFSET(B4,1,0)&lt;&gt;"",OFFSET(B4,1,0),"")8:0:8:0:0:0:8:6:BP19308:6:BP19308:11:=LEFT(F4,3)8:3:#028:12:#02 PT Plant8:12:#02 PT Plant8:18:Process Tank PP0418:18:Process Tank PP0418:0:0:0:8:98:=IF(J4&lt;&gt;"",J4 - ('Shipping Program'!$D$9 + 'Shipping Program'!$F$9 + 'Shipping Program'!$H$9), "")5:5:464608:5:465075:5:465078:31:=IF(SUM(M4:N4)=0,"",SUM(M4:N4))8:0:8:0:0:0:8:0:0:0:8:0:0:0:8:47:=VLOOKUP(I4,'Shipping Program'!$A$32:$B$78,2)-15:1:18:3:=O45:1:18:5:=R4-75:5:464408:151:=IFERROR(XLOOKUP(P4,'Shipping Program'!$B$32:$B$78,'Shipping Program'!$A$32:$A$78),IFERROR(INDEX(_V7Batches!$B:$B,MATCH(P4&amp;"",_V7Batches!$A:$A,0)),""))5:5:464478:151:=IFERROR(XLOOKUP(P4,'Shipping Program'!$B$32:$B$78,'Shipping Program'!$E$32:$E$78),IFERROR(INDEX(_V7Batches!$D:$D,MATCH(P4&amp;"",_V7Batches!$A:$A,0)),""))5:5:464778:27:=S4+'Shipping Program'!$H$95:5:464848:34:=IFERROR(IF(J4*T4&lt;&gt;0,J4-T4,""),"")5:2:238:60:=IF(U4&lt;&gt;"",IF(U4&gt;28,"Too early",IF(U4&lt;14,"Too late","")),"")8:0:8:0:0:0:8:40:=IF(OFFSET(X4,1,0)="",R4,OFFSET(X4,1,0))5:5:464478:64:=IF(OFFSET(Y4,1,0)="",X4+'Shipping Program'!$F$9,OFFSET(Y4,1,0))5:5:464778:64:=IF(OFFSET(Z4,1,0)="",Y4+'Shipping Program'!$H$9,OFFSET(Z4,1,0))5:5:464848:34:=IFERROR(IF(J4*Z4&lt;&gt;0,J4-Z4,""),"")5:2:238:63:=IF(AA4&lt;&gt;"",IF(AA4&gt;28,"Too early",IF(AA4&lt;14,"Too late","")),"")8:0:8:0:0:0:8:0:0:0:8:4:Durr8:4:Durr8:3:FOB8:3:FOB8:1:F8:1:F8:41:=IF(AI4="","",AI4*AJ4*AK4/1000/1000/1000)8:0:8:0:0:0:8:0:0:0:8:0:0:0:</t>
  </si>
  <si>
    <t>8:43:=COUNTIF(J$3:OFFSET(J5,-1,0),"Subtotal:")+15:1:18:41:=IF(OFFSET(B5,1,0)&lt;&gt;"",OFFSET(B5,1,0),"")8:0:8:0:0:0:8:6:BP19308:6:BP19308:11:=LEFT(F5,3)8:3:#028:12:#02 EC Plant8:12:#02 EC Plant8:18:Process Tank PS0218:18:Process Tank PS0218:0:0:0:8:98:=IF(J5&lt;&gt;"",J5 - ('Shipping Program'!$D$9 + 'Shipping Program'!$F$9 + 'Shipping Program'!$H$9), "")5:5:464598:5:465065:5:465068:31:=IF(SUM(M5:N5)=0,"",SUM(M5:N5))8:0:8:0:0:0:8:0:0:0:8:0:0:0:8:47:=VLOOKUP(I5,'Shipping Program'!$A$32:$B$78,2)-15:1:18:3:=O55:1:18:5:=R5-75:5:464408:151:=IFERROR(XLOOKUP(P5,'Shipping Program'!$B$32:$B$78,'Shipping Program'!$A$32:$A$78),IFERROR(INDEX(_V7Batches!$B:$B,MATCH(P5&amp;"",_V7Batches!$A:$A,0)),""))5:5:464478:151:=IFERROR(XLOOKUP(P5,'Shipping Program'!$B$32:$B$78,'Shipping Program'!$E$32:$E$78),IFERROR(INDEX(_V7Batches!$D:$D,MATCH(P5&amp;"",_V7Batches!$A:$A,0)),""))5:5:464778:27:=S5+'Shipping Program'!$H$95:5:464848:34:=IFERROR(IF(J5*T5&lt;&gt;0,J5-T5,""),"")5:2:228:60:=IF(U5&lt;&gt;"",IF(U5&gt;28,"Too early",IF(U5&lt;14,"Too late","")),"")8:0:8:0:0:0:8:40:=IF(OFFSET(X5,1,0)="",R5,OFFSET(X5,1,0))5:5:464478:64:=IF(OFFSET(Y5,1,0)="",X5+'Shipping Program'!$F$9,OFFSET(Y5,1,0))5:5:464778:64:=IF(OFFSET(Z5,1,0)="",Y5+'Shipping Program'!$H$9,OFFSET(Z5,1,0))5:5:464848:34:=IFERROR(IF(J5*Z5&lt;&gt;0,J5-Z5,""),"")5:2:228:63:=IF(AA5&lt;&gt;"",IF(AA5&gt;28,"Too early",IF(AA5&lt;14,"Too late","")),"")8:0:8:0:0:0:8:0:0:0:8:4:Durr8:4:Durr8:3:FOB8:3:FOB8:1:F8:1:F8:41:=IF(AI5="","",AI5*AJ5*AK5/1000/1000/1000)8:0:8:0:0:0:8:0:0:0:8:0:0:0:</t>
  </si>
  <si>
    <t>8:43:=COUNTIF(J$3:OFFSET(J6,-1,0),"Subtotal:")+15:1:18:41:=IF(OFFSET(B6,1,0)&lt;&gt;"",OFFSET(B6,1,0),"")8:0:8:0:0:0:8:6:BP19758:6:BP19758:11:=LEFT(F6,3)8:3:#028:12:#02 PT Plant8:12:#02 PT Plant8:22:Drain pans on position8:22:Drain pans on position8:0:0:0:8:98:=IF(J6&lt;&gt;"",J6 - ('Shipping Program'!$D$9 + 'Shipping Program'!$F$9 + 'Shipping Program'!$H$9), "")5:5:464598:5:465065:5:465068:31:=IF(SUM(M6:N6)=0,"",SUM(M6:N6))8:0:8:0:0:0:8:0:0:0:8:0:0:0:8:47:=VLOOKUP(I6,'Shipping Program'!$A$32:$B$78,2)-15:1:18:3:=O65:1:18:5:=R6-75:5:464408:151:=IFERROR(XLOOKUP(P6,'Shipping Program'!$B$32:$B$78,'Shipping Program'!$A$32:$A$78),IFERROR(INDEX(_V7Batches!$B:$B,MATCH(P6&amp;"",_V7Batches!$A:$A,0)),""))5:5:464478:151:=IFERROR(XLOOKUP(P6,'Shipping Program'!$B$32:$B$78,'Shipping Program'!$E$32:$E$78),IFERROR(INDEX(_V7Batches!$D:$D,MATCH(P6&amp;"",_V7Batches!$A:$A,0)),""))5:5:464778:27:=S6+'Shipping Program'!$H$95:5:464848:34:=IFERROR(IF(J6*T6&lt;&gt;0,J6-T6,""),"")5:2:228:60:=IF(U6&lt;&gt;"",IF(U6&gt;28,"Too early",IF(U6&lt;14,"Too late","")),"")8:0:8:0:0:0:8:40:=IF(OFFSET(X6,1,0)="",R6,OFFSET(X6,1,0))5:5:464478:64:=IF(OFFSET(Y6,1,0)="",X6+'Shipping Program'!$F$9,OFFSET(Y6,1,0))5:5:464778:64:=IF(OFFSET(Z6,1,0)="",Y6+'Shipping Program'!$H$9,OFFSET(Z6,1,0))5:5:464848:34:=IFERROR(IF(J6*Z6&lt;&gt;0,J6-Z6,""),"")5:2:228:63:=IF(AA6&lt;&gt;"",IF(AA6&gt;28,"Too early",IF(AA6&lt;14,"Too late","")),"")8:0:8:0:0:0:8:0:0:0:8:4:Durr8:4:Durr8:3:FOB8:3:FOB8:1:F8:1:F8:41:=IF(AI6="","",AI6*AJ6*AK6/1000/1000/1000)8:0:8:0:0:0:8:0:0:0:8:0:0:0:</t>
  </si>
  <si>
    <t>8:43:=COUNTIF(J$3:OFFSET(J7,-1,0),"Subtotal:")+15:1:18:41:=IF(OFFSET(B7,1,0)&lt;&gt;"",OFFSET(B7,1,0),"")8:0:8:0:0:0:8:6:BP19758:6:BP19758:11:=LEFT(F7,3)8:3:#028:12:#02 EC Plant8:12:#02 EC Plant8:22:Drain pans on position8:22:Drain pans on position8:0:0:0:8:98:=IF(J7&lt;&gt;"",J7 - ('Shipping Program'!$D$9 + 'Shipping Program'!$F$9 + 'Shipping Program'!$H$9), "")5:5:464608:5:465075:5:465078:31:=IF(SUM(M7:N7)=0,"",SUM(M7:N7))8:0:8:0:0:0:8:0:0:0:8:0:0:0:8:47:=VLOOKUP(I7,'Shipping Program'!$A$32:$B$78,2)-15:1:18:3:=O75:1:18:5:=R7-75:5:464408:151:=IFERROR(XLOOKUP(P7,'Shipping Program'!$B$32:$B$78,'Shipping Program'!$A$32:$A$78),IFERROR(INDEX(_V7Batches!$B:$B,MATCH(P7&amp;"",_V7Batches!$A:$A,0)),""))5:5:464478:151:=IFERROR(XLOOKUP(P7,'Shipping Program'!$B$32:$B$78,'Shipping Program'!$E$32:$E$78),IFERROR(INDEX(_V7Batches!$D:$D,MATCH(P7&amp;"",_V7Batches!$A:$A,0)),""))5:5:464778:27:=S7+'Shipping Program'!$H$95:5:464848:34:=IFERROR(IF(J7*T7&lt;&gt;0,J7-T7,""),"")5:2:238:60:=IF(U7&lt;&gt;"",IF(U7&gt;28,"Too early",IF(U7&lt;14,"Too late","")),"")8:0:8:0:0:0:8:40:=IF(OFFSET(X7,1,0)="",R7,OFFSET(X7,1,0))5:5:464478:64:=IF(OFFSET(Y7,1,0)="",X7+'Shipping Program'!$F$9,OFFSET(Y7,1,0))5:5:464778:64:=IF(OFFSET(Z7,1,0)="",Y7+'Shipping Program'!$H$9,OFFSET(Z7,1,0))5:5:464848:34:=IFERROR(IF(J7*Z7&lt;&gt;0,J7-Z7,""),"")5:2:238:63:=IF(AA7&lt;&gt;"",IF(AA7&gt;28,"Too early",IF(AA7&lt;14,"Too late","")),"")8:0:8:0:0:0:8:0:0:0:8:4:Durr8:4:Durr8:3:FOB8:3:FOB8:1:F8:1:F8:41:=IF(AI7="","",AI7*AJ7*AK7/1000/1000/1000)8:0:8:0:0:0:8:0:0:0:8:0:0:0:</t>
  </si>
  <si>
    <t>8:43:=COUNTIF(J$3:OFFSET(J8,-1,0),"Subtotal:")+15:1:18:41:=IF(OFFSET(B8,1,0)&lt;&gt;"",OFFSET(B8,1,0),"")8:0:8:0:0:0:8:6:BP19508:6:BP19508:11:=LEFT(F8,3)8:3:#098:13:#09 Steelwork8:13:#09 Steelwork8:10:CV  CP5.118:10:CV  CP5.118:0:0:0:8:98:=IF(J8&lt;&gt;"",J8 - ('Shipping Program'!$D$9 + 'Shipping Program'!$F$9 + 'Shipping Program'!$H$9), "")5:5:464608:5:465075:5:465078:31:=IF(SUM(M8:N8)=0,"",SUM(M8:N8))8:0:8:0:0:0:8:0:0:0:8:0:0:0:8:47:=VLOOKUP(I8,'Shipping Program'!$A$32:$B$78,2)-15:1:18:3:=O85:1:18:5:=R8-75:5:464408:151:=IFERROR(XLOOKUP(P8,'Shipping Program'!$B$32:$B$78,'Shipping Program'!$A$32:$A$78),IFERROR(INDEX(_V7Batches!$B:$B,MATCH(P8&amp;"",_V7Batches!$A:$A,0)),""))5:5:464478:151:=IFERROR(XLOOKUP(P8,'Shipping Program'!$B$32:$B$78,'Shipping Program'!$E$32:$E$78),IFERROR(INDEX(_V7Batches!$D:$D,MATCH(P8&amp;"",_V7Batches!$A:$A,0)),""))5:5:464778:27:=S8+'Shipping Program'!$H$95:5:464848:34:=IFERROR(IF(J8*T8&lt;&gt;0,J8-T8,""),"")5:2:238:60:=IF(U8&lt;&gt;"",IF(U8&gt;28,"Too early",IF(U8&lt;14,"Too late","")),"")8:0:8:0:0:0:8:40:=IF(OFFSET(X8,1,0)="",R8,OFFSET(X8,1,0))5:5:464478:64:=IF(OFFSET(Y8,1,0)="",X8+'Shipping Program'!$F$9,OFFSET(Y8,1,0))5:5:464778:64:=IF(OFFSET(Z8,1,0)="",Y8+'Shipping Program'!$H$9,OFFSET(Z8,1,0))5:5:464848:34:=IFERROR(IF(J8*Z8&lt;&gt;0,J8-Z8,""),"")5:2:238:63:=IF(AA8&lt;&gt;"",IF(AA8&gt;28,"Too early",IF(AA8&lt;14,"Too late","")),"")8:0:8:0:0:0:8:0:0:0:8:3:AES8:3:AES8:0:0:0:8:0:0:0:8:41:=IF(AI8="","",AI8*AJ8*AK8/1000/1000/1000)8:0:8:0:0:0:8:0:0:0:8:0:0:0:</t>
  </si>
  <si>
    <t>8:43:=COUNTIF(J$3:OFFSET(J9,-1,0),"Subtotal:")+15:1:18:41:=IF(OFFSET(B9,1,0)&lt;&gt;"",OFFSET(B9,1,0),"")8:0:8:0:0:0:8:11:BP2110&amp;21208:11:BP2110&amp;21208:11:=LEFT(F9,3)8:3:#068:35:#06 AP2,3,5 MatelRepair,ECSand,Seal8:35:#06 AP2,3,5 MatelRepair,ECSand,Seal8:12:Floor module8:12:Floor module8:0:0:0:8:98:=IF(J9&lt;&gt;"",J9 - ('Shipping Program'!$D$9 + 'Shipping Program'!$F$9 + 'Shipping Program'!$H$9), "")5:5:464608:5:465075:5:465078:31:=IF(SUM(M9:N9)=0,"",SUM(M9:N9))8:0:8:0:0:0:8:0:0:0:8:0:0:0:8:47:=VLOOKUP(I9,'Shipping Program'!$A$32:$B$78,2)-15:1:18:3:=O95:1:18:5:=R9-75:5:464408:151:=IFERROR(XLOOKUP(P9,'Shipping Program'!$B$32:$B$78,'Shipping Program'!$A$32:$A$78),IFERROR(INDEX(_V7Batches!$B:$B,MATCH(P9&amp;"",_V7Batches!$A:$A,0)),""))5:5:464478:151:=IFERROR(XLOOKUP(P9,'Shipping Program'!$B$32:$B$78,'Shipping Program'!$E$32:$E$78),IFERROR(INDEX(_V7Batches!$D:$D,MATCH(P9&amp;"",_V7Batches!$A:$A,0)),""))5:5:464778:27:=S9+'Shipping Program'!$H$95:5:464848:34:=IFERROR(IF(J9*T9&lt;&gt;0,J9-T9,""),"")5:2:238:60:=IF(U9&lt;&gt;"",IF(U9&gt;28,"Too early",IF(U9&lt;14,"Too late","")),"")8:0:8:0:0:0:8:40:=IF(OFFSET(X9,1,0)="",R9,OFFSET(X9,1,0))5:5:464478:64:=IF(OFFSET(Y9,1,0)="",X9+'Shipping Program'!$F$9,OFFSET(Y9,1,0))5:5:464778:64:=IF(OFFSET(Z9,1,0)="",Y9+'Shipping Program'!$H$9,OFFSET(Z9,1,0))5:5:464848:34:=IFERROR(IF(J9*Z9&lt;&gt;0,J9-Z9,""),"")5:2:238:63:=IF(AA9&lt;&gt;"",IF(AA9&gt;28,"Too early",IF(AA9&lt;14,"Too late","")),"")8:0:8:0:0:0:8:0:0:0:8:4:Durr8:4:Durr8:3:FOB8:3:FOB8:2:NR8:2:NR8:41:=IF(AI9="","",AI9*AJ9*AK9/1000/1000/1000)8:0:8:0:0:0:8:0:0:0:8:0:0:0:</t>
  </si>
  <si>
    <t>8:44:=COUNTIF(J$3:OFFSET(J10,-1,0),"Subtotal:")+15:1:18:0:0:0:8:0:0:0:8:0:0:0:8:0:0:0:8:0:0:0:8:0:0:0:8:0:0:0:8:0:0:0:8:9:Subtotal:8:9:Subtotal:8:53:=SUMIF(A$3:OFFSET(A10,-1,0),A10,K$3:OFFSET(K10,-1,0))5:1:08:53:=SUMIF(A$3:OFFSET(A10,-1,0),A10,L$3:OFFSET(L10,-1,0))5:1:08:0:0:0:8:0:0:0:8:0:0:0:8:0:0:0:8:6:=R10-75:5:464408:40:=IF(J10="Subtotal:",OFFSET(R10,-1,0),"")5:5:464478:40:=IF(J10="Subtotal:",OFFSET(S10,-1,0),"")5:5:464778:40:=IF(J10="Subtotal:",OFFSET(T10,-1,0),"")5:5:464848:38:=IFERROR(IF(J10*T10&lt;&gt;0,J10-T10,""),"")8:0:8:63:=IF(U10&lt;&gt;"",IF(U10&gt;28,"Too early",IF(U10&lt;14,"Too late","")),"")8:0:8:143:=(SUMIFS($K:$K,$J:$J,"&lt;&gt;Subtotal:",$J:$J,"&gt;"&amp;S10,$S:$S,"&lt;="&amp;S10))*24*1.3+(SUMIFS($L:$L,$J:$J,"&lt;&gt;Subtotal:",$J:$J,"&gt;"&amp;S10,$S:$S,"&lt;="&amp;S10))/3*1.35:1:08:0:0:0:8:0:0:0:8:0:0:0:8:38:=IFERROR(IF(J10*Z10&lt;&gt;0,J10-Z10,""),"")8:0:8:66:=IF(AA10&lt;&gt;"",IF(AA10&gt;28,"Too early",IF(AA10&lt;14,"Too late","")),"")8:0:8:143:=(SUMIFS($K:$K,$J:$J,"&lt;&gt;Subtotal:",$J:$J,"&gt;"&amp;Y10,$Y:$Y,"&lt;="&amp;Y10))*24*1.3+(SUMIFS($L:$L,$J:$J,"&lt;&gt;Subtotal:",$J:$J,"&gt;"&amp;Y10,$Y:$Y,"&lt;="&amp;Y10))/3*1.35:1:08:0:0:0:8:0:0:0:8:0:0:0:8:0:0:0:8:0:0:0:8:0:0:0:8:0:0:0:8:0:0:0:</t>
  </si>
  <si>
    <t>8:44:=COUNTIF(J$3:OFFSET(J11,-1,0),"Subtotal:")+15:1:28:43:=IF(OFFSET(B11,1,0)&lt;&gt;"",OFFSET(B11,1,0),"")8:0:8:0:0:0:8:6:BP19308:6:BP19308:12:=LEFT(F11,3)8:3:#028:12:#02 PT Plant8:12:#02 PT Plant8:18:Process Tank PA0318:18:Process Tank PA0318:0:0:0:8:100:=IF(J11&lt;&gt;"",J11 - ('Shipping Program'!$D$9 + 'Shipping Program'!$F$9 + 'Shipping Program'!$H$9), "")5:5:464628:5:465095:5:465098:35:=IF(SUM(M11:N11)=0,"",SUM(M11:N11))8:0:8:0:0:0:8:0:0:0:8:0:0:0:8:48:=VLOOKUP(I11,'Shipping Program'!$A$32:$B$78,2)-15:1:28:4:=O115:1:28:6:=R11-75:5:464478:153:=IFERROR(XLOOKUP(P11,'Shipping Program'!$B$32:$B$78,'Shipping Program'!$A$32:$A$78),IFERROR(INDEX(_V7Batches!$B:$B,MATCH(P11&amp;"",_V7Batches!$A:$A,0)),""))5:5:464548:153:=IFERROR(XLOOKUP(P11,'Shipping Program'!$B$32:$B$78,'Shipping Program'!$E$32:$E$78),IFERROR(INDEX(_V7Batches!$D:$D,MATCH(P11&amp;"",_V7Batches!$A:$A,0)),""))5:5:464848:28:=S11+'Shipping Program'!$H$95:5:464918:38:=IFERROR(IF(J11*T11&lt;&gt;0,J11-T11,""),"")5:2:188:63:=IF(U11&lt;&gt;"",IF(U11&gt;28,"Too early",IF(U11&lt;14,"Too late","")),"")8:0:8:0:0:0:8:43:=IF(OFFSET(X11,1,0)="",R11,OFFSET(X11,1,0))5:5:464548:67:=IF(OFFSET(Y11,1,0)="",X11+'Shipping Program'!$F$9,OFFSET(Y11,1,0))5:5:464848:67:=IF(OFFSET(Z11,1,0)="",Y11+'Shipping Program'!$H$9,OFFSET(Z11,1,0))5:5:464918:38:=IFERROR(IF(J11*Z11&lt;&gt;0,J11-Z11,""),"")5:2:188:66:=IF(AA11&lt;&gt;"",IF(AA11&gt;28,"Too early",IF(AA11&lt;14,"Too late","")),"")8:0:8:0:0:0:8:0:0:0:8:4:Durr8:4:Durr8:3:FOB8:3:FOB8:1:F8:1:F8:45:=IF(AI11="","",AI11*AJ11*AK11/1000/1000/1000)8:0:8:0:0:0:8:0:0:0:8:0:0:0:</t>
  </si>
  <si>
    <t>8:44:=COUNTIF(J$3:OFFSET(J12,-1,0),"Subtotal:")+15:1:28:43:=IF(OFFSET(B12,1,0)&lt;&gt;"",OFFSET(B12,1,0),"")8:0:8:0:0:0:8:6:BP19308:6:BP19308:12:=LEFT(F12,3)8:3:#028:12:#02 EC Plant8:12:#02 EC Plant8:18:Process Tank PS0718:18:Process Tank PS0718:0:0:0:8:100:=IF(J12&lt;&gt;"",J12 - ('Shipping Program'!$D$9 + 'Shipping Program'!$F$9 + 'Shipping Program'!$H$9), "")5:5:464668:5:465135:5:465138:35:=IF(SUM(M12:N12)=0,"",SUM(M12:N12))8:0:8:0:0:0:8:0:0:0:8:0:0:0:8:48:=VLOOKUP(I12,'Shipping Program'!$A$32:$B$78,2)-15:1:28:4:=O125:1:28:6:=R12-75:5:464478:153:=IFERROR(XLOOKUP(P12,'Shipping Program'!$B$32:$B$78,'Shipping Program'!$A$32:$A$78),IFERROR(INDEX(_V7Batches!$B:$B,MATCH(P12&amp;"",_V7Batches!$A:$A,0)),""))5:5:464548:153:=IFERROR(XLOOKUP(P12,'Shipping Program'!$B$32:$B$78,'Shipping Program'!$E$32:$E$78),IFERROR(INDEX(_V7Batches!$D:$D,MATCH(P12&amp;"",_V7Batches!$A:$A,0)),""))5:5:464848:28:=S12+'Shipping Program'!$H$95:5:464918:38:=IFERROR(IF(J12*T12&lt;&gt;0,J12-T12,""),"")5:2:228:63:=IF(U12&lt;&gt;"",IF(U12&gt;28,"Too early",IF(U12&lt;14,"Too late","")),"")8:0:8:0:0:0:8:43:=IF(OFFSET(X12,1,0)="",R12,OFFSET(X12,1,0))5:5:464548:67:=IF(OFFSET(Y12,1,0)="",X12+'Shipping Program'!$F$9,OFFSET(Y12,1,0))5:5:464848:67:=IF(OFFSET(Z12,1,0)="",Y12+'Shipping Program'!$H$9,OFFSET(Z12,1,0))5:5:464918:38:=IFERROR(IF(J12*Z12&lt;&gt;0,J12-Z12,""),"")5:2:228:66:=IF(AA12&lt;&gt;"",IF(AA12&gt;28,"Too early",IF(AA12&lt;14,"Too late","")),"")8:0:8:0:0:0:8:0:0:0:8:4:Durr8:4:Durr8:3:FOB8:3:FOB8:1:F8:1:F8:45:=IF(AI12="","",AI12*AJ12*AK12/1000/1000/1000)8:0:8:0:0:0:8:0:0:0:8:0:0:0:</t>
  </si>
  <si>
    <t>8:44:=COUNTIF(J$3:OFFSET(J13,-1,0),"Subtotal:")+15:1:28:43:=IF(OFFSET(B13,1,0)&lt;&gt;"",OFFSET(B13,1,0),"")8:0:8:0:0:0:8:6:BP18308:6:BP18308:12:=LEFT(F13,3)8:3:#048:11:#04 EC Oven8:11:#04 EC Oven8:32:Oven modules hold zone *7modules8:32:Oven modules hold zone *7modules8:0:0:0:8:100:=IF(J13&lt;&gt;"",J13 - ('Shipping Program'!$D$9 + 'Shipping Program'!$F$9 + 'Shipping Program'!$H$9), "")5:5:464678:5:465145:5:465148:35:=IF(SUM(M13:N13)=0,"",SUM(M13:N13))8:0:8:0:0:0:8:0:0:0:8:0:0:0:8:48:=VLOOKUP(I13,'Shipping Program'!$A$32:$B$78,2)-15:1:28:4:=O135:1:28:6:=R13-75:5:464478:153:=IFERROR(XLOOKUP(P13,'Shipping Program'!$B$32:$B$78,'Shipping Program'!$A$32:$A$78),IFERROR(INDEX(_V7Batches!$B:$B,MATCH(P13&amp;"",_V7Batches!$A:$A,0)),""))5:5:464548:153:=IFERROR(XLOOKUP(P13,'Shipping Program'!$B$32:$B$78,'Shipping Program'!$E$32:$E$78),IFERROR(INDEX(_V7Batches!$D:$D,MATCH(P13&amp;"",_V7Batches!$A:$A,0)),""))5:5:464848:28:=S13+'Shipping Program'!$H$95:5:464918:38:=IFERROR(IF(J13*T13&lt;&gt;0,J13-T13,""),"")5:2:238:63:=IF(U13&lt;&gt;"",IF(U13&gt;28,"Too early",IF(U13&lt;14,"Too late","")),"")8:0:8:0:0:0:8:43:=IF(OFFSET(X13,1,0)="",R13,OFFSET(X13,1,0))5:5:464548:67:=IF(OFFSET(Y13,1,0)="",X13+'Shipping Program'!$F$9,OFFSET(Y13,1,0))5:5:464848:67:=IF(OFFSET(Z13,1,0)="",Y13+'Shipping Program'!$H$9,OFFSET(Z13,1,0))5:5:464918:38:=IFERROR(IF(J13*Z13&lt;&gt;0,J13-Z13,""),"")5:2:238:66:=IF(AA13&lt;&gt;"",IF(AA13&gt;28,"Too early",IF(AA13&lt;14,"Too late","")),"")8:0:8:0:0:0:8:0:0:0:8:4:Durr8:4:Durr8:3:FOB8:3:FOB8:3:F+N8:3:F+N8:45:=IF(AI13="","",AI13*AJ13*AK13/1000/1000/1000)8:0:8:0:0:0:8:0:0:0:8:0:0:0:</t>
  </si>
  <si>
    <t>8:44:=COUNTIF(J$3:OFFSET(J14,-1,0),"Subtotal:")+15:1:28:43:=IF(OFFSET(B14,1,0)&lt;&gt;"",OFFSET(B14,1,0),"")8:0:8:0:0:0:8:6:BP18308:6:BP18308:12:=LEFT(F14,3)8:3:#048:11:#04 EC Oven8:11:#04 EC Oven8:25:Oven module air seal exit8:25:Oven module air seal exit8:0:0:0:8:100:=IF(J14&lt;&gt;"",J14 - ('Shipping Program'!$D$9 + 'Shipping Program'!$F$9 + 'Shipping Program'!$H$9), "")5:5:464668:5:465135:5:465138:35:=IF(SUM(M14:N14)=0,"",SUM(M14:N14))8:0:8:0:0:0:8:0:0:0:8:0:0:0:8:48:=VLOOKUP(I14,'Shipping Program'!$A$32:$B$78,2)-15:1:28:4:=O145:1:28:6:=R14-75:5:464478:153:=IFERROR(XLOOKUP(P14,'Shipping Program'!$B$32:$B$78,'Shipping Program'!$A$32:$A$78),IFERROR(INDEX(_V7Batches!$B:$B,MATCH(P14&amp;"",_V7Batches!$A:$A,0)),""))5:5:464548:153:=IFERROR(XLOOKUP(P14,'Shipping Program'!$B$32:$B$78,'Shipping Program'!$E$32:$E$78),IFERROR(INDEX(_V7Batches!$D:$D,MATCH(P14&amp;"",_V7Batches!$A:$A,0)),""))5:5:464848:28:=S14+'Shipping Program'!$H$95:5:464918:38:=IFERROR(IF(J14*T14&lt;&gt;0,J14-T14,""),"")5:2:228:63:=IF(U14&lt;&gt;"",IF(U14&gt;28,"Too early",IF(U14&lt;14,"Too late","")),"")8:0:8:0:0:0:8:43:=IF(OFFSET(X14,1,0)="",R14,OFFSET(X14,1,0))5:5:464548:67:=IF(OFFSET(Y14,1,0)="",X14+'Shipping Program'!$F$9,OFFSET(Y14,1,0))5:5:464848:67:=IF(OFFSET(Z14,1,0)="",Y14+'Shipping Program'!$H$9,OFFSET(Z14,1,0))5:5:464918:38:=IFERROR(IF(J14*Z14&lt;&gt;0,J14-Z14,""),"")5:2:228:66:=IF(AA14&lt;&gt;"",IF(AA14&gt;28,"Too early",IF(AA14&lt;14,"Too late","")),"")8:0:8:0:0:0:8:0:0:0:8:4:Durr8:4:Durr8:3:FOB8:3:FOB8:3:F+N8:3:F+N8:45:=IF(AI14="","",AI14*AJ14*AK14/1000/1000/1000)8:0:8:0:0:0:8:0:0:0:8:0:0:0:</t>
  </si>
  <si>
    <t>8:44:=COUNTIF(J$3:OFFSET(J15,-1,0),"Subtotal:")+15:1:28:43:=IF(OFFSET(B15,1,0)&lt;&gt;"",OFFSET(B15,1,0),"")8:0:8:0:0:0:8:6:BP18308:6:BP18308:12:=LEFT(F15,3)8:3:#048:11:#04 EC Oven8:11:#04 EC Oven8:25:Cooling modules *2modules8:25:Cooling modules *2modules8:0:0:0:8:100:=IF(J15&lt;&gt;"",J15 - ('Shipping Program'!$D$9 + 'Shipping Program'!$F$9 + 'Shipping Program'!$H$9), "")5:5:464648:5:465115:5:465118:35:=IF(SUM(M15:N15)=0,"",SUM(M15:N15))8:0:8:0:0:0:8:0:0:0:8:0:0:0:8:48:=VLOOKUP(I15,'Shipping Program'!$A$32:$B$78,2)-15:1:28:4:=O155:1:28:6:=R15-75:5:464478:153:=IFERROR(XLOOKUP(P15,'Shipping Program'!$B$32:$B$78,'Shipping Program'!$A$32:$A$78),IFERROR(INDEX(_V7Batches!$B:$B,MATCH(P15&amp;"",_V7Batches!$A:$A,0)),""))5:5:464548:153:=IFERROR(XLOOKUP(P15,'Shipping Program'!$B$32:$B$78,'Shipping Program'!$E$32:$E$78),IFERROR(INDEX(_V7Batches!$D:$D,MATCH(P15&amp;"",_V7Batches!$A:$A,0)),""))5:5:464848:28:=S15+'Shipping Program'!$H$95:5:464918:38:=IFERROR(IF(J15*T15&lt;&gt;0,J15-T15,""),"")5:2:208:63:=IF(U15&lt;&gt;"",IF(U15&gt;28,"Too early",IF(U15&lt;14,"Too late","")),"")8:0:8:0:0:0:8:43:=IF(OFFSET(X15,1,0)="",R15,OFFSET(X15,1,0))5:5:464548:67:=IF(OFFSET(Y15,1,0)="",X15+'Shipping Program'!$F$9,OFFSET(Y15,1,0))5:5:464848:67:=IF(OFFSET(Z15,1,0)="",Y15+'Shipping Program'!$H$9,OFFSET(Z15,1,0))5:5:464918:38:=IFERROR(IF(J15*Z15&lt;&gt;0,J15-Z15,""),"")5:2:208:66:=IF(AA15&lt;&gt;"",IF(AA15&gt;28,"Too early",IF(AA15&lt;14,"Too late","")),"")8:0:8:0:0:0:8:0:0:0:8:4:Durr8:4:Durr8:3:FOB8:3:FOB8:3:F+N8:3:F+N8:45:=IF(AI15="","",AI15*AJ15*AK15/1000/1000/1000)8:0:8:0:0:0:8:0:0:0:8:0:0:0:</t>
  </si>
  <si>
    <t>8:44:=COUNTIF(J$3:OFFSET(J16,-1,0),"Subtotal:")+15:1:28:43:=IF(OFFSET(B16,1,0)&lt;&gt;"",OFFSET(B16,1,0),"")8:0:8:0:0:0:8:6:BP19508:6:BP19508:12:=LEFT(F16,3)8:3:#098:13:#09 Steelwork8:13:#09 Steelwork8:18:Primer oven CP2.118:18:Primer oven CP2.118:3:CP28:3:CP28:100:=IF(J16&lt;&gt;"",J16 - ('Shipping Program'!$D$9 + 'Shipping Program'!$F$9 + 'Shipping Program'!$H$9), "")5:5:464668:5:465135:5:465138:35:=IF(SUM(M16:N16)=0,"",SUM(M16:N16))8:0:8:0:0:0:8:0:0:0:8:0:0:0:8:48:=VLOOKUP(I16,'Shipping Program'!$A$32:$B$78,2)-15:1:28:4:=O165:1:28:6:=R16-75:5:464478:153:=IFERROR(XLOOKUP(P16,'Shipping Program'!$B$32:$B$78,'Shipping Program'!$A$32:$A$78),IFERROR(INDEX(_V7Batches!$B:$B,MATCH(P16&amp;"",_V7Batches!$A:$A,0)),""))5:5:464548:153:=IFERROR(XLOOKUP(P16,'Shipping Program'!$B$32:$B$78,'Shipping Program'!$E$32:$E$78),IFERROR(INDEX(_V7Batches!$D:$D,MATCH(P16&amp;"",_V7Batches!$A:$A,0)),""))5:5:464848:28:=S16+'Shipping Program'!$H$95:5:464918:38:=IFERROR(IF(J16*T16&lt;&gt;0,J16-T16,""),"")5:2:228:63:=IF(U16&lt;&gt;"",IF(U16&gt;28,"Too early",IF(U16&lt;14,"Too late","")),"")8:0:8:0:0:0:8:43:=IF(OFFSET(X16,1,0)="",R16,OFFSET(X16,1,0))5:5:464548:67:=IF(OFFSET(Y16,1,0)="",X16+'Shipping Program'!$F$9,OFFSET(Y16,1,0))5:5:464848:67:=IF(OFFSET(Z16,1,0)="",Y16+'Shipping Program'!$H$9,OFFSET(Z16,1,0))5:5:464918:38:=IFERROR(IF(J16*Z16&lt;&gt;0,J16-Z16,""),"")5:2:228:66:=IF(AA16&lt;&gt;"",IF(AA16&gt;28,"Too early",IF(AA16&lt;14,"Too late","")),"")8:0:8:0:0:0:8:0:0:0:8:3:AES8:3:AES8:0:0:0:8:0:0:0:8:45:=IF(AI16="","",AI16*AJ16*AK16/1000/1000/1000)8:0:8:0:0:0:8:0:0:0:8:0:0:0:</t>
  </si>
  <si>
    <t>8:44:=COUNTIF(J$3:OFFSET(J17,-1,0),"Subtotal:")+15:1:28:43:=IF(OFFSET(B17,1,0)&lt;&gt;"",OFFSET(B17,1,0),"")8:0:8:0:0:0:8:6:BP19308:6:BP19308:12:=LEFT(F17,3)8:3:#028:12:#02 EC Plant8:12:#02 EC Plant8:18:Process Tank PS0228:18:Process Tank PS0228:0:0:0:8:100:=IF(J17&lt;&gt;"",J17 - ('Shipping Program'!$D$9 + 'Shipping Program'!$F$9 + 'Shipping Program'!$H$9), "")5:5:464648:5:465115:5:465118:35:=IF(SUM(M17:N17)=0,"",SUM(M17:N17))8:0:8:0:0:0:8:0:0:0:8:0:0:0:8:48:=VLOOKUP(I17,'Shipping Program'!$A$32:$B$78,2)-15:1:28:4:=O175:1:28:6:=R17-75:5:464478:153:=IFERROR(XLOOKUP(P17,'Shipping Program'!$B$32:$B$78,'Shipping Program'!$A$32:$A$78),IFERROR(INDEX(_V7Batches!$B:$B,MATCH(P17&amp;"",_V7Batches!$A:$A,0)),""))5:5:464548:153:=IFERROR(XLOOKUP(P17,'Shipping Program'!$B$32:$B$78,'Shipping Program'!$E$32:$E$78),IFERROR(INDEX(_V7Batches!$D:$D,MATCH(P17&amp;"",_V7Batches!$A:$A,0)),""))5:5:464848:28:=S17+'Shipping Program'!$H$95:5:464918:38:=IFERROR(IF(J17*T17&lt;&gt;0,J17-T17,""),"")5:2:208:63:=IF(U17&lt;&gt;"",IF(U17&gt;28,"Too early",IF(U17&lt;14,"Too late","")),"")8:0:8:0:0:0:8:43:=IF(OFFSET(X17,1,0)="",R17,OFFSET(X17,1,0))5:5:464548:67:=IF(OFFSET(Y17,1,0)="",X17+'Shipping Program'!$F$9,OFFSET(Y17,1,0))5:5:464848:67:=IF(OFFSET(Z17,1,0)="",Y17+'Shipping Program'!$H$9,OFFSET(Z17,1,0))5:5:464918:38:=IFERROR(IF(J17*Z17&lt;&gt;0,J17-Z17,""),"")5:2:208:66:=IF(AA17&lt;&gt;"",IF(AA17&gt;28,"Too early",IF(AA17&lt;14,"Too late","")),"")8:0:8:0:0:0:8:0:0:0:8:4:Durr8:4:Durr8:3:FOB8:3:FOB8:1:F8:1:F8:45:=IF(AI17="","",AI17*AJ17*AK17/1000/1000/1000)8:0:8:0:0:0:8:0:0:0:8:0:0:0:</t>
  </si>
  <si>
    <t>8:44:=COUNTIF(J$3:OFFSET(J18,-1,0),"Subtotal:")+15:1:28:43:=IF(OFFSET(B18,1,0)&lt;&gt;"",OFFSET(B18,1,0),"")8:0:8:0:0:0:8:11:BP2110&amp;21208:11:BP2110&amp;21208:12:=LEFT(F18,3)8:3:#068:35:#06 AP2,3,5 MatelRepair,ECSand,Seal8:35:#06 AP2,3,5 MatelRepair,ECSand,Seal8:10:Floor pans8:10:Floor pans8:0:0:0:8:100:=IF(J18&lt;&gt;"",J18 - ('Shipping Program'!$D$9 + 'Shipping Program'!$F$9 + 'Shipping Program'!$H$9), "")5:5:464668:5:465135:5:465138:35:=IF(SUM(M18:N18)=0,"",SUM(M18:N18))8:0:8:0:0:0:8:0:0:0:8:0:0:0:8:48:=VLOOKUP(I18,'Shipping Program'!$A$32:$B$78,2)-15:1:28:4:=O185:1:28:6:=R18-75:5:464478:153:=IFERROR(XLOOKUP(P18,'Shipping Program'!$B$32:$B$78,'Shipping Program'!$A$32:$A$78),IFERROR(INDEX(_V7Batches!$B:$B,MATCH(P18&amp;"",_V7Batches!$A:$A,0)),""))5:5:464548:153:=IFERROR(XLOOKUP(P18,'Shipping Program'!$B$32:$B$78,'Shipping Program'!$E$32:$E$78),IFERROR(INDEX(_V7Batches!$D:$D,MATCH(P18&amp;"",_V7Batches!$A:$A,0)),""))5:5:464848:28:=S18+'Shipping Program'!$H$95:5:464918:38:=IFERROR(IF(J18*T18&lt;&gt;0,J18-T18,""),"")5:2:228:63:=IF(U18&lt;&gt;"",IF(U18&gt;28,"Too early",IF(U18&lt;14,"Too late","")),"")8:0:8:0:0:0:8:43:=IF(OFFSET(X18,1,0)="",R18,OFFSET(X18,1,0))5:5:464548:67:=IF(OFFSET(Y18,1,0)="",X18+'Shipping Program'!$F$9,OFFSET(Y18,1,0))5:5:464848:67:=IF(OFFSET(Z18,1,0)="",Y18+'Shipping Program'!$H$9,OFFSET(Z18,1,0))5:5:464918:38:=IFERROR(IF(J18*Z18&lt;&gt;0,J18-Z18,""),"")5:2:228:66:=IF(AA18&lt;&gt;"",IF(AA18&gt;28,"Too early",IF(AA18&lt;14,"Too late","")),"")8:0:8:0:0:0:8:0:0:0:8:4:Durr8:4:Durr8:3:FOB8:3:FOB8:2:NR8:2:NR8:45:=IF(AI18="","",AI18*AJ18*AK18/1000/1000/1000)8:0:8:0:0:0:8:0:0:0:8:0:0:0:</t>
  </si>
  <si>
    <t>8:44:=COUNTIF(J$3:OFFSET(J19,-1,0),"Subtotal:")+15:1:28:0:0:0:8:0:0:0:8:0:0:0:8:0:0:0:8:0:0:0:8:0:0:0:8:0:0:0:8:0:0:0:8:9:Subtotal:8:9:Subtotal:8:53:=SUMIF(A$3:OFFSET(A19,-1,0),A19,K$3:OFFSET(K19,-1,0))5:1:08:53:=SUMIF(A$3:OFFSET(A19,-1,0),A19,L$3:OFFSET(L19,-1,0))5:1:08:0:0:0:8:0:0:0:8:0:0:0:8:0:0:0:8:6:=R19-75:5:464478:40:=IF(J19="Subtotal:",OFFSET(R19,-1,0),"")5:5:464548:40:=IF(J19="Subtotal:",OFFSET(S19,-1,0),"")5:5:464848:40:=IF(J19="Subtotal:",OFFSET(T19,-1,0),"")5:5:464918:38:=IFERROR(IF(J19*T19&lt;&gt;0,J19-T19,""),"")8:0:8:63:=IF(U19&lt;&gt;"",IF(U19&gt;28,"Too early",IF(U19&lt;14,"Too late","")),"")8:0:8:143:=(SUMIFS($K:$K,$J:$J,"&lt;&gt;Subtotal:",$J:$J,"&gt;"&amp;S19,$S:$S,"&lt;="&amp;S19))*24*1.3+(SUMIFS($L:$L,$J:$J,"&lt;&gt;Subtotal:",$J:$J,"&gt;"&amp;S19,$S:$S,"&lt;="&amp;S19))/3*1.35:1:08:0:0:0:8:0:0:0:8:0:0:0:8:38:=IFERROR(IF(J19*Z19&lt;&gt;0,J19-Z19,""),"")8:0:8:66:=IF(AA19&lt;&gt;"",IF(AA19&gt;28,"Too early",IF(AA19&lt;14,"Too late","")),"")8:0:8:143:=(SUMIFS($K:$K,$J:$J,"&lt;&gt;Subtotal:",$J:$J,"&gt;"&amp;Y19,$Y:$Y,"&lt;="&amp;Y19))*24*1.3+(SUMIFS($L:$L,$J:$J,"&lt;&gt;Subtotal:",$J:$J,"&gt;"&amp;Y19,$Y:$Y,"&lt;="&amp;Y19))/3*1.35:1:08:0:0:0:8:0:0:0:8:0:0:0:8:0:0:0:8:0:0:0:8:0:0:0:8:0:0:0:8:0:0:0:</t>
  </si>
  <si>
    <t>8:44:=COUNTIF(J$3:OFFSET(J20,-1,0),"Subtotal:")+15:1:38:43:=IF(OFFSET(B20,1,0)&lt;&gt;"",OFFSET(B20,1,0),"")8:0:8:0:0:0:8:6:BP19508:6:BP19508:12:=LEFT(F20,3)8:3:#098:13:#09 Steelwork8:13:#09 Steelwork8:11:PTEC CP6.118:11:PTEC CP6.118:3:CP68:3:CP68:100:=IF(J20&lt;&gt;"",J20 - ('Shipping Program'!$D$9 + 'Shipping Program'!$F$9 + 'Shipping Program'!$H$9), "")5:5:464618:5:465085:5:465088:35:=IF(SUM(M20:N20)=0,"",SUM(M20:N20))8:0:8:0:0:0:8:0:0:0:8:0:0:0:8:46:=VLOOKUP(I20,'Shipping Program'!$A$32:$B$78,2)5:1:38:4:=O205:1:38:6:=R20-75:5:464548:153:=IFERROR(XLOOKUP(P20,'Shipping Program'!$B$32:$B$78,'Shipping Program'!$A$32:$A$78),IFERROR(INDEX(_V7Batches!$B:$B,MATCH(P20&amp;"",_V7Batches!$A:$A,0)),""))5:5:464618:153:=IFERROR(XLOOKUP(P20,'Shipping Program'!$B$32:$B$78,'Shipping Program'!$E$32:$E$78),IFERROR(INDEX(_V7Batches!$D:$D,MATCH(P20&amp;"",_V7Batches!$A:$A,0)),""))5:5:464918:28:=S20+'Shipping Program'!$H$95:5:464988:38:=IFERROR(IF(J20*T20&lt;&gt;0,J20-T20,""),"")5:2:108:63:=IF(U20&lt;&gt;"",IF(U20&gt;28,"Too early",IF(U20&lt;14,"Too late","")),"")8:8:Too late8:0:0:0:8:43:=IF(OFFSET(X20,1,0)="",R20,OFFSET(X20,1,0))5:5:464618:67:=IF(OFFSET(Y20,1,0)="",X20+'Shipping Program'!$F$9,OFFSET(Y20,1,0))5:5:464918:67:=IF(OFFSET(Z20,1,0)="",Y20+'Shipping Program'!$H$9,OFFSET(Z20,1,0))5:5:464988:38:=IFERROR(IF(J20*Z20&lt;&gt;0,J20-Z20,""),"")5:2:108:66:=IF(AA20&lt;&gt;"",IF(AA20&gt;28,"Too early",IF(AA20&lt;14,"Too late","")),"")8:8:Too late8:0:0:0:8:0:0:0:8:4:Durr8:4:Durr8:3:FOB8:3:FOB8:2:NR8:2:NR8:45:=IF(AI20="","",AI20*AJ20*AK20/1000/1000/1000)8:0:8:0:0:0:8:0:0:0:8:0:0:0:</t>
  </si>
  <si>
    <t>8:44:=COUNTIF(J$3:OFFSET(J21,-1,0),"Subtotal:")+15:1:38:43:=IF(OFFSET(B21,1,0)&lt;&gt;"",OFFSET(B21,1,0),"")8:0:8:0:0:0:8:6:BP19308:6:BP19308:12:=LEFT(F21,3)8:3:#028:12:#02 PT Plant8:12:#02 PT Plant8:18:Process Tank PE0118:18:Process Tank PE0118:0:0:0:8:100:=IF(J21&lt;&gt;"",J21 - ('Shipping Program'!$D$9 + 'Shipping Program'!$F$9 + 'Shipping Program'!$H$9), "")5:5:464728:5:465195:5:465198:35:=IF(SUM(M21:N21)=0,"",SUM(M21:N21))8:0:8:0:0:0:8:0:0:0:8:0:0:0:8:48:=VLOOKUP(I21,'Shipping Program'!$A$32:$B$78,2)-15:1:38:4:=O215:1:38:6:=R21-75:5:464548:153:=IFERROR(XLOOKUP(P21,'Shipping Program'!$B$32:$B$78,'Shipping Program'!$A$32:$A$78),IFERROR(INDEX(_V7Batches!$B:$B,MATCH(P21&amp;"",_V7Batches!$A:$A,0)),""))5:5:464618:153:=IFERROR(XLOOKUP(P21,'Shipping Program'!$B$32:$B$78,'Shipping Program'!$E$32:$E$78),IFERROR(INDEX(_V7Batches!$D:$D,MATCH(P21&amp;"",_V7Batches!$A:$A,0)),""))5:5:464918:28:=S21+'Shipping Program'!$H$95:5:464988:38:=IFERROR(IF(J21*T21&lt;&gt;0,J21-T21,""),"")5:2:218:63:=IF(U21&lt;&gt;"",IF(U21&gt;28,"Too early",IF(U21&lt;14,"Too late","")),"")8:0:8:0:0:0:8:43:=IF(OFFSET(X21,1,0)="",R21,OFFSET(X21,1,0))5:5:464618:67:=IF(OFFSET(Y21,1,0)="",X21+'Shipping Program'!$F$9,OFFSET(Y21,1,0))5:5:464918:67:=IF(OFFSET(Z21,1,0)="",Y21+'Shipping Program'!$H$9,OFFSET(Z21,1,0))5:5:464988:38:=IFERROR(IF(J21*Z21&lt;&gt;0,J21-Z21,""),"")5:2:218:66:=IF(AA21&lt;&gt;"",IF(AA21&gt;28,"Too early",IF(AA21&lt;14,"Too late","")),"")8:0:8:0:0:0:8:0:0:0:8:4:Durr8:4:Durr8:3:FOB8:3:FOB8:1:F8:1:F8:45:=IF(AI21="","",AI21*AJ21*AK21/1000/1000/1000)8:0:8:0:0:0:8:0:0:0:8:0:0:0:</t>
  </si>
  <si>
    <t>8:44:=COUNTIF(J$3:OFFSET(J22,-1,0),"Subtotal:")+15:1:38:43:=IF(OFFSET(B22,1,0)&lt;&gt;"",OFFSET(B22,1,0),"")8:0:8:0:0:0:8:6:BP19308:6:BP19308:12:=LEFT(F22,3)8:3:#028:12:#02 PT Plant8:12:#02 PT Plant8:18:Process Tank PE0128:18:Process Tank PE0128:0:0:0:8:100:=IF(J22&lt;&gt;"",J22 - ('Shipping Program'!$D$9 + 'Shipping Program'!$F$9 + 'Shipping Program'!$H$9), "")5:5:464718:5:465185:5:465188:35:=IF(SUM(M22:N22)=0,"",SUM(M22:N22))8:0:8:0:0:0:8:0:0:0:8:0:0:0:8:48:=VLOOKUP(I22,'Shipping Program'!$A$32:$B$78,2)-15:1:38:4:=O225:1:38:6:=R22-75:5:464548:153:=IFERROR(XLOOKUP(P22,'Shipping Program'!$B$32:$B$78,'Shipping Program'!$A$32:$A$78),IFERROR(INDEX(_V7Batches!$B:$B,MATCH(P22&amp;"",_V7Batches!$A:$A,0)),""))5:5:464618:153:=IFERROR(XLOOKUP(P22,'Shipping Program'!$B$32:$B$78,'Shipping Program'!$E$32:$E$78),IFERROR(INDEX(_V7Batches!$D:$D,MATCH(P22&amp;"",_V7Batches!$A:$A,0)),""))5:5:464918:28:=S22+'Shipping Program'!$H$95:5:464988:38:=IFERROR(IF(J22*T22&lt;&gt;0,J22-T22,""),"")5:2:208:63:=IF(U22&lt;&gt;"",IF(U22&gt;28,"Too early",IF(U22&lt;14,"Too late","")),"")8:0:8:0:0:0:8:43:=IF(OFFSET(X22,1,0)="",R22,OFFSET(X22,1,0))5:5:464618:67:=IF(OFFSET(Y22,1,0)="",X22+'Shipping Program'!$F$9,OFFSET(Y22,1,0))5:5:464918:67:=IF(OFFSET(Z22,1,0)="",Y22+'Shipping Program'!$H$9,OFFSET(Z22,1,0))5:5:464988:38:=IFERROR(IF(J22*Z22&lt;&gt;0,J22-Z22,""),"")5:2:208:66:=IF(AA22&lt;&gt;"",IF(AA22&gt;28,"Too early",IF(AA22&lt;14,"Too late","")),"")8:0:8:0:0:0:8:0:0:0:8:4:Durr8:4:Durr8:3:FOB8:3:FOB8:1:F8:1:F8:45:=IF(AI22="","",AI22*AJ22*AK22/1000/1000/1000)8:0:8:0:0:0:8:0:0:0:8:0:0:0:</t>
  </si>
  <si>
    <t>8:44:=COUNTIF(J$3:OFFSET(J23,-1,0),"Subtotal:")+15:1:38:43:=IF(OFFSET(B23,1,0)&lt;&gt;"",OFFSET(B23,1,0),"")8:0:8:0:0:0:8:6:BP19308:6:BP19308:12:=LEFT(F23,3)8:3:#028:12:#02 PT Plant8:12:#02 PT Plant8:18:Process Tank PS0218:18:Process Tank PS0218:0:0:0:8:100:=IF(J23&lt;&gt;"",J23 - ('Shipping Program'!$D$9 + 'Shipping Program'!$F$9 + 'Shipping Program'!$H$9), "")5:5:464688:5:465155:5:465158:35:=IF(SUM(M23:N23)=0,"",SUM(M23:N23))8:0:8:0:0:0:8:0:0:0:8:0:0:0:8:48:=VLOOKUP(I23,'Shipping Program'!$A$32:$B$78,2)-15:1:38:1:35:1:38:6:=R23-75:5:464548:153:=IFERROR(XLOOKUP(P23,'Shipping Program'!$B$32:$B$78,'Shipping Program'!$A$32:$A$78),IFERROR(INDEX(_V7Batches!$B:$B,MATCH(P23&amp;"",_V7Batches!$A:$A,0)),""))5:5:464618:153:=IFERROR(XLOOKUP(P23,'Shipping Program'!$B$32:$B$78,'Shipping Program'!$E$32:$E$78),IFERROR(INDEX(_V7Batches!$D:$D,MATCH(P23&amp;"",_V7Batches!$A:$A,0)),""))5:5:464918:28:=S23+'Shipping Program'!$H$95:5:464988:38:=IFERROR(IF(J23*T23&lt;&gt;0,J23-T23,""),"")5:2:178:63:=IF(U23&lt;&gt;"",IF(U23&gt;28,"Too early",IF(U23&lt;14,"Too late","")),"")8:0:8:0:0:0:8:43:=IF(OFFSET(X23,1,0)="",R23,OFFSET(X23,1,0))5:5:464618:67:=IF(OFFSET(Y23,1,0)="",X23+'Shipping Program'!$F$9,OFFSET(Y23,1,0))5:5:464918:67:=IF(OFFSET(Z23,1,0)="",Y23+'Shipping Program'!$H$9,OFFSET(Z23,1,0))5:5:464988:38:=IFERROR(IF(J23*Z23&lt;&gt;0,J23-Z23,""),"")5:2:178:66:=IF(AA23&lt;&gt;"",IF(AA23&gt;28,"Too early",IF(AA23&lt;14,"Too late","")),"")8:0:8:0:0:0:8:0:0:0:8:4:Durr8:4:Durr8:3:FOB8:3:FOB8:1:F8:1:F8:45:=IF(AI23="","",AI23*AJ23*AK23/1000/1000/1000)8:0:8:0:0:0:8:0:0:0:8:0:0:0:</t>
  </si>
  <si>
    <t>8:44:=COUNTIF(J$3:OFFSET(J24,-1,0),"Subtotal:")+15:1:38:43:=IF(OFFSET(B24,1,0)&lt;&gt;"",OFFSET(B24,1,0),"")8:0:8:0:0:0:8:6:BP18308:6:BP18308:12:=LEFT(F24,3)8:3:#048:11:#04 EC Oven8:11:#04 EC Oven8:26:Oven module air seal entry8:26:Oven module air seal entry8:0:0:0:8:100:=IF(J24&lt;&gt;"",J24 - ('Shipping Program'!$D$9 + 'Shipping Program'!$F$9 + 'Shipping Program'!$H$9), "")5:5:464748:5:465215:5:465218:35:=IF(SUM(M24:N24)=0,"",SUM(M24:N24))8:0:8:0:0:0:8:0:0:0:8:0:0:0:8:48:=VLOOKUP(I24,'Shipping Program'!$A$32:$B$78,2)-15:1:38:4:=O245:1:38:6:=R24-75:5:464548:153:=IFERROR(XLOOKUP(P24,'Shipping Program'!$B$32:$B$78,'Shipping Program'!$A$32:$A$78),IFERROR(INDEX(_V7Batches!$B:$B,MATCH(P24&amp;"",_V7Batches!$A:$A,0)),""))5:5:464618:153:=IFERROR(XLOOKUP(P24,'Shipping Program'!$B$32:$B$78,'Shipping Program'!$E$32:$E$78),IFERROR(INDEX(_V7Batches!$D:$D,MATCH(P24&amp;"",_V7Batches!$A:$A,0)),""))5:5:464918:28:=S24+'Shipping Program'!$H$95:5:464988:38:=IFERROR(IF(J24*T24&lt;&gt;0,J24-T24,""),"")5:2:238:63:=IF(U24&lt;&gt;"",IF(U24&gt;28,"Too early",IF(U24&lt;14,"Too late","")),"")8:0:8:0:0:0:8:43:=IF(OFFSET(X24,1,0)="",R24,OFFSET(X24,1,0))5:5:464618:67:=IF(OFFSET(Y24,1,0)="",X24+'Shipping Program'!$F$9,OFFSET(Y24,1,0))5:5:464918:67:=IF(OFFSET(Z24,1,0)="",Y24+'Shipping Program'!$H$9,OFFSET(Z24,1,0))5:5:464988:38:=IFERROR(IF(J24*Z24&lt;&gt;0,J24-Z24,""),"")5:2:238:66:=IF(AA24&lt;&gt;"",IF(AA24&gt;28,"Too early",IF(AA24&lt;14,"Too late","")),"")8:0:8:0:0:0:8:0:0:0:8:4:Durr8:4:Durr8:3:FOB8:3:FOB8:3:F+N8:3:F+N8:45:=IF(AI24="","",AI24*AJ24*AK24/1000/1000/1000)8:0:8:0:0:0:8:0:0:0:8:0:0:0:</t>
  </si>
  <si>
    <t>8:44:=COUNTIF(J$3:OFFSET(J25,-1,0),"Subtotal:")+15:1:38:43:=IF(OFFSET(B25,1,0)&lt;&gt;"",OFFSET(B25,1,0),"")8:0:8:0:0:0:8:6:BP18308:6:BP18308:12:=LEFT(F25,3)8:3:#048:11:#04 EC Oven8:11:#04 EC Oven8:35:Oven modules heat-up zone *6modules8:35:Oven modules heat-up zone *6modules8:0:0:0:8:100:=IF(J25&lt;&gt;"",J25 - ('Shipping Program'!$D$9 + 'Shipping Program'!$F$9 + 'Shipping Program'!$H$9), "")5:5:464718:5:465185:5:465188:35:=IF(SUM(M25:N25)=0,"",SUM(M25:N25))8:0:8:0:0:0:8:0:0:0:8:0:0:0:8:48:=VLOOKUP(I25,'Shipping Program'!$A$32:$B$78,2)-15:1:38:4:=O255:1:38:6:=R25-75:5:464548:153:=IFERROR(XLOOKUP(P25,'Shipping Program'!$B$32:$B$78,'Shipping Program'!$A$32:$A$78),IFERROR(INDEX(_V7Batches!$B:$B,MATCH(P25&amp;"",_V7Batches!$A:$A,0)),""))5:5:464618:153:=IFERROR(XLOOKUP(P25,'Shipping Program'!$B$32:$B$78,'Shipping Program'!$E$32:$E$78),IFERROR(INDEX(_V7Batches!$D:$D,MATCH(P25&amp;"",_V7Batches!$A:$A,0)),""))5:5:464918:28:=S25+'Shipping Program'!$H$95:5:464988:38:=IFERROR(IF(J25*T25&lt;&gt;0,J25-T25,""),"")5:2:208:63:=IF(U25&lt;&gt;"",IF(U25&gt;28,"Too early",IF(U25&lt;14,"Too late","")),"")8:0:8:0:0:0:8:43:=IF(OFFSET(X25,1,0)="",R25,OFFSET(X25,1,0))5:5:464618:67:=IF(OFFSET(Y25,1,0)="",X25+'Shipping Program'!$F$9,OFFSET(Y25,1,0))5:5:464918:67:=IF(OFFSET(Z25,1,0)="",Y25+'Shipping Program'!$H$9,OFFSET(Z25,1,0))5:5:464988:38:=IFERROR(IF(J25*Z25&lt;&gt;0,J25-Z25,""),"")5:2:208:66:=IF(AA25&lt;&gt;"",IF(AA25&gt;28,"Too early",IF(AA25&lt;14,"Too late","")),"")8:0:8:0:0:0:8:0:0:0:8:4:Durr8:4:Durr8:3:FOB8:3:FOB8:3:F+N8:3:F+N8:45:=IF(AI25="","",AI25*AJ25*AK25/1000/1000/1000)8:0:8:0:0:0:8:0:0:0:8:0:0:0:</t>
  </si>
  <si>
    <t>8:44:=COUNTIF(J$3:OFFSET(J26,-1,0),"Subtotal:")+15:1:38:43:=IF(OFFSET(B26,1,0)&lt;&gt;"",OFFSET(B26,1,0),"")8:0:8:0:0:0:8:6:BP19108:6:BP19108:12:=LEFT(F26,3)8:3:#018:16:#01 Primer Booth8:16:#01 Primer Booth8:3:ITM8:3:ITM8:0:0:0:8:100:=IF(J26&lt;&gt;"",J26 - ('Shipping Program'!$D$9 + 'Shipping Program'!$F$9 + 'Shipping Program'!$H$9), "")5:5:464688:5:465155:5:465158:35:=IF(SUM(M26:N26)=0,"",SUM(M26:N26))8:0:8:0:0:0:8:0:0:0:8:0:0:0:8:48:=VLOOKUP(I26,'Shipping Program'!$A$32:$B$78,2)-15:1:38:4:=O265:1:38:6:=R26-75:5:464548:153:=IFERROR(XLOOKUP(P26,'Shipping Program'!$B$32:$B$78,'Shipping Program'!$A$32:$A$78),IFERROR(INDEX(_V7Batches!$B:$B,MATCH(P26&amp;"",_V7Batches!$A:$A,0)),""))5:5:464618:153:=IFERROR(XLOOKUP(P26,'Shipping Program'!$B$32:$B$78,'Shipping Program'!$E$32:$E$78),IFERROR(INDEX(_V7Batches!$D:$D,MATCH(P26&amp;"",_V7Batches!$A:$A,0)),""))5:5:464918:28:=S26+'Shipping Program'!$H$95:5:464988:38:=IFERROR(IF(J26*T26&lt;&gt;0,J26-T26,""),"")5:2:178:63:=IF(U26&lt;&gt;"",IF(U26&gt;28,"Too early",IF(U26&lt;14,"Too late","")),"")8:0:8:0:0:0:8:43:=IF(OFFSET(X26,1,0)="",R26,OFFSET(X26,1,0))5:5:464618:67:=IF(OFFSET(Y26,1,0)="",X26+'Shipping Program'!$F$9,OFFSET(Y26,1,0))5:5:464918:67:=IF(OFFSET(Z26,1,0)="",Y26+'Shipping Program'!$H$9,OFFSET(Z26,1,0))5:5:464988:38:=IFERROR(IF(J26*Z26&lt;&gt;0,J26-Z26,""),"")5:2:178:66:=IF(AA26&lt;&gt;"",IF(AA26&gt;28,"Too early",IF(AA26&lt;14,"Too late","")),"")8:0:8:0:0:0:8:0:0:0:8:4:Durr8:4:Durr8:3:FOB8:3:FOB8:2:NR8:2:NR8:45:=IF(AI26="","",AI26*AJ26*AK26/1000/1000/1000)8:0:8:0:0:0:8:0:0:0:8:0:0:0:</t>
  </si>
  <si>
    <t>8:44:=COUNTIF(J$3:OFFSET(J27,-1,0),"Subtotal:")+15:1:38:43:=IF(OFFSET(B27,1,0)&lt;&gt;"",OFFSET(B27,1,0),"")8:0:8:0:0:0:8:6:BP19758:6:BP19758:12:=LEFT(F27,3)8:3:#018:16:#01 Primer Booth8:16:#01 Primer Booth8:10:Floor pans8:10:Floor pans8:0:0:0:8:100:=IF(J27&lt;&gt;"",J27 - ('Shipping Program'!$D$9 + 'Shipping Program'!$F$9 + 'Shipping Program'!$H$9), "")5:5:464738:5:465205:5:465208:35:=IF(SUM(M27:N27)=0,"",SUM(M27:N27))8:0:8:0:0:0:8:0:0:0:8:0:0:0:8:48:=VLOOKUP(I27,'Shipping Program'!$A$32:$B$78,2)-15:1:38:1:35:1:38:6:=R27-75:5:464548:153:=IFERROR(XLOOKUP(P27,'Shipping Program'!$B$32:$B$78,'Shipping Program'!$A$32:$A$78),IFERROR(INDEX(_V7Batches!$B:$B,MATCH(P27&amp;"",_V7Batches!$A:$A,0)),""))5:5:464618:153:=IFERROR(XLOOKUP(P27,'Shipping Program'!$B$32:$B$78,'Shipping Program'!$E$32:$E$78),IFERROR(INDEX(_V7Batches!$D:$D,MATCH(P27&amp;"",_V7Batches!$A:$A,0)),""))5:5:464918:28:=S27+'Shipping Program'!$H$95:5:464988:38:=IFERROR(IF(J27*T27&lt;&gt;0,J27-T27,""),"")5:2:228:63:=IF(U27&lt;&gt;"",IF(U27&gt;28,"Too early",IF(U27&lt;14,"Too late","")),"")8:0:8:0:0:0:8:43:=IF(OFFSET(X27,1,0)="",R27,OFFSET(X27,1,0))5:5:464618:67:=IF(OFFSET(Y27,1,0)="",X27+'Shipping Program'!$F$9,OFFSET(Y27,1,0))5:5:464918:67:=IF(OFFSET(Z27,1,0)="",Y27+'Shipping Program'!$H$9,OFFSET(Z27,1,0))5:5:464988:38:=IFERROR(IF(J27*Z27&lt;&gt;0,J27-Z27,""),"")5:2:228:66:=IF(AA27&lt;&gt;"",IF(AA27&gt;28,"Too early",IF(AA27&lt;14,"Too late","")),"")8:0:8:0:0:0:8:0:0:0:8:4:Durr8:4:Durr8:3:FOB8:3:FOB8:2:NR8:2:NR8:45:=IF(AI27="","",AI27*AJ27*AK27/1000/1000/1000)8:0:8:0:0:0:8:0:0:0:8:0:0:0:</t>
  </si>
  <si>
    <t>8:44:=COUNTIF(J$3:OFFSET(J28,-1,0),"Subtotal:")+15:1:38:43:=IF(OFFSET(B28,1,0)&lt;&gt;"",OFFSET(B28,1,0),"")8:0:8:0:0:0:8:6:BP19608:6:BP19608:12:=LEFT(F28,3)8:3:#018:16:#01 Primer Dry-X8:16:#01 Primer Dry-X8:12:Dry X System8:12:Dry X System8:0:0:0:8:100:=IF(J28&lt;&gt;"",J28 - ('Shipping Program'!$D$9 + 'Shipping Program'!$F$9 + 'Shipping Program'!$H$9), "")5:5:464748:5:465215:5:465218:35:=IF(SUM(M28:N28)=0,"",SUM(M28:N28))8:0:8:0:0:0:8:0:0:0:8:0:0:0:8:48:=VLOOKUP(I28,'Shipping Program'!$A$32:$B$78,2)-15:1:38:4:=O285:1:38:6:=R28-75:5:464548:153:=IFERROR(XLOOKUP(P28,'Shipping Program'!$B$32:$B$78,'Shipping Program'!$A$32:$A$78),IFERROR(INDEX(_V7Batches!$B:$B,MATCH(P28&amp;"",_V7Batches!$A:$A,0)),""))5:5:464618:153:=IFERROR(XLOOKUP(P28,'Shipping Program'!$B$32:$B$78,'Shipping Program'!$E$32:$E$78),IFERROR(INDEX(_V7Batches!$D:$D,MATCH(P28&amp;"",_V7Batches!$A:$A,0)),""))5:5:464918:28:=S28+'Shipping Program'!$H$95:5:464988:38:=IFERROR(IF(J28*T28&lt;&gt;0,J28-T28,""),"")5:2:238:63:=IF(U28&lt;&gt;"",IF(U28&gt;28,"Too early",IF(U28&lt;14,"Too late","")),"")8:0:8:0:0:0:8:43:=IF(OFFSET(X28,1,0)="",R28,OFFSET(X28,1,0))5:5:464618:67:=IF(OFFSET(Y28,1,0)="",X28+'Shipping Program'!$F$9,OFFSET(Y28,1,0))5:5:464918:67:=IF(OFFSET(Z28,1,0)="",Y28+'Shipping Program'!$H$9,OFFSET(Z28,1,0))5:5:464988:38:=IFERROR(IF(J28*Z28&lt;&gt;0,J28-Z28,""),"")5:2:238:66:=IF(AA28&lt;&gt;"",IF(AA28&gt;28,"Too early",IF(AA28&lt;14,"Too late","")),"")8:0:8:0:0:0:8:0:0:0:8:4:Durr8:4:Durr8:3:FOB8:3:FOB8:3:F+N8:3:F+N8:45:=IF(AI28="","",AI28*AJ28*AK28/1000/1000/1000)8:0:8:0:0:0:8:0:0:0:8:0:0:0:</t>
  </si>
  <si>
    <t>8:44:=COUNTIF(J$3:OFFSET(J29,-1,0),"Subtotal:")+15:1:38:43:=IF(OFFSET(B29,1,0)&lt;&gt;"",OFFSET(B29,1,0),"")8:0:8:0:0:0:8:6:BP19508:6:BP19508:12:=LEFT(F29,3)8:3:#098:13:#09 Steelwork8:13:#09 Steelwork8:10:CV  CP5.218:10:CV  CP5.218:0:0:0:8:100:=IF(J29&lt;&gt;"",J29 - ('Shipping Program'!$D$9 + 'Shipping Program'!$F$9 + 'Shipping Program'!$H$9), "")5:5:464738:5:465205:5:465208:35:=IF(SUM(M29:N29)=0,"",SUM(M29:N29))8:0:8:0:0:0:8:0:0:0:8:0:0:0:8:48:=VLOOKUP(I29,'Shipping Program'!$A$32:$B$78,2)-15:1:38:4:=O295:1:38:6:=R29-75:5:464548:153:=IFERROR(XLOOKUP(P29,'Shipping Program'!$B$32:$B$78,'Shipping Program'!$A$32:$A$78),IFERROR(INDEX(_V7Batches!$B:$B,MATCH(P29&amp;"",_V7Batches!$A:$A,0)),""))5:5:464618:153:=IFERROR(XLOOKUP(P29,'Shipping Program'!$B$32:$B$78,'Shipping Program'!$E$32:$E$78),IFERROR(INDEX(_V7Batches!$D:$D,MATCH(P29&amp;"",_V7Batches!$A:$A,0)),""))5:5:464918:28:=S29+'Shipping Program'!$H$95:5:464988:38:=IFERROR(IF(J29*T29&lt;&gt;0,J29-T29,""),"")5:2:228:63:=IF(U29&lt;&gt;"",IF(U29&gt;28,"Too early",IF(U29&lt;14,"Too late","")),"")8:0:8:0:0:0:8:43:=IF(OFFSET(X29,1,0)="",R29,OFFSET(X29,1,0))5:5:464618:67:=IF(OFFSET(Y29,1,0)="",X29+'Shipping Program'!$F$9,OFFSET(Y29,1,0))5:5:464918:67:=IF(OFFSET(Z29,1,0)="",Y29+'Shipping Program'!$H$9,OFFSET(Z29,1,0))5:5:464988:38:=IFERROR(IF(J29*Z29&lt;&gt;0,J29-Z29,""),"")5:2:228:66:=IF(AA29&lt;&gt;"",IF(AA29&gt;28,"Too early",IF(AA29&lt;14,"Too late","")),"")8:0:8:0:0:0:8:0:0:0:8:3:AES8:3:AES8:0:0:0:8:0:0:0:8:45:=IF(AI29="","",AI29*AJ29*AK29/1000/1000/1000)8:0:8:0:0:0:8:0:0:0:8:0:0:0:</t>
  </si>
  <si>
    <t>8:44:=COUNTIF(J$3:OFFSET(J30,-1,0),"Subtotal:")+15:1:38:43:=IF(OFFSET(B30,1,0)&lt;&gt;"",OFFSET(B30,1,0),"")8:0:8:0:0:0:8:6:BP19508:6:BP19508:12:=LEFT(F30,3)8:3:#098:13:#09 Steelwork8:13:#09 Steelwork8:13:ASU TC CP4.318:13:ASU TC CP4.318:0:0:0:8:100:=IF(J30&lt;&gt;"",J30 - ('Shipping Program'!$D$9 + 'Shipping Program'!$F$9 + 'Shipping Program'!$H$9), "")5:5:464708:5:465175:5:465178:35:=IF(SUM(M30:N30)=0,"",SUM(M30:N30))8:0:8:0:0:0:8:0:0:0:8:0:0:0:8:48:=VLOOKUP(I30,'Shipping Program'!$A$32:$B$78,2)-15:1:38:4:=O305:1:38:6:=R30-75:5:464548:153:=IFERROR(XLOOKUP(P30,'Shipping Program'!$B$32:$B$78,'Shipping Program'!$A$32:$A$78),IFERROR(INDEX(_V7Batches!$B:$B,MATCH(P30&amp;"",_V7Batches!$A:$A,0)),""))5:5:464618:153:=IFERROR(XLOOKUP(P30,'Shipping Program'!$B$32:$B$78,'Shipping Program'!$E$32:$E$78),IFERROR(INDEX(_V7Batches!$D:$D,MATCH(P30&amp;"",_V7Batches!$A:$A,0)),""))5:5:464918:28:=S30+'Shipping Program'!$H$95:5:464988:38:=IFERROR(IF(J30*T30&lt;&gt;0,J30-T30,""),"")5:2:198:63:=IF(U30&lt;&gt;"",IF(U30&gt;28,"Too early",IF(U30&lt;14,"Too late","")),"")8:0:8:0:0:0:8:43:=IF(OFFSET(X30,1,0)="",R30,OFFSET(X30,1,0))5:5:464618:67:=IF(OFFSET(Y30,1,0)="",X30+'Shipping Program'!$F$9,OFFSET(Y30,1,0))5:5:464918:67:=IF(OFFSET(Z30,1,0)="",Y30+'Shipping Program'!$H$9,OFFSET(Z30,1,0))5:5:464988:38:=IFERROR(IF(J30*Z30&lt;&gt;0,J30-Z30,""),"")5:2:198:66:=IF(AA30&lt;&gt;"",IF(AA30&gt;28,"Too early",IF(AA30&lt;14,"Too late","")),"")8:0:8:0:0:0:8:0:0:0:8:3:AES8:3:AES8:0:0:0:8:0:0:0:8:45:=IF(AI30="","",AI30*AJ30*AK30/1000/1000/1000)8:0:8:0:0:0:8:0:0:0:8:0:0:0:</t>
  </si>
  <si>
    <t>8:44:=COUNTIF(J$3:OFFSET(J31,-1,0),"Subtotal:")+15:1:38:43:=IF(OFFSET(B31,1,0)&lt;&gt;"",OFFSET(B31,1,0),"")8:0:8:0:0:0:8:11:BP2110&amp;21208:11:BP2110&amp;21208:12:=LEFT(F31,3)8:3:#068:35:#06 AP2,3,5 MatelRepair,ECSand,Seal8:35:#06 AP2,3,5 MatelRepair,ECSand,Seal8:13:Booth housing8:13:Booth housing8:0:0:0:8:100:=IF(J31&lt;&gt;"",J31 - ('Shipping Program'!$D$9 + 'Shipping Program'!$F$9 + 'Shipping Program'!$H$9), "")5:5:464738:5:465205:5:465208:35:=IF(SUM(M31:N31)=0,"",SUM(M31:N31))8:0:8:0:0:0:8:0:0:0:8:0:0:0:8:48:=VLOOKUP(I31,'Shipping Program'!$A$32:$B$78,2)-15:1:38:4:=O315:1:38:6:=R31-75:5:464548:153:=IFERROR(XLOOKUP(P31,'Shipping Program'!$B$32:$B$78,'Shipping Program'!$A$32:$A$78),IFERROR(INDEX(_V7Batches!$B:$B,MATCH(P31&amp;"",_V7Batches!$A:$A,0)),""))5:5:464618:153:=IFERROR(XLOOKUP(P31,'Shipping Program'!$B$32:$B$78,'Shipping Program'!$E$32:$E$78),IFERROR(INDEX(_V7Batches!$D:$D,MATCH(P31&amp;"",_V7Batches!$A:$A,0)),""))5:5:464918:28:=S31+'Shipping Program'!$H$95:5:464988:38:=IFERROR(IF(J31*T31&lt;&gt;0,J31-T31,""),"")5:2:228:63:=IF(U31&lt;&gt;"",IF(U31&gt;28,"Too early",IF(U31&lt;14,"Too late","")),"")8:0:8:0:0:0:8:43:=IF(OFFSET(X31,1,0)="",R31,OFFSET(X31,1,0))5:5:464618:67:=IF(OFFSET(Y31,1,0)="",X31+'Shipping Program'!$F$9,OFFSET(Y31,1,0))5:5:464918:67:=IF(OFFSET(Z31,1,0)="",Y31+'Shipping Program'!$H$9,OFFSET(Z31,1,0))5:5:464988:38:=IFERROR(IF(J31*Z31&lt;&gt;0,J31-Z31,""),"")5:2:228:66:=IF(AA31&lt;&gt;"",IF(AA31&gt;28,"Too early",IF(AA31&lt;14,"Too late","")),"")8:0:8:0:0:0:8:0:0:0:8:4:Durr8:4:Durr8:3:FOB8:3:FOB8:2:NR8:2:NR8:45:=IF(AI31="","",AI31*AJ31*AK31/1000/1000/1000)8:0:8:0:0:0:8:0:0:0:8:0:0:0:</t>
  </si>
  <si>
    <t>8:44:=COUNTIF(J$3:OFFSET(J32,-1,0),"Subtotal:")+15:1:38:43:=IF(OFFSET(B32,1,0)&lt;&gt;"",OFFSET(B32,1,0),"")8:0:8:0:0:0:8:6:BP79308:6:BP79308:12:=LEFT(F32,3)8:3:#108:41:#10 CV01 DipSkid,Lock,Preclean,ECSand,UBS8:41:#10 CV01 DipSkid,Lock,Preclean,ECSand,UBS8:27:EcoFriction roller track *98:27:EcoFriction roller track *98:0:0:0:8:100:=IF(J32&lt;&gt;"",J32 - ('Shipping Program'!$D$9 + 'Shipping Program'!$F$9 + 'Shipping Program'!$H$9), "")5:5:464738:5:465205:5:465208:35:=IF(SUM(M32:N32)=0,"",SUM(M32:N32))8:0:8:0:0:0:8:0:0:0:8:0:0:0:8:48:=VLOOKUP(I32,'Shipping Program'!$A$32:$B$78,2)-15:1:38:4:=O325:1:38:6:=R32-75:5:464548:153:=IFERROR(XLOOKUP(P32,'Shipping Program'!$B$32:$B$78,'Shipping Program'!$A$32:$A$78),IFERROR(INDEX(_V7Batches!$B:$B,MATCH(P32&amp;"",_V7Batches!$A:$A,0)),""))5:5:464618:153:=IFERROR(XLOOKUP(P32,'Shipping Program'!$B$32:$B$78,'Shipping Program'!$E$32:$E$78),IFERROR(INDEX(_V7Batches!$D:$D,MATCH(P32&amp;"",_V7Batches!$A:$A,0)),""))5:5:464918:28:=S32+'Shipping Program'!$H$95:5:464988:38:=IFERROR(IF(J32*T32&lt;&gt;0,J32-T32,""),"")5:2:228:63:=IF(U32&lt;&gt;"",IF(U32&gt;28,"Too early",IF(U32&lt;14,"Too late","")),"")8:0:8:0:0:0:8:43:=IF(OFFSET(X32,1,0)="",R32,OFFSET(X32,1,0))5:5:464618:67:=IF(OFFSET(Y32,1,0)="",X32+'Shipping Program'!$F$9,OFFSET(Y32,1,0))5:5:464918:67:=IF(OFFSET(Z32,1,0)="",Y32+'Shipping Program'!$H$9,OFFSET(Z32,1,0))5:5:464988:38:=IFERROR(IF(J32*Z32&lt;&gt;0,J32-Z32,""),"")5:2:228:66:=IF(AA32&lt;&gt;"",IF(AA32&gt;28,"Too early",IF(AA32&lt;14,"Too late","")),"")8:0:8:0:0:0:8:0:0:0:8:4:Durr8:4:Durr8:3:FOB8:3:FOB8:2:NR8:2:NR8:45:=IF(AI32="","",AI32*AJ32*AK32/1000/1000/1000)8:0:8:0:0:0:8:0:0:0:8:0:0:0:</t>
  </si>
  <si>
    <t>8:44:=COUNTIF(J$3:OFFSET(J33,-1,0),"Subtotal:")+15:1:38:0:0:0:8:0:0:0:8:0:0:0:8:0:0:0:8:0:0:0:8:0:0:0:8:0:0:0:8:0:0:0:8:9:Subtotal:8:9:Subtotal:8:53:=SUMIF(A$3:OFFSET(A33,-1,0),A33,K$3:OFFSET(K33,-1,0))5:1:08:53:=SUMIF(A$3:OFFSET(A33,-1,0),A33,L$3:OFFSET(L33,-1,0))5:1:08:0:0:0:8:0:0:0:8:0:0:0:8:0:0:0:8:6:=R33-75:5:464548:40:=IF(J33="Subtotal:",OFFSET(R33,-1,0),"")5:5:464618:40:=IF(J33="Subtotal:",OFFSET(S33,-1,0),"")5:5:464918:40:=IF(J33="Subtotal:",OFFSET(T33,-1,0),"")5:5:464988:38:=IFERROR(IF(J33*T33&lt;&gt;0,J33-T33,""),"")8:0:8:63:=IF(U33&lt;&gt;"",IF(U33&gt;28,"Too early",IF(U33&lt;14,"Too late","")),"")8:0:8:143:=(SUMIFS($K:$K,$J:$J,"&lt;&gt;Subtotal:",$J:$J,"&gt;"&amp;S33,$S:$S,"&lt;="&amp;S33))*24*1.3+(SUMIFS($L:$L,$J:$J,"&lt;&gt;Subtotal:",$J:$J,"&gt;"&amp;S33,$S:$S,"&lt;="&amp;S33))/3*1.35:1:08:0:0:0:8:0:0:0:8:0:0:0:8:38:=IFERROR(IF(J33*Z33&lt;&gt;0,J33-Z33,""),"")8:0:8:66:=IF(AA33&lt;&gt;"",IF(AA33&gt;28,"Too early",IF(AA33&lt;14,"Too late","")),"")8:0:8:143:=(SUMIFS($K:$K,$J:$J,"&lt;&gt;Subtotal:",$J:$J,"&gt;"&amp;Y33,$Y:$Y,"&lt;="&amp;Y33))*24*1.3+(SUMIFS($L:$L,$J:$J,"&lt;&gt;Subtotal:",$J:$J,"&gt;"&amp;Y33,$Y:$Y,"&lt;="&amp;Y33))/3*1.35:1:08:0:0:0:8:0:0:0:8:0:0:0:8:0:0:0:8:0:0:0:8:0:0:0:8:0:0:0:8:0:0:0:</t>
  </si>
  <si>
    <t>8:44:=COUNTIF(J$3:OFFSET(J34,-1,0),"Subtotal:")+15:1:48:43:=IF(OFFSET(B34,1,0)&lt;&gt;"",OFFSET(B34,1,0),"")8:0:8:0:0:0:8:6:BP19208:6:BP19208:12:=LEFT(F34,3)8:3:#028:12:#02 PT Plant8:12:#02 PT Plant8:15:Auxiliary tanks8:15:Auxiliary tanks8:0:0:0:8:100:=IF(J34&lt;&gt;"",J34 - ('Shipping Program'!$D$9 + 'Shipping Program'!$F$9 + 'Shipping Program'!$H$9), "")5:5:464808:5:465275:5:465278:35:=IF(SUM(M34:N34)=0,"",SUM(M34:N34))8:0:8:0:0:0:8:0:0:0:8:0:0:0:8:48:=VLOOKUP(I34,'Shipping Program'!$A$32:$B$78,2)-15:1:48:4:=O345:1:48:6:=R34-75:5:464618:153:=IFERROR(XLOOKUP(P34,'Shipping Program'!$B$32:$B$78,'Shipping Program'!$A$32:$A$78),IFERROR(INDEX(_V7Batches!$B:$B,MATCH(P34&amp;"",_V7Batches!$A:$A,0)),""))5:5:464688:153:=IFERROR(XLOOKUP(P34,'Shipping Program'!$B$32:$B$78,'Shipping Program'!$E$32:$E$78),IFERROR(INDEX(_V7Batches!$D:$D,MATCH(P34&amp;"",_V7Batches!$A:$A,0)),""))5:5:464988:28:=S34+'Shipping Program'!$H$95:5:465058:38:=IFERROR(IF(J34*T34&lt;&gt;0,J34-T34,""),"")5:2:228:63:=IF(U34&lt;&gt;"",IF(U34&gt;28,"Too early",IF(U34&lt;14,"Too late","")),"")8:0:8:0:0:0:8:43:=IF(OFFSET(X34,1,0)="",R34,OFFSET(X34,1,0))5:5:464688:67:=IF(OFFSET(Y34,1,0)="",X34+'Shipping Program'!$F$9,OFFSET(Y34,1,0))5:5:464988:67:=IF(OFFSET(Z34,1,0)="",Y34+'Shipping Program'!$H$9,OFFSET(Z34,1,0))5:5:465058:38:=IFERROR(IF(J34*Z34&lt;&gt;0,J34-Z34,""),"")5:2:228:66:=IF(AA34&lt;&gt;"",IF(AA34&gt;28,"Too early",IF(AA34&lt;14,"Too late","")),"")8:0:8:0:0:0:8:0:0:0:8:4:Durr8:4:Durr8:3:FOB8:3:FOB8:2:NR8:2:NR8:45:=IF(AI34="","",AI34*AJ34*AK34/1000/1000/1000)8:0:8:0:0:0:8:0:0:0:8:0:0:0:</t>
  </si>
  <si>
    <t>8:44:=COUNTIF(J$3:OFFSET(J35,-1,0),"Subtotal:")+15:1:48:43:=IF(OFFSET(B35,1,0)&lt;&gt;"",OFFSET(B35,1,0),"")8:0:8:0:0:0:8:6:BP20408:6:BP20408:12:=LEFT(F35,3)8:3:#028:12:#02 EC Plant8:12:#02 EC Plant8:18:EC dip tank tunnel8:18:EC dip tank tunnel8:0:0:0:8:100:=IF(J35&lt;&gt;"",J35 - ('Shipping Program'!$D$9 + 'Shipping Program'!$F$9 + 'Shipping Program'!$H$9), "")5:5:464818:5:465285:5:465288:35:=IF(SUM(M35:N35)=0,"",SUM(M35:N35))8:0:8:0:0:0:8:0:0:0:8:0:0:0:8:48:=VLOOKUP(I35,'Shipping Program'!$A$32:$B$78,2)-15:1:48:4:=O355:1:48:6:=R35-75:5:464618:153:=IFERROR(XLOOKUP(P35,'Shipping Program'!$B$32:$B$78,'Shipping Program'!$A$32:$A$78),IFERROR(INDEX(_V7Batches!$B:$B,MATCH(P35&amp;"",_V7Batches!$A:$A,0)),""))5:5:464688:153:=IFERROR(XLOOKUP(P35,'Shipping Program'!$B$32:$B$78,'Shipping Program'!$E$32:$E$78),IFERROR(INDEX(_V7Batches!$D:$D,MATCH(P35&amp;"",_V7Batches!$A:$A,0)),""))5:5:464988:28:=S35+'Shipping Program'!$H$95:5:465058:38:=IFERROR(IF(J35*T35&lt;&gt;0,J35-T35,""),"")5:2:238:63:=IF(U35&lt;&gt;"",IF(U35&gt;28,"Too early",IF(U35&lt;14,"Too late","")),"")8:0:8:0:0:0:8:43:=IF(OFFSET(X35,1,0)="",R35,OFFSET(X35,1,0))5:5:464688:67:=IF(OFFSET(Y35,1,0)="",X35+'Shipping Program'!$F$9,OFFSET(Y35,1,0))5:5:464988:67:=IF(OFFSET(Z35,1,0)="",Y35+'Shipping Program'!$H$9,OFFSET(Z35,1,0))5:5:465058:38:=IFERROR(IF(J35*Z35&lt;&gt;0,J35-Z35,""),"")5:2:238:66:=IF(AA35&lt;&gt;"",IF(AA35&gt;28,"Too early",IF(AA35&lt;14,"Too late","")),"")8:0:8:0:0:0:8:0:0:0:8:4:Durr8:4:Durr8:3:FOB8:3:FOB8:2:NR8:2:NR8:45:=IF(AI35="","",AI35*AJ35*AK35/1000/1000/1000)8:0:8:0:0:0:8:0:0:0:8:0:0:0:</t>
  </si>
  <si>
    <t>8:44:=COUNTIF(J$3:OFFSET(J36,-1,0),"Subtotal:")+15:1:48:43:=IF(OFFSET(B36,1,0)&lt;&gt;"",OFFSET(B36,1,0),"")8:0:8:0:0:0:8:6:BP18308:6:BP18308:12:=LEFT(F36,3)8:3:#048:11:#04 EC Oven8:11:#04 EC Oven8:26:Heater Box heat-up zone *28:26:Heater Box heat-up zone *28:0:0:0:8:100:=IF(J36&lt;&gt;"",J36 - ('Shipping Program'!$D$9 + 'Shipping Program'!$F$9 + 'Shipping Program'!$H$9), "")5:5:464778:5:465245:5:465248:35:=IF(SUM(M36:N36)=0,"",SUM(M36:N36))8:0:8:0:0:0:8:0:0:0:8:0:0:0:8:48:=VLOOKUP(I36,'Shipping Program'!$A$32:$B$78,2)-15:1:48:4:=O365:1:48:6:=R36-75:5:464618:153:=IFERROR(XLOOKUP(P36,'Shipping Program'!$B$32:$B$78,'Shipping Program'!$A$32:$A$78),IFERROR(INDEX(_V7Batches!$B:$B,MATCH(P36&amp;"",_V7Batches!$A:$A,0)),""))5:5:464688:153:=IFERROR(XLOOKUP(P36,'Shipping Program'!$B$32:$B$78,'Shipping Program'!$E$32:$E$78),IFERROR(INDEX(_V7Batches!$D:$D,MATCH(P36&amp;"",_V7Batches!$A:$A,0)),""))5:5:464988:28:=S36+'Shipping Program'!$H$95:5:465058:38:=IFERROR(IF(J36*T36&lt;&gt;0,J36-T36,""),"")5:2:198:63:=IF(U36&lt;&gt;"",IF(U36&gt;28,"Too early",IF(U36&lt;14,"Too late","")),"")8:0:8:0:0:0:8:43:=IF(OFFSET(X36,1,0)="",R36,OFFSET(X36,1,0))5:5:464688:67:=IF(OFFSET(Y36,1,0)="",X36+'Shipping Program'!$F$9,OFFSET(Y36,1,0))5:5:464988:67:=IF(OFFSET(Z36,1,0)="",Y36+'Shipping Program'!$H$9,OFFSET(Z36,1,0))5:5:465058:38:=IFERROR(IF(J36*Z36&lt;&gt;0,J36-Z36,""),"")5:2:198:66:=IF(AA36&lt;&gt;"",IF(AA36&gt;28,"Too early",IF(AA36&lt;14,"Too late","")),"")8:0:8:0:0:0:8:0:0:0:8:4:Durr8:4:Durr8:3:FOB8:3:FOB8:3:F+N8:3:F+N8:45:=IF(AI36="","",AI36*AJ36*AK36/1000/1000/1000)8:0:8:0:0:0:8:0:0:0:8:0:0:0:</t>
  </si>
  <si>
    <t>8:44:=COUNTIF(J$3:OFFSET(J37,-1,0),"Subtotal:")+15:1:48:43:=IF(OFFSET(B37,1,0)&lt;&gt;"",OFFSET(B37,1,0),"")8:0:8:0:0:0:8:6:BP18308:6:BP18308:12:=LEFT(F37,3)8:3:#048:11:#04 EC Oven8:11:#04 EC Oven8:20:Heater Box hold zone8:20:Heater Box hold zone8:0:0:0:8:100:=IF(J37&lt;&gt;"",J37 - ('Shipping Program'!$D$9 + 'Shipping Program'!$F$9 + 'Shipping Program'!$H$9), "")5:5:464798:5:465265:5:465268:35:=IF(SUM(M37:N37)=0,"",SUM(M37:N37))8:0:8:0:0:0:8:0:0:0:8:0:0:0:8:48:=VLOOKUP(I37,'Shipping Program'!$A$32:$B$78,2)-15:1:48:4:=O375:1:48:6:=R37-75:5:464618:153:=IFERROR(XLOOKUP(P37,'Shipping Program'!$B$32:$B$78,'Shipping Program'!$A$32:$A$78),IFERROR(INDEX(_V7Batches!$B:$B,MATCH(P37&amp;"",_V7Batches!$A:$A,0)),""))5:5:464688:153:=IFERROR(XLOOKUP(P37,'Shipping Program'!$B$32:$B$78,'Shipping Program'!$E$32:$E$78),IFERROR(INDEX(_V7Batches!$D:$D,MATCH(P37&amp;"",_V7Batches!$A:$A,0)),""))5:5:464988:28:=S37+'Shipping Program'!$H$95:5:465058:38:=IFERROR(IF(J37*T37&lt;&gt;0,J37-T37,""),"")5:2:218:63:=IF(U37&lt;&gt;"",IF(U37&gt;28,"Too early",IF(U37&lt;14,"Too late","")),"")8:0:8:0:0:0:8:43:=IF(OFFSET(X37,1,0)="",R37,OFFSET(X37,1,0))5:5:464688:67:=IF(OFFSET(Y37,1,0)="",X37+'Shipping Program'!$F$9,OFFSET(Y37,1,0))5:5:464988:67:=IF(OFFSET(Z37,1,0)="",Y37+'Shipping Program'!$H$9,OFFSET(Z37,1,0))5:5:465058:38:=IFERROR(IF(J37*Z37&lt;&gt;0,J37-Z37,""),"")5:2:218:66:=IF(AA37&lt;&gt;"",IF(AA37&gt;28,"Too early",IF(AA37&lt;14,"Too late","")),"")8:0:8:0:0:0:8:0:0:0:8:4:Durr8:4:Durr8:3:FOB8:3:FOB8:3:F+N8:3:F+N8:45:=IF(AI37="","",AI37*AJ37*AK37/1000/1000/1000)8:0:8:0:0:0:8:0:0:0:8:0:0:0:</t>
  </si>
  <si>
    <t>8:44:=COUNTIF(J$3:OFFSET(J38,-1,0),"Subtotal:")+15:1:48:43:=IF(OFFSET(B38,1,0)&lt;&gt;"",OFFSET(B38,1,0),"")8:0:8:0:0:0:8:6:BP18308:6:BP18308:12:=LEFT(F38,3)8:3:#048:11:#04 EC Oven8:11:#04 EC Oven8:7:Coolbox8:7:Coolbox8:0:0:0:8:100:=IF(J38&lt;&gt;"",J38 - ('Shipping Program'!$D$9 + 'Shipping Program'!$F$9 + 'Shipping Program'!$H$9), "")5:5:464758:5:465225:5:465228:35:=IF(SUM(M38:N38)=0,"",SUM(M38:N38))8:0:8:0:0:0:8:0:0:0:8:0:0:0:8:48:=VLOOKUP(I38,'Shipping Program'!$A$32:$B$78,2)-15:1:48:4:=O385:1:48:6:=R38-75:5:464618:153:=IFERROR(XLOOKUP(P38,'Shipping Program'!$B$32:$B$78,'Shipping Program'!$A$32:$A$78),IFERROR(INDEX(_V7Batches!$B:$B,MATCH(P38&amp;"",_V7Batches!$A:$A,0)),""))5:5:464688:153:=IFERROR(XLOOKUP(P38,'Shipping Program'!$B$32:$B$78,'Shipping Program'!$E$32:$E$78),IFERROR(INDEX(_V7Batches!$D:$D,MATCH(P38&amp;"",_V7Batches!$A:$A,0)),""))5:5:464988:28:=S38+'Shipping Program'!$H$95:5:465058:38:=IFERROR(IF(J38*T38&lt;&gt;0,J38-T38,""),"")5:2:178:63:=IF(U38&lt;&gt;"",IF(U38&gt;28,"Too early",IF(U38&lt;14,"Too late","")),"")8:0:8:0:0:0:8:43:=IF(OFFSET(X38,1,0)="",R38,OFFSET(X38,1,0))5:5:464688:67:=IF(OFFSET(Y38,1,0)="",X38+'Shipping Program'!$F$9,OFFSET(Y38,1,0))5:5:464988:67:=IF(OFFSET(Z38,1,0)="",Y38+'Shipping Program'!$H$9,OFFSET(Z38,1,0))5:5:465058:38:=IFERROR(IF(J38*Z38&lt;&gt;0,J38-Z38,""),"")5:2:178:66:=IF(AA38&lt;&gt;"",IF(AA38&gt;28,"Too early",IF(AA38&lt;14,"Too late","")),"")8:0:8:0:0:0:8:0:0:0:8:4:Durr8:4:Durr8:3:FOB8:3:FOB8:3:F+N8:3:F+N8:45:=IF(AI38="","",AI38*AJ38*AK38/1000/1000/1000)8:0:8:0:0:0:8:0:0:0:8:0:0:0:</t>
  </si>
  <si>
    <t>8:44:=COUNTIF(J$3:OFFSET(J39,-1,0),"Subtotal:")+15:1:48:43:=IF(OFFSET(B39,1,0)&lt;&gt;"",OFFSET(B39,1,0),"")8:0:8:0:0:0:8:6:BP20208:6:BP20208:12:=LEFT(F39,3)8:3:#018:16:#01 Primer Booth8:16:#01 Primer Booth8:12:Booth walls 8:12:Booth walls 8:27:Walls+Filter ceiling+Plenum8:27:Walls+Filter ceiling+Plenum8:100:=IF(J39&lt;&gt;"",J39 - ('Shipping Program'!$D$9 + 'Shipping Program'!$F$9 + 'Shipping Program'!$H$9), "")5:5:464778:5:465245:5:465248:35:=IF(SUM(M39:N39)=0,"",SUM(M39:N39))8:0:8:0:0:0:8:0:0:0:8:0:0:0:8:48:=VLOOKUP(I39,'Shipping Program'!$A$32:$B$78,2)-15:1:48:4:=O395:1:48:6:=R39-75:5:464618:153:=IFERROR(XLOOKUP(P39,'Shipping Program'!$B$32:$B$78,'Shipping Program'!$A$32:$A$78),IFERROR(INDEX(_V7Batches!$B:$B,MATCH(P39&amp;"",_V7Batches!$A:$A,0)),""))5:5:464688:153:=IFERROR(XLOOKUP(P39,'Shipping Program'!$B$32:$B$78,'Shipping Program'!$E$32:$E$78),IFERROR(INDEX(_V7Batches!$D:$D,MATCH(P39&amp;"",_V7Batches!$A:$A,0)),""))5:5:464988:28:=S39+'Shipping Program'!$H$95:5:465058:38:=IFERROR(IF(J39*T39&lt;&gt;0,J39-T39,""),"")5:2:198:63:=IF(U39&lt;&gt;"",IF(U39&gt;28,"Too early",IF(U39&lt;14,"Too late","")),"")8:0:8:0:0:0:8:43:=IF(OFFSET(X39,1,0)="",R39,OFFSET(X39,1,0))5:5:464688:67:=IF(OFFSET(Y39,1,0)="",X39+'Shipping Program'!$F$9,OFFSET(Y39,1,0))5:5:464988:67:=IF(OFFSET(Z39,1,0)="",Y39+'Shipping Program'!$H$9,OFFSET(Z39,1,0))5:5:465058:38:=IFERROR(IF(J39*Z39&lt;&gt;0,J39-Z39,""),"")5:2:198:66:=IF(AA39&lt;&gt;"",IF(AA39&gt;28,"Too early",IF(AA39&lt;14,"Too late","")),"")8:0:8:0:0:0:8:0:0:0:8:4:Durr8:4:Durr8:3:FOB8:3:FOB8:2:NR8:2:NR8:45:=IF(AI39="","",AI39*AJ39*AK39/1000/1000/1000)8:0:8:0:0:0:8:0:0:0:8:0:0:0:</t>
  </si>
  <si>
    <t>8:44:=COUNTIF(J$3:OFFSET(J40,-1,0),"Subtotal:")+15:1:48:43:=IF(OFFSET(B40,1,0)&lt;&gt;"",OFFSET(B40,1,0),"")8:0:8:0:0:0:8:6:BP20208:6:BP20208:12:=LEFT(F40,3)8:3:#018:16:#01 Primer Booth8:16:#01 Primer Booth8:14:Filter ceiling8:14:Filter ceiling8:27:Walls+Filter ceiling+Plenum8:27:Walls+Filter ceiling+Plenum8:100:=IF(J40&lt;&gt;"",J40 - ('Shipping Program'!$D$9 + 'Shipping Program'!$F$9 + 'Shipping Program'!$H$9), "")5:5:464788:5:465255:5:465258:35:=IF(SUM(M40:N40)=0,"",SUM(M40:N40))8:0:8:0:0:0:8:0:0:0:8:0:0:0:8:48:=VLOOKUP(I40,'Shipping Program'!$A$32:$B$78,2)-15:1:48:4:=O405:1:48:6:=R40-75:5:464618:153:=IFERROR(XLOOKUP(P40,'Shipping Program'!$B$32:$B$78,'Shipping Program'!$A$32:$A$78),IFERROR(INDEX(_V7Batches!$B:$B,MATCH(P40&amp;"",_V7Batches!$A:$A,0)),""))5:5:464688:153:=IFERROR(XLOOKUP(P40,'Shipping Program'!$B$32:$B$78,'Shipping Program'!$E$32:$E$78),IFERROR(INDEX(_V7Batches!$D:$D,MATCH(P40&amp;"",_V7Batches!$A:$A,0)),""))5:5:464988:28:=S40+'Shipping Program'!$H$95:5:465058:38:=IFERROR(IF(J40*T40&lt;&gt;0,J40-T40,""),"")5:2:208:63:=IF(U40&lt;&gt;"",IF(U40&gt;28,"Too early",IF(U40&lt;14,"Too late","")),"")8:0:8:0:0:0:8:43:=IF(OFFSET(X40,1,0)="",R40,OFFSET(X40,1,0))5:5:464688:67:=IF(OFFSET(Y40,1,0)="",X40+'Shipping Program'!$F$9,OFFSET(Y40,1,0))5:5:464988:67:=IF(OFFSET(Z40,1,0)="",Y40+'Shipping Program'!$H$9,OFFSET(Z40,1,0))5:5:465058:38:=IFERROR(IF(J40*Z40&lt;&gt;0,J40-Z40,""),"")5:2:208:66:=IF(AA40&lt;&gt;"",IF(AA40&gt;28,"Too early",IF(AA40&lt;14,"Too late","")),"")8:0:8:0:0:0:8:0:0:0:8:4:Durr8:4:Durr8:3:FOB8:3:FOB8:2:NR8:2:NR8:45:=IF(AI40="","",AI40*AJ40*AK40/1000/1000/1000)8:0:8:0:0:0:8:0:0:0:8:0:0:0:</t>
  </si>
  <si>
    <t>8:44:=COUNTIF(J$3:OFFSET(J41,-1,0),"Subtotal:")+15:1:48:43:=IF(OFFSET(B41,1,0)&lt;&gt;"",OFFSET(B41,1,0),"")8:0:8:0:0:0:8:6:BP20208:6:BP20208:12:=LEFT(F41,3)8:3:#018:16:#01 Primer Booth8:16:#01 Primer Booth8:6:Plenum8:6:Plenum8:27:Walls+Filter ceiling+Plenum8:27:Walls+Filter ceiling+Plenum8:100:=IF(J41&lt;&gt;"",J41 - ('Shipping Program'!$D$9 + 'Shipping Program'!$F$9 + 'Shipping Program'!$H$9), "")5:5:464788:5:465255:5:465258:35:=IF(SUM(M41:N41)=0,"",SUM(M41:N41))8:0:8:0:0:0:8:0:0:0:8:0:0:0:8:48:=VLOOKUP(I41,'Shipping Program'!$A$32:$B$78,2)-15:1:48:4:=O415:1:48:6:=R41-75:5:464618:153:=IFERROR(XLOOKUP(P41,'Shipping Program'!$B$32:$B$78,'Shipping Program'!$A$32:$A$78),IFERROR(INDEX(_V7Batches!$B:$B,MATCH(P41&amp;"",_V7Batches!$A:$A,0)),""))5:5:464688:153:=IFERROR(XLOOKUP(P41,'Shipping Program'!$B$32:$B$78,'Shipping Program'!$E$32:$E$78),IFERROR(INDEX(_V7Batches!$D:$D,MATCH(P41&amp;"",_V7Batches!$A:$A,0)),""))5:5:464988:28:=S41+'Shipping Program'!$H$95:5:465058:38:=IFERROR(IF(J41*T41&lt;&gt;0,J41-T41,""),"")5:2:208:63:=IF(U41&lt;&gt;"",IF(U41&gt;28,"Too early",IF(U41&lt;14,"Too late","")),"")8:0:8:0:0:0:8:43:=IF(OFFSET(X41,1,0)="",R41,OFFSET(X41,1,0))5:5:464688:67:=IF(OFFSET(Y41,1,0)="",X41+'Shipping Program'!$F$9,OFFSET(Y41,1,0))5:5:464988:67:=IF(OFFSET(Z41,1,0)="",Y41+'Shipping Program'!$H$9,OFFSET(Z41,1,0))5:5:465058:38:=IFERROR(IF(J41*Z41&lt;&gt;0,J41-Z41,""),"")5:2:208:66:=IF(AA41&lt;&gt;"",IF(AA41&gt;28,"Too early",IF(AA41&lt;14,"Too late","")),"")8:0:8:0:0:0:8:0:0:0:8:4:Durr8:4:Durr8:3:FOB8:3:FOB8:2:NR8:2:NR8:45:=IF(AI41="","",AI41*AJ41*AK41/1000/1000/1000)8:0:8:0:0:0:8:0:0:0:8:0:0:0:</t>
  </si>
  <si>
    <t>8:44:=COUNTIF(J$3:OFFSET(J42,-1,0),"Subtotal:")+15:1:48:43:=IF(OFFSET(B42,1,0)&lt;&gt;"",OFFSET(B42,1,0),"")8:0:8:0:0:0:8:6:BP19508:6:BP19508:12:=LEFT(F42,3)8:3:#098:13:#09 Steelwork8:13:#09 Steelwork8:13:CV UBS CP5.128:13:CV UBS CP5.128:0:0:0:8:100:=IF(J42&lt;&gt;"",J42 - ('Shipping Program'!$D$9 + 'Shipping Program'!$F$9 + 'Shipping Program'!$H$9), "")5:5:464788:5:465255:5:465258:35:=IF(SUM(M42:N42)=0,"",SUM(M42:N42))8:0:8:0:0:0:8:0:0:0:8:0:0:0:8:48:=VLOOKUP(I42,'Shipping Program'!$A$32:$B$78,2)-15:1:48:4:=O425:1:48:6:=R42-75:5:464618:153:=IFERROR(XLOOKUP(P42,'Shipping Program'!$B$32:$B$78,'Shipping Program'!$A$32:$A$78),IFERROR(INDEX(_V7Batches!$B:$B,MATCH(P42&amp;"",_V7Batches!$A:$A,0)),""))5:5:464688:153:=IFERROR(XLOOKUP(P42,'Shipping Program'!$B$32:$B$78,'Shipping Program'!$E$32:$E$78),IFERROR(INDEX(_V7Batches!$D:$D,MATCH(P42&amp;"",_V7Batches!$A:$A,0)),""))5:5:464988:28:=S42+'Shipping Program'!$H$95:5:465058:38:=IFERROR(IF(J42*T42&lt;&gt;0,J42-T42,""),"")5:2:208:63:=IF(U42&lt;&gt;"",IF(U42&gt;28,"Too early",IF(U42&lt;14,"Too late","")),"")8:0:8:0:0:0:8:43:=IF(OFFSET(X42,1,0)="",R42,OFFSET(X42,1,0))5:5:464688:67:=IF(OFFSET(Y42,1,0)="",X42+'Shipping Program'!$F$9,OFFSET(Y42,1,0))5:5:464988:67:=IF(OFFSET(Z42,1,0)="",Y42+'Shipping Program'!$H$9,OFFSET(Z42,1,0))5:5:465058:38:=IFERROR(IF(J42*Z42&lt;&gt;0,J42-Z42,""),"")5:2:208:66:=IF(AA42&lt;&gt;"",IF(AA42&gt;28,"Too early",IF(AA42&lt;14,"Too late","")),"")8:0:8:0:0:0:8:0:0:0:8:3:AES8:3:AES8:0:0:0:8:0:0:0:8:45:=IF(AI42="","",AI42*AJ42*AK42/1000/1000/1000)8:0:8:0:0:0:8:0:0:0:8:0:0:0:</t>
  </si>
  <si>
    <t>8:44:=COUNTIF(J$3:OFFSET(J43,-1,0),"Subtotal:")+15:1:48:43:=IF(OFFSET(B43,1,0)&lt;&gt;"",OFFSET(B43,1,0),"")8:0:8:0:0:0:8:6:BP23108:6:BP23108:12:=LEFT(F43,3)8:3:#118:25:#11 Cold water generation8:25:#11 Cold water generation8:15:Chiller machine8:15:Chiller machine8:0:0:0:8:100:=IF(J43&lt;&gt;"",J43 - ('Shipping Program'!$D$9 + 'Shipping Program'!$F$9 + 'Shipping Program'!$H$9), "")5:5:464778:5:465245:5:465248:35:=IF(SUM(M43:N43)=0,"",SUM(M43:N43))8:0:8:0:0:0:8:0:0:0:8:0:0:0:8:48:=VLOOKUP(I43,'Shipping Program'!$A$32:$B$78,2)-15:1:48:4:=O435:1:48:6:=R43-75:5:464618:153:=IFERROR(XLOOKUP(P43,'Shipping Program'!$B$32:$B$78,'Shipping Program'!$A$32:$A$78),IFERROR(INDEX(_V7Batches!$B:$B,MATCH(P43&amp;"",_V7Batches!$A:$A,0)),""))5:5:464688:153:=IFERROR(XLOOKUP(P43,'Shipping Program'!$B$32:$B$78,'Shipping Program'!$E$32:$E$78),IFERROR(INDEX(_V7Batches!$D:$D,MATCH(P43&amp;"",_V7Batches!$A:$A,0)),""))5:5:464988:28:=S43+'Shipping Program'!$H$95:5:465058:38:=IFERROR(IF(J43*T43&lt;&gt;0,J43-T43,""),"")5:2:198:63:=IF(U43&lt;&gt;"",IF(U43&gt;28,"Too early",IF(U43&lt;14,"Too late","")),"")8:0:8:0:0:0:8:43:=IF(OFFSET(X43,1,0)="",R43,OFFSET(X43,1,0))5:5:464688:67:=IF(OFFSET(Y43,1,0)="",X43+'Shipping Program'!$F$9,OFFSET(Y43,1,0))5:5:464988:67:=IF(OFFSET(Z43,1,0)="",Y43+'Shipping Program'!$H$9,OFFSET(Z43,1,0))5:5:465058:38:=IFERROR(IF(J43*Z43&lt;&gt;0,J43-Z43,""),"")5:2:198:66:=IF(AA43&lt;&gt;"",IF(AA43&gt;28,"Too early",IF(AA43&lt;14,"Too late","")),"")8:0:8:0:0:0:8:0:0:0:8:3:AES8:3:AES8:0:0:0:8:0:0:0:8:45:=IF(AI43="","",AI43*AJ43*AK43/1000/1000/1000)8:0:8:0:0:0:8:0:0:0:8:0:0:0:</t>
  </si>
  <si>
    <t>8:44:=COUNTIF(J$3:OFFSET(J44,-1,0),"Subtotal:")+15:1:48:43:=IF(OFFSET(B44,1,0)&lt;&gt;"",OFFSET(B44,1,0),"")8:0:8:0:0:0:8:6:BP23108:6:BP23108:12:=LEFT(F44,3)8:3:#118:24:#11 Hot water generation8:24:#11 Hot water generation8:6:Boiler8:6:Boiler8:0:0:0:8:100:=IF(J44&lt;&gt;"",J44 - ('Shipping Program'!$D$9 + 'Shipping Program'!$F$9 + 'Shipping Program'!$H$9), "")5:5:464778:5:465245:5:465248:35:=IF(SUM(M44:N44)=0,"",SUM(M44:N44))8:0:8:0:0:0:8:0:0:0:8:0:0:0:8:48:=VLOOKUP(I44,'Shipping Program'!$A$32:$B$78,2)-15:1:48:4:=O445:1:48:6:=R44-75:5:464618:153:=IFERROR(XLOOKUP(P44,'Shipping Program'!$B$32:$B$78,'Shipping Program'!$A$32:$A$78),IFERROR(INDEX(_V7Batches!$B:$B,MATCH(P44&amp;"",_V7Batches!$A:$A,0)),""))5:5:464688:153:=IFERROR(XLOOKUP(P44,'Shipping Program'!$B$32:$B$78,'Shipping Program'!$E$32:$E$78),IFERROR(INDEX(_V7Batches!$D:$D,MATCH(P44&amp;"",_V7Batches!$A:$A,0)),""))5:5:464988:28:=S44+'Shipping Program'!$H$95:5:465058:38:=IFERROR(IF(J44*T44&lt;&gt;0,J44-T44,""),"")5:2:198:63:=IF(U44&lt;&gt;"",IF(U44&gt;28,"Too early",IF(U44&lt;14,"Too late","")),"")8:0:8:0:0:0:8:43:=IF(OFFSET(X44,1,0)="",R44,OFFSET(X44,1,0))5:5:464688:67:=IF(OFFSET(Y44,1,0)="",X44+'Shipping Program'!$F$9,OFFSET(Y44,1,0))5:5:464988:67:=IF(OFFSET(Z44,1,0)="",Y44+'Shipping Program'!$H$9,OFFSET(Z44,1,0))5:5:465058:38:=IFERROR(IF(J44*Z44&lt;&gt;0,J44-Z44,""),"")5:2:198:66:=IF(AA44&lt;&gt;"",IF(AA44&gt;28,"Too early",IF(AA44&lt;14,"Too late","")),"")8:0:8:0:0:0:8:0:0:0:8:3:AES8:3:AES8:0:0:0:8:0:0:0:8:45:=IF(AI44="","",AI44*AJ44*AK44/1000/1000/1000)8:0:8:0:0:0:8:0:0:0:8:0:0:0:</t>
  </si>
  <si>
    <t>8:44:=COUNTIF(J$3:OFFSET(J45,-1,0),"Subtotal:")+15:1:48:43:=IF(OFFSET(B45,1,0)&lt;&gt;"",OFFSET(B45,1,0),"")8:0:8:0:0:0:8:6:BP23108:6:BP23108:12:=LEFT(F45,3)8:3:#118:29:#11 Compressed air generation8:29:#11 Compressed air generation8:10:Compressor8:10:Compressor8:0:0:0:8:100:=IF(J45&lt;&gt;"",J45 - ('Shipping Program'!$D$9 + 'Shipping Program'!$F$9 + 'Shipping Program'!$H$9), "")5:5:464778:5:465245:5:465248:35:=IF(SUM(M45:N45)=0,"",SUM(M45:N45))8:0:8:0:0:0:8:0:0:0:8:0:0:0:8:48:=VLOOKUP(I45,'Shipping Program'!$A$32:$B$78,2)-15:1:48:4:=O455:1:48:6:=R45-75:5:464618:153:=IFERROR(XLOOKUP(P45,'Shipping Program'!$B$32:$B$78,'Shipping Program'!$A$32:$A$78),IFERROR(INDEX(_V7Batches!$B:$B,MATCH(P45&amp;"",_V7Batches!$A:$A,0)),""))5:5:464688:153:=IFERROR(XLOOKUP(P45,'Shipping Program'!$B$32:$B$78,'Shipping Program'!$E$32:$E$78),IFERROR(INDEX(_V7Batches!$D:$D,MATCH(P45&amp;"",_V7Batches!$A:$A,0)),""))5:5:464988:28:=S45+'Shipping Program'!$H$95:5:465058:38:=IFERROR(IF(J45*T45&lt;&gt;0,J45-T45,""),"")5:2:198:63:=IF(U45&lt;&gt;"",IF(U45&gt;28,"Too early",IF(U45&lt;14,"Too late","")),"")8:0:8:0:0:0:8:43:=IF(OFFSET(X45,1,0)="",R45,OFFSET(X45,1,0))5:5:464688:67:=IF(OFFSET(Y45,1,0)="",X45+'Shipping Program'!$F$9,OFFSET(Y45,1,0))5:5:464988:67:=IF(OFFSET(Z45,1,0)="",Y45+'Shipping Program'!$H$9,OFFSET(Z45,1,0))5:5:465058:38:=IFERROR(IF(J45*Z45&lt;&gt;0,J45-Z45,""),"")5:2:198:66:=IF(AA45&lt;&gt;"",IF(AA45&gt;28,"Too early",IF(AA45&lt;14,"Too late","")),"")8:0:8:0:0:0:8:0:0:0:8:3:AES8:3:AES8:0:0:0:8:0:0:0:8:45:=IF(AI45="","",AI45*AJ45*AK45/1000/1000/1000)8:0:8:0:0:0:8:0:0:0:8:0:0:0:</t>
  </si>
  <si>
    <t>8:44:=COUNTIF(J$3:OFFSET(J46,-1,0),"Subtotal:")+15:1:48:43:=IF(OFFSET(B46,1,0)&lt;&gt;"",OFFSET(B46,1,0),"")8:0:8:0:0:0:8:11:BP2110&amp;21208:11:BP2110&amp;21208:12:=LEFT(F46,3)8:3:#068:31:#06 AP006-009 UBS line+Transfer8:31:#06 AP006-009 UBS line+Transfer8:12:Floor module8:12:Floor module8:0:0:0:8:100:=IF(J46&lt;&gt;"",J46 - ('Shipping Program'!$D$9 + 'Shipping Program'!$F$9 + 'Shipping Program'!$H$9), "")5:5:464788:5:465255:5:465258:35:=IF(SUM(M46:N46)=0,"",SUM(M46:N46))8:0:8:0:0:0:8:0:0:0:8:0:0:0:8:48:=VLOOKUP(I46,'Shipping Program'!$A$32:$B$78,2)-15:1:48:4:=O465:1:48:6:=R46-75:5:464618:153:=IFERROR(XLOOKUP(P46,'Shipping Program'!$B$32:$B$78,'Shipping Program'!$A$32:$A$78),IFERROR(INDEX(_V7Batches!$B:$B,MATCH(P46&amp;"",_V7Batches!$A:$A,0)),""))5:5:464688:153:=IFERROR(XLOOKUP(P46,'Shipping Program'!$B$32:$B$78,'Shipping Program'!$E$32:$E$78),IFERROR(INDEX(_V7Batches!$D:$D,MATCH(P46&amp;"",_V7Batches!$A:$A,0)),""))5:5:464988:28:=S46+'Shipping Program'!$H$95:5:465058:38:=IFERROR(IF(J46*T46&lt;&gt;0,J46-T46,""),"")5:2:208:63:=IF(U46&lt;&gt;"",IF(U46&gt;28,"Too early",IF(U46&lt;14,"Too late","")),"")8:0:8:0:0:0:8:43:=IF(OFFSET(X46,1,0)="",R46,OFFSET(X46,1,0))5:5:464688:67:=IF(OFFSET(Y46,1,0)="",X46+'Shipping Program'!$F$9,OFFSET(Y46,1,0))5:5:464988:67:=IF(OFFSET(Z46,1,0)="",Y46+'Shipping Program'!$H$9,OFFSET(Z46,1,0))5:5:465058:38:=IFERROR(IF(J46*Z46&lt;&gt;0,J46-Z46,""),"")5:2:208:66:=IF(AA46&lt;&gt;"",IF(AA46&gt;28,"Too early",IF(AA46&lt;14,"Too late","")),"")8:0:8:0:0:0:8:0:0:0:8:4:Durr8:4:Durr8:3:FOB8:3:FOB8:2:NR8:2:NR8:45:=IF(AI46="","",AI46*AJ46*AK46/1000/1000/1000)8:0:8:0:0:0:8:0:0:0:8:0:0:0:</t>
  </si>
  <si>
    <t>8:44:=COUNTIF(J$3:OFFSET(J47,-1,0),"Subtotal:")+15:1:48:43:=IF(OFFSET(B47,1,0)&lt;&gt;"",OFFSET(B47,1,0),"")8:0:8:0:0:0:8:6:BP79308:6:BP79308:12:=LEFT(F47,3)8:3:#108:45:#10 CV06 PrimerStrip,Sand,TCIns,Buff,Wax,Spot8:45:#10 CV06 PrimerStrip,Sand,TCIns,Buff,Wax,Spot8:11:Elevator *18:11:Elevator *18:0:0:0:8:100:=IF(J47&lt;&gt;"",J47 - ('Shipping Program'!$D$9 + 'Shipping Program'!$F$9 + 'Shipping Program'!$H$9), "")5:5:464788:5:465255:5:465258:35:=IF(SUM(M47:N47)=0,"",SUM(M47:N47))8:0:8:0:0:0:8:0:0:0:8:0:0:0:8:48:=VLOOKUP(I47,'Shipping Program'!$A$32:$B$78,2)-15:1:48:4:=O475:1:48:6:=R47-75:5:464618:153:=IFERROR(XLOOKUP(P47,'Shipping Program'!$B$32:$B$78,'Shipping Program'!$A$32:$A$78),IFERROR(INDEX(_V7Batches!$B:$B,MATCH(P47&amp;"",_V7Batches!$A:$A,0)),""))5:5:464688:153:=IFERROR(XLOOKUP(P47,'Shipping Program'!$B$32:$B$78,'Shipping Program'!$E$32:$E$78),IFERROR(INDEX(_V7Batches!$D:$D,MATCH(P47&amp;"",_V7Batches!$A:$A,0)),""))5:5:464988:28:=S47+'Shipping Program'!$H$95:5:465058:38:=IFERROR(IF(J47*T47&lt;&gt;0,J47-T47,""),"")5:2:208:63:=IF(U47&lt;&gt;"",IF(U47&gt;28,"Too early",IF(U47&lt;14,"Too late","")),"")8:0:8:0:0:0:8:43:=IF(OFFSET(X47,1,0)="",R47,OFFSET(X47,1,0))5:5:464688:67:=IF(OFFSET(Y47,1,0)="",X47+'Shipping Program'!$F$9,OFFSET(Y47,1,0))5:5:464988:67:=IF(OFFSET(Z47,1,0)="",Y47+'Shipping Program'!$H$9,OFFSET(Z47,1,0))5:5:465058:38:=IFERROR(IF(J47*Z47&lt;&gt;0,J47-Z47,""),"")5:2:208:66:=IF(AA47&lt;&gt;"",IF(AA47&gt;28,"Too early",IF(AA47&lt;14,"Too late","")),"")8:0:8:0:0:0:8:0:0:0:8:4:Durr8:4:Durr8:3:FOB8:3:FOB8:2:NR8:2:NR8:45:=IF(AI47="","",AI47*AJ47*AK47/1000/1000/1000)8:0:8:0:0:0:8:0:0:0:8:0:0:0:</t>
  </si>
  <si>
    <t>8:44:=COUNTIF(J$3:OFFSET(J48,-1,0),"Subtotal:")+15:1:48:0:0:0:8:0:0:0:8:0:0:0:8:0:0:0:8:0:0:0:8:0:0:0:8:0:0:0:8:0:0:0:8:9:Subtotal:8:9:Subtotal:8:53:=SUMIF(A$3:OFFSET(A48,-1,0),A48,K$3:OFFSET(K48,-1,0))5:1:08:53:=SUMIF(A$3:OFFSET(A48,-1,0),A48,L$3:OFFSET(L48,-1,0))5:1:08:0:0:0:8:0:0:0:8:0:0:0:8:0:0:0:8:6:=R48-75:5:464618:40:=IF(J48="Subtotal:",OFFSET(R48,-1,0),"")5:5:464688:40:=IF(J48="Subtotal:",OFFSET(S48,-1,0),"")5:5:464988:40:=IF(J48="Subtotal:",OFFSET(T48,-1,0),"")5:5:465058:38:=IFERROR(IF(J48*T48&lt;&gt;0,J48-T48,""),"")8:0:8:63:=IF(U48&lt;&gt;"",IF(U48&gt;28,"Too early",IF(U48&lt;14,"Too late","")),"")8:0:8:143:=(SUMIFS($K:$K,$J:$J,"&lt;&gt;Subtotal:",$J:$J,"&gt;"&amp;S48,$S:$S,"&lt;="&amp;S48))*24*1.3+(SUMIFS($L:$L,$J:$J,"&lt;&gt;Subtotal:",$J:$J,"&gt;"&amp;S48,$S:$S,"&lt;="&amp;S48))/3*1.35:1:08:0:0:0:8:0:0:0:8:0:0:0:8:38:=IFERROR(IF(J48*Z48&lt;&gt;0,J48-Z48,""),"")8:0:8:66:=IF(AA48&lt;&gt;"",IF(AA48&gt;28,"Too early",IF(AA48&lt;14,"Too late","")),"")8:0:8:143:=(SUMIFS($K:$K,$J:$J,"&lt;&gt;Subtotal:",$J:$J,"&gt;"&amp;Y48,$Y:$Y,"&lt;="&amp;Y48))*24*1.3+(SUMIFS($L:$L,$J:$J,"&lt;&gt;Subtotal:",$J:$J,"&gt;"&amp;Y48,$Y:$Y,"&lt;="&amp;Y48))/3*1.35:1:08:0:0:0:8:0:0:0:8:0:0:0:8:0:0:0:8:0:0:0:8:0:0:0:8:0:0:0:8:0:0:0:</t>
  </si>
  <si>
    <t>8:44:=COUNTIF(J$3:OFFSET(J49,-1,0),"Subtotal:")+15:1:58:43:=IF(OFFSET(B49,1,0)&lt;&gt;"",OFFSET(B49,1,0),"")8:0:8:0:0:0:8:6:BP20108:6:BP20108:12:=LEFT(F49,3)8:3:#028:12:#02 PT Plant8:12:#02 PT Plant8:6:Tunnel8:6:Tunnel8:0:0:0:8:100:=IF(J49&lt;&gt;"",J49 - ('Shipping Program'!$D$9 + 'Shipping Program'!$F$9 + 'Shipping Program'!$H$9), "")5:5:464888:5:465355:5:465358:35:=IF(SUM(M49:N49)=0,"",SUM(M49:N49))8:0:8:0:0:0:8:0:0:0:8:0:0:0:8:48:=VLOOKUP(I49,'Shipping Program'!$A$32:$B$78,2)-15:1:58:4:=O495:1:58:6:=R49-75:5:464688:153:=IFERROR(XLOOKUP(P49,'Shipping Program'!$B$32:$B$78,'Shipping Program'!$A$32:$A$78),IFERROR(INDEX(_V7Batches!$B:$B,MATCH(P49&amp;"",_V7Batches!$A:$A,0)),""))5:5:464758:153:=IFERROR(XLOOKUP(P49,'Shipping Program'!$B$32:$B$78,'Shipping Program'!$E$32:$E$78),IFERROR(INDEX(_V7Batches!$D:$D,MATCH(P49&amp;"",_V7Batches!$A:$A,0)),""))5:5:465058:28:=S49+'Shipping Program'!$H$95:5:465128:38:=IFERROR(IF(J49*T49&lt;&gt;0,J49-T49,""),"")5:2:238:63:=IF(U49&lt;&gt;"",IF(U49&gt;28,"Too early",IF(U49&lt;14,"Too late","")),"")8:0:8:0:0:0:8:43:=IF(OFFSET(X49,1,0)="",R49,OFFSET(X49,1,0))5:5:464758:67:=IF(OFFSET(Y49,1,0)="",X49+'Shipping Program'!$F$9,OFFSET(Y49,1,0))5:5:465058:67:=IF(OFFSET(Z49,1,0)="",Y49+'Shipping Program'!$H$9,OFFSET(Z49,1,0))5:5:465128:38:=IFERROR(IF(J49*Z49&lt;&gt;0,J49-Z49,""),"")5:2:238:66:=IF(AA49&lt;&gt;"",IF(AA49&gt;28,"Too early",IF(AA49&lt;14,"Too late","")),"")8:0:8:0:0:0:8:0:0:0:8:4:Durr8:4:Durr8:3:FOB8:3:FOB8:2:NR8:2:NR8:45:=IF(AI49="","",AI49*AJ49*AK49/1000/1000/1000)8:0:8:0:0:0:8:0:0:0:8:0:0:0:</t>
  </si>
  <si>
    <t>8:44:=COUNTIF(J$3:OFFSET(J50,-1,0),"Subtotal:")+15:1:58:43:=IF(OFFSET(B50,1,0)&lt;&gt;"",OFFSET(B50,1,0),"")8:0:8:0:0:0:8:6:BP20108:6:BP20108:12:=LEFT(F50,3)8:3:#028:12:#02 EC Plant8:12:#02 EC Plant8:6:Tunnel8:6:Tunnel8:0:0:0:8:100:=IF(J50&lt;&gt;"",J50 - ('Shipping Program'!$D$9 + 'Shipping Program'!$F$9 + 'Shipping Program'!$H$9), "")5:5:464888:5:465355:5:465358:35:=IF(SUM(M50:N50)=0,"",SUM(M50:N50))8:0:8:0:0:0:8:0:0:0:8:0:0:0:8:48:=VLOOKUP(I50,'Shipping Program'!$A$32:$B$78,2)-15:1:58:4:=O505:1:58:6:=R50-75:5:464688:153:=IFERROR(XLOOKUP(P50,'Shipping Program'!$B$32:$B$78,'Shipping Program'!$A$32:$A$78),IFERROR(INDEX(_V7Batches!$B:$B,MATCH(P50&amp;"",_V7Batches!$A:$A,0)),""))5:5:464758:153:=IFERROR(XLOOKUP(P50,'Shipping Program'!$B$32:$B$78,'Shipping Program'!$E$32:$E$78),IFERROR(INDEX(_V7Batches!$D:$D,MATCH(P50&amp;"",_V7Batches!$A:$A,0)),""))5:5:465058:28:=S50+'Shipping Program'!$H$95:5:465128:38:=IFERROR(IF(J50*T50&lt;&gt;0,J50-T50,""),"")5:2:238:63:=IF(U50&lt;&gt;"",IF(U50&gt;28,"Too early",IF(U50&lt;14,"Too late","")),"")8:0:8:0:0:0:8:43:=IF(OFFSET(X50,1,0)="",R50,OFFSET(X50,1,0))5:5:464758:67:=IF(OFFSET(Y50,1,0)="",X50+'Shipping Program'!$F$9,OFFSET(Y50,1,0))5:5:465058:67:=IF(OFFSET(Z50,1,0)="",Y50+'Shipping Program'!$H$9,OFFSET(Z50,1,0))5:5:465128:38:=IFERROR(IF(J50*Z50&lt;&gt;0,J50-Z50,""),"")5:2:238:66:=IF(AA50&lt;&gt;"",IF(AA50&gt;28,"Too early",IF(AA50&lt;14,"Too late","")),"")8:0:8:0:0:0:8:0:0:0:8:4:Durr8:4:Durr8:3:FOB8:3:FOB8:2:NR8:2:NR8:45:=IF(AI50="","",AI50*AJ50*AK50/1000/1000/1000)8:0:8:0:0:0:8:0:0:0:8:0:0:0:</t>
  </si>
  <si>
    <t>8:44:=COUNTIF(J$3:OFFSET(J51,-1,0),"Subtotal:")+15:1:58:43:=IF(OFFSET(B51,1,0)&lt;&gt;"",OFFSET(B51,1,0),"")8:0:8:0:0:0:8:6:BP17108:6:BP17108:12:=LEFT(F51,3)8:3:#028:12:#02 PT Plant8:12:#02 PT Plant8:34:Filter press with dump chute FP0418:34:Filter press with dump chute FP0418:0:0:0:8:100:=IF(J51&lt;&gt;"",J51 - ('Shipping Program'!$D$9 + 'Shipping Program'!$F$9 + 'Shipping Program'!$H$9), "")5:5:464848:5:465315:5:465318:35:=IF(SUM(M51:N51)=0,"",SUM(M51:N51))8:0:8:0:0:0:8:0:0:0:8:0:0:0:8:48:=VLOOKUP(I51,'Shipping Program'!$A$32:$B$78,2)-15:1:58:4:=O515:1:58:6:=R51-75:5:464688:153:=IFERROR(XLOOKUP(P51,'Shipping Program'!$B$32:$B$78,'Shipping Program'!$A$32:$A$78),IFERROR(INDEX(_V7Batches!$B:$B,MATCH(P51&amp;"",_V7Batches!$A:$A,0)),""))5:5:464758:153:=IFERROR(XLOOKUP(P51,'Shipping Program'!$B$32:$B$78,'Shipping Program'!$E$32:$E$78),IFERROR(INDEX(_V7Batches!$D:$D,MATCH(P51&amp;"",_V7Batches!$A:$A,0)),""))5:5:465058:28:=S51+'Shipping Program'!$H$95:5:465128:38:=IFERROR(IF(J51*T51&lt;&gt;0,J51-T51,""),"")5:2:198:63:=IF(U51&lt;&gt;"",IF(U51&gt;28,"Too early",IF(U51&lt;14,"Too late","")),"")8:0:8:0:0:0:8:43:=IF(OFFSET(X51,1,0)="",R51,OFFSET(X51,1,0))5:5:464758:67:=IF(OFFSET(Y51,1,0)="",X51+'Shipping Program'!$F$9,OFFSET(Y51,1,0))5:5:465058:67:=IF(OFFSET(Z51,1,0)="",Y51+'Shipping Program'!$H$9,OFFSET(Z51,1,0))5:5:465128:38:=IFERROR(IF(J51*Z51&lt;&gt;0,J51-Z51,""),"")5:2:198:66:=IF(AA51&lt;&gt;"",IF(AA51&gt;28,"Too early",IF(AA51&lt;14,"Too late","")),"")8:0:8:0:0:0:8:0:0:0:8:4:Durr8:4:Durr8:3:FOB8:3:FOB8:2:NR8:2:NR8:45:=IF(AI51="","",AI51*AJ51*AK51/1000/1000/1000)8:0:8:0:0:0:8:0:0:0:8:0:0:0:</t>
  </si>
  <si>
    <t>8:44:=COUNTIF(J$3:OFFSET(J52,-1,0),"Subtotal:")+15:1:58:43:=IF(OFFSET(B52,1,0)&lt;&gt;"",OFFSET(B52,1,0),"")8:0:8:0:0:0:8:6:BP18308:6:BP18308:12:=LEFT(F52,3)8:3:#048:15:#04 Primer Oven8:15:#04 Primer Oven8:26:Oven module air seal entry8:26:Oven module air seal entry8:0:0:0:8:100:=IF(J52&lt;&gt;"",J52 - ('Shipping Program'!$D$9 + 'Shipping Program'!$F$9 + 'Shipping Program'!$H$9), "")5:5:464858:5:465325:5:465328:35:=IF(SUM(M52:N52)=0,"",SUM(M52:N52))8:0:8:0:0:0:8:0:0:0:8:0:0:0:8:48:=VLOOKUP(I52,'Shipping Program'!$A$32:$B$78,2)-15:1:58:4:=O525:1:58:6:=R52-75:5:464688:153:=IFERROR(XLOOKUP(P52,'Shipping Program'!$B$32:$B$78,'Shipping Program'!$A$32:$A$78),IFERROR(INDEX(_V7Batches!$B:$B,MATCH(P52&amp;"",_V7Batches!$A:$A,0)),""))5:5:464758:153:=IFERROR(XLOOKUP(P52,'Shipping Program'!$B$32:$B$78,'Shipping Program'!$E$32:$E$78),IFERROR(INDEX(_V7Batches!$D:$D,MATCH(P52&amp;"",_V7Batches!$A:$A,0)),""))5:5:465058:28:=S52+'Shipping Program'!$H$95:5:465128:38:=IFERROR(IF(J52*T52&lt;&gt;0,J52-T52,""),"")5:2:208:63:=IF(U52&lt;&gt;"",IF(U52&gt;28,"Too early",IF(U52&lt;14,"Too late","")),"")8:0:8:0:0:0:8:43:=IF(OFFSET(X52,1,0)="",R52,OFFSET(X52,1,0))5:5:464758:67:=IF(OFFSET(Y52,1,0)="",X52+'Shipping Program'!$F$9,OFFSET(Y52,1,0))5:5:465058:67:=IF(OFFSET(Z52,1,0)="",Y52+'Shipping Program'!$H$9,OFFSET(Z52,1,0))5:5:465128:38:=IFERROR(IF(J52*Z52&lt;&gt;0,J52-Z52,""),"")5:2:208:66:=IF(AA52&lt;&gt;"",IF(AA52&gt;28,"Too early",IF(AA52&lt;14,"Too late","")),"")8:0:8:0:0:0:8:0:0:0:8:4:Durr8:4:Durr8:3:FOB8:3:FOB8:3:F+N8:3:F+N8:45:=IF(AI52="","",AI52*AJ52*AK52/1000/1000/1000)8:0:8:0:0:0:8:0:0:0:8:0:0:0:</t>
  </si>
  <si>
    <t>8:44:=COUNTIF(J$3:OFFSET(J53,-1,0),"Subtotal:")+15:1:58:43:=IF(OFFSET(B53,1,0)&lt;&gt;"",OFFSET(B53,1,0),"")8:0:8:0:0:0:8:6:BP18308:6:BP18308:12:=LEFT(F53,3)8:3:#048:15:#04 Primer Oven8:15:#04 Primer Oven8:35:Oven modules heat-up zone *6modules8:35:Oven modules heat-up zone *6modules8:0:0:0:8:100:=IF(J53&lt;&gt;"",J53 - ('Shipping Program'!$D$9 + 'Shipping Program'!$F$9 + 'Shipping Program'!$H$9), "")5:5:464868:5:465335:5:465338:35:=IF(SUM(M53:N53)=0,"",SUM(M53:N53))8:0:8:0:0:0:8:0:0:0:8:0:0:0:8:48:=VLOOKUP(I53,'Shipping Program'!$A$32:$B$78,2)-15:1:58:4:=O535:1:58:6:=R53-75:5:464688:153:=IFERROR(XLOOKUP(P53,'Shipping Program'!$B$32:$B$78,'Shipping Program'!$A$32:$A$78),IFERROR(INDEX(_V7Batches!$B:$B,MATCH(P53&amp;"",_V7Batches!$A:$A,0)),""))5:5:464758:153:=IFERROR(XLOOKUP(P53,'Shipping Program'!$B$32:$B$78,'Shipping Program'!$E$32:$E$78),IFERROR(INDEX(_V7Batches!$D:$D,MATCH(P53&amp;"",_V7Batches!$A:$A,0)),""))5:5:465058:28:=S53+'Shipping Program'!$H$95:5:465128:38:=IFERROR(IF(J53*T53&lt;&gt;0,J53-T53,""),"")5:2:218:63:=IF(U53&lt;&gt;"",IF(U53&gt;28,"Too early",IF(U53&lt;14,"Too late","")),"")8:0:8:0:0:0:8:43:=IF(OFFSET(X53,1,0)="",R53,OFFSET(X53,1,0))5:5:464758:67:=IF(OFFSET(Y53,1,0)="",X53+'Shipping Program'!$F$9,OFFSET(Y53,1,0))5:5:465058:67:=IF(OFFSET(Z53,1,0)="",Y53+'Shipping Program'!$H$9,OFFSET(Z53,1,0))5:5:465128:38:=IFERROR(IF(J53*Z53&lt;&gt;0,J53-Z53,""),"")5:2:218:66:=IF(AA53&lt;&gt;"",IF(AA53&gt;28,"Too early",IF(AA53&lt;14,"Too late","")),"")8:0:8:0:0:0:8:0:0:0:8:4:Durr8:4:Durr8:3:FOB8:3:FOB8:3:F+N8:3:F+N8:45:=IF(AI53="","",AI53*AJ53*AK53/1000/1000/1000)8:0:8:0:0:0:8:0:0:0:8:0:0:0:</t>
  </si>
  <si>
    <t>8:44:=COUNTIF(J$3:OFFSET(J54,-1,0),"Subtotal:")+15:1:58:43:=IF(OFFSET(B54,1,0)&lt;&gt;"",OFFSET(B54,1,0),"")8:0:8:0:0:0:8:6:BP12308:6:BP12308:12:=LEFT(F54,3)8:3:#018:16:#01 Primer Booth8:16:#01 Primer Booth8:37:Ducting package supply air ASU-Plenum8:37:Ducting package supply air ASU-Plenum8:0:0:0:8:100:=IF(J54&lt;&gt;"",J54 - ('Shipping Program'!$D$9 + 'Shipping Program'!$F$9 + 'Shipping Program'!$H$9), "")5:5:464858:5:465325:5:465328:35:=IF(SUM(M54:N54)=0,"",SUM(M54:N54))8:0:8:0:0:0:8:0:0:0:8:0:0:0:8:48:=VLOOKUP(I54,'Shipping Program'!$A$32:$B$78,2)-15:1:58:4:=O545:1:58:6:=R54-75:5:464688:153:=IFERROR(XLOOKUP(P54,'Shipping Program'!$B$32:$B$78,'Shipping Program'!$A$32:$A$78),IFERROR(INDEX(_V7Batches!$B:$B,MATCH(P54&amp;"",_V7Batches!$A:$A,0)),""))5:5:464758:153:=IFERROR(XLOOKUP(P54,'Shipping Program'!$B$32:$B$78,'Shipping Program'!$E$32:$E$78),IFERROR(INDEX(_V7Batches!$D:$D,MATCH(P54&amp;"",_V7Batches!$A:$A,0)),""))5:5:465058:28:=S54+'Shipping Program'!$H$95:5:465128:38:=IFERROR(IF(J54*T54&lt;&gt;0,J54-T54,""),"")5:2:208:63:=IF(U54&lt;&gt;"",IF(U54&gt;28,"Too early",IF(U54&lt;14,"Too late","")),"")8:0:8:0:0:0:8:43:=IF(OFFSET(X54,1,0)="",R54,OFFSET(X54,1,0))5:5:464758:67:=IF(OFFSET(Y54,1,0)="",X54+'Shipping Program'!$F$9,OFFSET(Y54,1,0))5:5:465058:67:=IF(OFFSET(Z54,1,0)="",Y54+'Shipping Program'!$H$9,OFFSET(Z54,1,0))5:5:465128:38:=IFERROR(IF(J54*Z54&lt;&gt;0,J54-Z54,""),"")5:2:208:66:=IF(AA54&lt;&gt;"",IF(AA54&gt;28,"Too early",IF(AA54&lt;14,"Too late","")),"")8:0:8:0:0:0:8:0:0:0:8:3:AES8:3:AES8:0:0:0:8:0:0:0:8:45:=IF(AI54="","",AI54*AJ54*AK54/1000/1000/1000)8:0:8:0:0:0:8:0:0:0:8:0:0:0:</t>
  </si>
  <si>
    <t>8:44:=COUNTIF(J$3:OFFSET(J55,-1,0),"Subtotal:")+15:1:58:43:=IF(OFFSET(B55,1,0)&lt;&gt;"",OFFSET(B55,1,0),"")8:0:8:0:0:0:8:6:BP12308:6:BP12308:12:=LEFT(F55,3)8:3:#018:16:#01 Primer Booth8:16:#01 Primer Booth8:27:Ducting package exhaust air8:27:Ducting package exhaust air8:0:0:0:8:100:=IF(J55&lt;&gt;"",J55 - ('Shipping Program'!$D$9 + 'Shipping Program'!$F$9 + 'Shipping Program'!$H$9), "")5:5:464858:5:465325:5:465328:35:=IF(SUM(M55:N55)=0,"",SUM(M55:N55))8:0:8:0:0:0:8:0:0:0:8:0:0:0:8:48:=VLOOKUP(I55,'Shipping Program'!$A$32:$B$78,2)-15:1:58:4:=O555:1:58:6:=R55-75:5:464688:153:=IFERROR(XLOOKUP(P55,'Shipping Program'!$B$32:$B$78,'Shipping Program'!$A$32:$A$78),IFERROR(INDEX(_V7Batches!$B:$B,MATCH(P55&amp;"",_V7Batches!$A:$A,0)),""))5:5:464758:153:=IFERROR(XLOOKUP(P55,'Shipping Program'!$B$32:$B$78,'Shipping Program'!$E$32:$E$78),IFERROR(INDEX(_V7Batches!$D:$D,MATCH(P55&amp;"",_V7Batches!$A:$A,0)),""))5:5:465058:28:=S55+'Shipping Program'!$H$95:5:465128:38:=IFERROR(IF(J55*T55&lt;&gt;0,J55-T55,""),"")5:2:208:63:=IF(U55&lt;&gt;"",IF(U55&gt;28,"Too early",IF(U55&lt;14,"Too late","")),"")8:0:8:0:0:0:8:43:=IF(OFFSET(X55,1,0)="",R55,OFFSET(X55,1,0))5:5:464758:67:=IF(OFFSET(Y55,1,0)="",X55+'Shipping Program'!$F$9,OFFSET(Y55,1,0))5:5:465058:67:=IF(OFFSET(Z55,1,0)="",Y55+'Shipping Program'!$H$9,OFFSET(Z55,1,0))5:5:465128:38:=IFERROR(IF(J55*Z55&lt;&gt;0,J55-Z55,""),"")5:2:208:66:=IF(AA55&lt;&gt;"",IF(AA55&gt;28,"Too early",IF(AA55&lt;14,"Too late","")),"")8:0:8:0:0:0:8:0:0:0:8:3:AES8:3:AES8:0:0:0:8:0:0:0:8:45:=IF(AI55="","",AI55*AJ55*AK55/1000/1000/1000)8:0:8:0:0:0:8:0:0:0:8:0:0:0:</t>
  </si>
  <si>
    <t>8:44:=COUNTIF(J$3:OFFSET(J56,-1,0),"Subtotal:")+15:1:58:43:=IF(OFFSET(B56,1,0)&lt;&gt;"",OFFSET(B56,1,0),"")8:0:8:0:0:0:8:6:BP12308:6:BP12308:12:=LEFT(F56,3)8:3:#018:16:#01 Primer Booth8:16:#01 Primer Booth8:33:Ducting package recirculation air8:33:Ducting package recirculation air8:0:0:0:8:100:=IF(J56&lt;&gt;"",J56 - ('Shipping Program'!$D$9 + 'Shipping Program'!$F$9 + 'Shipping Program'!$H$9), "")5:5:464858:5:465325:5:465328:35:=IF(SUM(M56:N56)=0,"",SUM(M56:N56))8:0:8:0:0:0:8:0:0:0:8:0:0:0:8:48:=VLOOKUP(I56,'Shipping Program'!$A$32:$B$78,2)-15:1:58:4:=O565:1:58:6:=R56-75:5:464688:153:=IFERROR(XLOOKUP(P56,'Shipping Program'!$B$32:$B$78,'Shipping Program'!$A$32:$A$78),IFERROR(INDEX(_V7Batches!$B:$B,MATCH(P56&amp;"",_V7Batches!$A:$A,0)),""))5:5:464758:153:=IFERROR(XLOOKUP(P56,'Shipping Program'!$B$32:$B$78,'Shipping Program'!$E$32:$E$78),IFERROR(INDEX(_V7Batches!$D:$D,MATCH(P56&amp;"",_V7Batches!$A:$A,0)),""))5:5:465058:28:=S56+'Shipping Program'!$H$95:5:465128:38:=IFERROR(IF(J56*T56&lt;&gt;0,J56-T56,""),"")5:2:208:63:=IF(U56&lt;&gt;"",IF(U56&gt;28,"Too early",IF(U56&lt;14,"Too late","")),"")8:0:8:0:0:0:8:43:=IF(OFFSET(X56,1,0)="",R56,OFFSET(X56,1,0))5:5:464758:67:=IF(OFFSET(Y56,1,0)="",X56+'Shipping Program'!$F$9,OFFSET(Y56,1,0))5:5:465058:67:=IF(OFFSET(Z56,1,0)="",Y56+'Shipping Program'!$H$9,OFFSET(Z56,1,0))5:5:465128:38:=IFERROR(IF(J56*Z56&lt;&gt;0,J56-Z56,""),"")5:2:208:66:=IF(AA56&lt;&gt;"",IF(AA56&gt;28,"Too early",IF(AA56&lt;14,"Too late","")),"")8:0:8:0:0:0:8:0:0:0:8:3:AES8:3:AES8:0:0:0:8:0:0:0:8:45:=IF(AI56="","",AI56*AJ56*AK56/1000/1000/1000)8:0:8:0:0:0:8:0:0:0:8:0:0:0:</t>
  </si>
  <si>
    <t>8:44:=COUNTIF(J$3:OFFSET(J57,-1,0),"Subtotal:")+15:1:58:43:=IF(OFFSET(B57,1,0)&lt;&gt;"",OFFSET(B57,1,0),"")8:0:8:0:0:0:8:6:BP10008:6:BP10008:12:=LEFT(F57,3)8:3:#138:20:#13 Primer Booth RAU8:20:#13 Primer Booth RAU8:15:Air supply unit8:15:Air supply unit8:3:RAU8:3:RAU8:100:=IF(J57&lt;&gt;"",J57 - ('Shipping Program'!$D$9 + 'Shipping Program'!$F$9 + 'Shipping Program'!$H$9), "")5:5:464848:5:465315:5:465318:35:=IF(SUM(M57:N57)=0,"",SUM(M57:N57))8:0:8:0:0:0:8:0:0:0:8:0:0:0:8:48:=VLOOKUP(I57,'Shipping Program'!$A$32:$B$78,2)-15:1:58:4:=O575:1:58:6:=R57-75:5:464688:153:=IFERROR(XLOOKUP(P57,'Shipping Program'!$B$32:$B$78,'Shipping Program'!$A$32:$A$78),IFERROR(INDEX(_V7Batches!$B:$B,MATCH(P57&amp;"",_V7Batches!$A:$A,0)),""))5:5:464758:153:=IFERROR(XLOOKUP(P57,'Shipping Program'!$B$32:$B$78,'Shipping Program'!$E$32:$E$78),IFERROR(INDEX(_V7Batches!$D:$D,MATCH(P57&amp;"",_V7Batches!$A:$A,0)),""))5:5:465058:28:=S57+'Shipping Program'!$H$95:5:465128:38:=IFERROR(IF(J57*T57&lt;&gt;0,J57-T57,""),"")5:2:198:63:=IF(U57&lt;&gt;"",IF(U57&gt;28,"Too early",IF(U57&lt;14,"Too late","")),"")8:0:8:0:0:0:8:43:=IF(OFFSET(X57,1,0)="",R57,OFFSET(X57,1,0))5:5:464758:67:=IF(OFFSET(Y57,1,0)="",X57+'Shipping Program'!$F$9,OFFSET(Y57,1,0))5:5:465058:67:=IF(OFFSET(Z57,1,0)="",Y57+'Shipping Program'!$H$9,OFFSET(Z57,1,0))5:5:465128:38:=IFERROR(IF(J57*Z57&lt;&gt;0,J57-Z57,""),"")5:2:198:66:=IF(AA57&lt;&gt;"",IF(AA57&gt;28,"Too early",IF(AA57&lt;14,"Too late","")),"")8:0:8:0:0:0:8:0:0:0:8:4:Durr8:4:Durr8:3:CNF8:3:CNF8:3:F+N8:3:F+N8:45:=IF(AI57="","",AI57*AJ57*AK57/1000/1000/1000)8:0:8:0:0:0:8:0:0:0:8:0:0:0:</t>
  </si>
  <si>
    <t>8:44:=COUNTIF(J$3:OFFSET(J58,-1,0),"Subtotal:")+15:1:58:43:=IF(OFFSET(B58,1,0)&lt;&gt;"",OFFSET(B58,1,0),"")8:0:8:0:0:0:8:6:BP17008:6:BP17008:12:=LEFT(F58,3)8:3:#138:20:#13 Primer Booth RAU8:20:#13 Primer Booth RAU8:15:Humidifier unit8:15:Humidifier unit8:3:RAU8:3:RAU8:100:=IF(J58&lt;&gt;"",J58 - ('Shipping Program'!$D$9 + 'Shipping Program'!$F$9 + 'Shipping Program'!$H$9), "")5:5:464858:5:465325:5:465328:35:=IF(SUM(M58:N58)=0,"",SUM(M58:N58))8:0:8:0:0:0:8:0:0:0:8:0:0:0:8:48:=VLOOKUP(I58,'Shipping Program'!$A$32:$B$78,2)-15:1:58:4:=O585:1:58:6:=R58-75:5:464688:153:=IFERROR(XLOOKUP(P58,'Shipping Program'!$B$32:$B$78,'Shipping Program'!$A$32:$A$78),IFERROR(INDEX(_V7Batches!$B:$B,MATCH(P58&amp;"",_V7Batches!$A:$A,0)),""))5:5:464758:153:=IFERROR(XLOOKUP(P58,'Shipping Program'!$B$32:$B$78,'Shipping Program'!$E$32:$E$78),IFERROR(INDEX(_V7Batches!$D:$D,MATCH(P58&amp;"",_V7Batches!$A:$A,0)),""))5:5:465058:28:=S58+'Shipping Program'!$H$95:5:465128:38:=IFERROR(IF(J58*T58&lt;&gt;0,J58-T58,""),"")5:2:208:63:=IF(U58&lt;&gt;"",IF(U58&gt;28,"Too early",IF(U58&lt;14,"Too late","")),"")8:0:8:0:0:0:8:43:=IF(OFFSET(X58,1,0)="",R58,OFFSET(X58,1,0))5:5:464758:67:=IF(OFFSET(Y58,1,0)="",X58+'Shipping Program'!$F$9,OFFSET(Y58,1,0))5:5:465058:67:=IF(OFFSET(Z58,1,0)="",Y58+'Shipping Program'!$H$9,OFFSET(Z58,1,0))5:5:465128:38:=IFERROR(IF(J58*Z58&lt;&gt;0,J58-Z58,""),"")5:2:208:66:=IF(AA58&lt;&gt;"",IF(AA58&gt;28,"Too early",IF(AA58&lt;14,"Too late","")),"")8:0:8:0:0:0:8:0:0:0:8:3:AES8:3:AES8:0:0:0:8:0:0:0:8:45:=IF(AI58="","",AI58*AJ58*AK58/1000/1000/1000)8:0:8:0:0:0:8:0:0:0:8:0:0:0:</t>
  </si>
  <si>
    <t>8:44:=COUNTIF(J$3:OFFSET(J59,-1,0),"Subtotal:")+15:1:58:43:=IF(OFFSET(B59,1,0)&lt;&gt;"",OFFSET(B59,1,0),"")8:0:8:0:0:0:8:6:BP23108:6:BP23108:12:=LEFT(F59,3)8:3:#118:25:#11 Cold water generation8:25:#11 Cold water generation8:13:Cooling tower8:13:Cooling tower8:0:0:0:8:100:=IF(J59&lt;&gt;"",J59 - ('Shipping Program'!$D$9 + 'Shipping Program'!$F$9 + 'Shipping Program'!$H$9), "")5:5:464848:5:465315:5:465318:35:=IF(SUM(M59:N59)=0,"",SUM(M59:N59))8:0:8:0:0:0:8:0:0:0:8:0:0:0:8:48:=VLOOKUP(I59,'Shipping Program'!$A$32:$B$78,2)-15:1:58:4:=O595:1:58:6:=R59-75:5:464688:153:=IFERROR(XLOOKUP(P59,'Shipping Program'!$B$32:$B$78,'Shipping Program'!$A$32:$A$78),IFERROR(INDEX(_V7Batches!$B:$B,MATCH(P59&amp;"",_V7Batches!$A:$A,0)),""))5:5:464758:153:=IFERROR(XLOOKUP(P59,'Shipping Program'!$B$32:$B$78,'Shipping Program'!$E$32:$E$78),IFERROR(INDEX(_V7Batches!$D:$D,MATCH(P59&amp;"",_V7Batches!$A:$A,0)),""))5:5:465058:28:=S59+'Shipping Program'!$H$95:5:465128:38:=IFERROR(IF(J59*T59&lt;&gt;0,J59-T59,""),"")5:2:198:63:=IF(U59&lt;&gt;"",IF(U59&gt;28,"Too early",IF(U59&lt;14,"Too late","")),"")8:0:8:0:0:0:8:43:=IF(OFFSET(X59,1,0)="",R59,OFFSET(X59,1,0))5:5:464758:67:=IF(OFFSET(Y59,1,0)="",X59+'Shipping Program'!$F$9,OFFSET(Y59,1,0))5:5:465058:67:=IF(OFFSET(Z59,1,0)="",Y59+'Shipping Program'!$H$9,OFFSET(Z59,1,0))5:5:465128:38:=IFERROR(IF(J59*Z59&lt;&gt;0,J59-Z59,""),"")5:2:198:66:=IF(AA59&lt;&gt;"",IF(AA59&gt;28,"Too early",IF(AA59&lt;14,"Too late","")),"")8:0:8:0:0:0:8:0:0:0:8:3:AES8:3:AES8:0:0:0:8:0:0:0:8:45:=IF(AI59="","",AI59*AJ59*AK59/1000/1000/1000)8:0:8:0:0:0:8:0:0:0:8:0:0:0:</t>
  </si>
  <si>
    <t>8:44:=COUNTIF(J$3:OFFSET(J60,-1,0),"Subtotal:")+15:1:58:43:=IF(OFFSET(B60,1,0)&lt;&gt;"",OFFSET(B60,1,0),"")8:0:8:0:0:0:8:6:BP23108:6:BP23108:12:=LEFT(F60,3)8:3:#118:29:#11 Compressed air generation8:29:#11 Compressed air generation8:13:Cooling tower8:13:Cooling tower8:0:0:0:8:100:=IF(J60&lt;&gt;"",J60 - ('Shipping Program'!$D$9 + 'Shipping Program'!$F$9 + 'Shipping Program'!$H$9), "")5:5:464848:5:465315:5:465318:35:=IF(SUM(M60:N60)=0,"",SUM(M60:N60))8:0:8:0:0:0:8:0:0:0:8:0:0:0:8:48:=VLOOKUP(I60,'Shipping Program'!$A$32:$B$78,2)-15:1:58:4:=O605:1:58:6:=R60-75:5:464688:153:=IFERROR(XLOOKUP(P60,'Shipping Program'!$B$32:$B$78,'Shipping Program'!$A$32:$A$78),IFERROR(INDEX(_V7Batches!$B:$B,MATCH(P60&amp;"",_V7Batches!$A:$A,0)),""))5:5:464758:153:=IFERROR(XLOOKUP(P60,'Shipping Program'!$B$32:$B$78,'Shipping Program'!$E$32:$E$78),IFERROR(INDEX(_V7Batches!$D:$D,MATCH(P60&amp;"",_V7Batches!$A:$A,0)),""))5:5:465058:28:=S60+'Shipping Program'!$H$95:5:465128:38:=IFERROR(IF(J60*T60&lt;&gt;0,J60-T60,""),"")5:2:198:63:=IF(U60&lt;&gt;"",IF(U60&gt;28,"Too early",IF(U60&lt;14,"Too late","")),"")8:0:8:0:0:0:8:43:=IF(OFFSET(X60,1,0)="",R60,OFFSET(X60,1,0))5:5:464758:67:=IF(OFFSET(Y60,1,0)="",X60+'Shipping Program'!$F$9,OFFSET(Y60,1,0))5:5:465058:67:=IF(OFFSET(Z60,1,0)="",Y60+'Shipping Program'!$H$9,OFFSET(Z60,1,0))5:5:465128:38:=IFERROR(IF(J60*Z60&lt;&gt;0,J60-Z60,""),"")5:2:198:66:=IF(AA60&lt;&gt;"",IF(AA60&gt;28,"Too early",IF(AA60&lt;14,"Too late","")),"")8:0:8:0:0:0:8:0:0:0:8:3:AES8:3:AES8:0:0:0:8:0:0:0:8:45:=IF(AI60="","",AI60*AJ60*AK60/1000/1000/1000)8:0:8:0:0:0:8:0:0:0:8:0:0:0:</t>
  </si>
  <si>
    <t>8:44:=COUNTIF(J$3:OFFSET(J61,-1,0),"Subtotal:")+15:1:58:43:=IF(OFFSET(B61,1,0)&lt;&gt;"",OFFSET(B61,1,0),"")8:0:8:0:0:0:8:11:BP2110&amp;21208:11:BP2110&amp;21208:12:=LEFT(F61,3)8:3:#068:35:#06 AP2,3,5 MatelRepair,ECSand,Seal8:35:#06 AP2,3,5 MatelRepair,ECSand,Seal8:32:Internal ducting incl. Equipment8:32:Internal ducting incl. Equipment8:0:0:0:8:100:=IF(J61&lt;&gt;"",J61 - ('Shipping Program'!$D$9 + 'Shipping Program'!$F$9 + 'Shipping Program'!$H$9), "")5:5:464838:5:465305:5:465308:35:=IF(SUM(M61:N61)=0,"",SUM(M61:N61))8:0:8:0:0:0:8:0:0:0:8:0:0:0:8:48:=VLOOKUP(I61,'Shipping Program'!$A$32:$B$78,2)-15:1:58:4:=O615:1:58:6:=R61-75:5:464688:153:=IFERROR(XLOOKUP(P61,'Shipping Program'!$B$32:$B$78,'Shipping Program'!$A$32:$A$78),IFERROR(INDEX(_V7Batches!$B:$B,MATCH(P61&amp;"",_V7Batches!$A:$A,0)),""))5:5:464758:153:=IFERROR(XLOOKUP(P61,'Shipping Program'!$B$32:$B$78,'Shipping Program'!$E$32:$E$78),IFERROR(INDEX(_V7Batches!$D:$D,MATCH(P61&amp;"",_V7Batches!$A:$A,0)),""))5:5:465058:28:=S61+'Shipping Program'!$H$95:5:465128:38:=IFERROR(IF(J61*T61&lt;&gt;0,J61-T61,""),"")5:2:188:63:=IF(U61&lt;&gt;"",IF(U61&gt;28,"Too early",IF(U61&lt;14,"Too late","")),"")8:0:8:0:0:0:8:43:=IF(OFFSET(X61,1,0)="",R61,OFFSET(X61,1,0))5:5:464758:67:=IF(OFFSET(Y61,1,0)="",X61+'Shipping Program'!$F$9,OFFSET(Y61,1,0))5:5:465058:67:=IF(OFFSET(Z61,1,0)="",Y61+'Shipping Program'!$H$9,OFFSET(Z61,1,0))5:5:465128:38:=IFERROR(IF(J61*Z61&lt;&gt;0,J61-Z61,""),"")5:2:188:66:=IF(AA61&lt;&gt;"",IF(AA61&gt;28,"Too early",IF(AA61&lt;14,"Too late","")),"")8:0:8:0:0:0:8:0:0:0:8:4:Durr8:4:Durr8:3:FOB8:3:FOB8:2:NR8:2:NR8:45:=IF(AI61="","",AI61*AJ61*AK61/1000/1000/1000)8:0:8:0:0:0:8:0:0:0:8:0:0:0:</t>
  </si>
  <si>
    <t>8:44:=COUNTIF(J$3:OFFSET(J62,-1,0),"Subtotal:")+15:1:58:43:=IF(OFFSET(B62,1,0)&lt;&gt;"",OFFSET(B62,1,0),"")8:0:8:0:0:0:8:11:BP2110&amp;21208:11:BP2110&amp;21208:12:=LEFT(F62,3)8:3:#068:31:#06 AP006-009 UBS line+Transfer8:31:#06 AP006-009 UBS line+Transfer8:13:Booth housing8:13:Booth housing8:0:0:0:8:100:=IF(J62&lt;&gt;"",J62 - ('Shipping Program'!$D$9 + 'Shipping Program'!$F$9 + 'Shipping Program'!$H$9), "")5:5:464848:5:465315:5:465318:35:=IF(SUM(M62:N62)=0,"",SUM(M62:N62))8:0:8:0:0:0:8:0:0:0:8:0:0:0:8:48:=VLOOKUP(I62,'Shipping Program'!$A$32:$B$78,2)-15:1:58:4:=O625:1:58:6:=R62-75:5:464688:153:=IFERROR(XLOOKUP(P62,'Shipping Program'!$B$32:$B$78,'Shipping Program'!$A$32:$A$78),IFERROR(INDEX(_V7Batches!$B:$B,MATCH(P62&amp;"",_V7Batches!$A:$A,0)),""))5:5:464758:153:=IFERROR(XLOOKUP(P62,'Shipping Program'!$B$32:$B$78,'Shipping Program'!$E$32:$E$78),IFERROR(INDEX(_V7Batches!$D:$D,MATCH(P62&amp;"",_V7Batches!$A:$A,0)),""))5:5:465058:28:=S62+'Shipping Program'!$H$95:5:465128:38:=IFERROR(IF(J62*T62&lt;&gt;0,J62-T62,""),"")5:2:198:63:=IF(U62&lt;&gt;"",IF(U62&gt;28,"Too early",IF(U62&lt;14,"Too late","")),"")8:0:8:0:0:0:8:43:=IF(OFFSET(X62,1,0)="",R62,OFFSET(X62,1,0))5:5:464758:67:=IF(OFFSET(Y62,1,0)="",X62+'Shipping Program'!$F$9,OFFSET(Y62,1,0))5:5:465058:67:=IF(OFFSET(Z62,1,0)="",Y62+'Shipping Program'!$H$9,OFFSET(Z62,1,0))5:5:465128:38:=IFERROR(IF(J62*Z62&lt;&gt;0,J62-Z62,""),"")5:2:198:66:=IF(AA62&lt;&gt;"",IF(AA62&gt;28,"Too early",IF(AA62&lt;14,"Too late","")),"")8:0:8:0:0:0:8:0:0:0:8:4:Durr8:4:Durr8:3:FOB8:3:FOB8:2:NR8:2:NR8:45:=IF(AI62="","",AI62*AJ62*AK62/1000/1000/1000)8:0:8:0:0:0:8:0:0:0:8:0:0:0:</t>
  </si>
  <si>
    <t>8:44:=COUNTIF(J$3:OFFSET(J63,-1,0),"Subtotal:")+15:1:58:43:=IF(OFFSET(B63,1,0)&lt;&gt;"",OFFSET(B63,1,0),"")8:0:8:0:0:0:8:6:BP79308:6:BP79308:12:=LEFT(F63,3)8:3:#108:39:#10 CV03 EDStrip,TCSkid,Unlock,Transfer8:39:#10 CV03 EDStrip,TCSkid,Unlock,Transfer8:11:Elevator *18:11:Elevator *18:0:0:0:8:100:=IF(J63&lt;&gt;"",J63 - ('Shipping Program'!$D$9 + 'Shipping Program'!$F$9 + 'Shipping Program'!$H$9), "")5:5:464858:5:465325:5:465328:35:=IF(SUM(M63:N63)=0,"",SUM(M63:N63))8:0:8:0:0:0:8:0:0:0:8:0:0:0:8:48:=VLOOKUP(I63,'Shipping Program'!$A$32:$B$78,2)-15:1:58:4:=O635:1:58:6:=R63-75:5:464688:153:=IFERROR(XLOOKUP(P63,'Shipping Program'!$B$32:$B$78,'Shipping Program'!$A$32:$A$78),IFERROR(INDEX(_V7Batches!$B:$B,MATCH(P63&amp;"",_V7Batches!$A:$A,0)),""))5:5:464758:153:=IFERROR(XLOOKUP(P63,'Shipping Program'!$B$32:$B$78,'Shipping Program'!$E$32:$E$78),IFERROR(INDEX(_V7Batches!$D:$D,MATCH(P63&amp;"",_V7Batches!$A:$A,0)),""))5:5:465058:28:=S63+'Shipping Program'!$H$95:5:465128:38:=IFERROR(IF(J63*T63&lt;&gt;0,J63-T63,""),"")5:2:208:63:=IF(U63&lt;&gt;"",IF(U63&gt;28,"Too early",IF(U63&lt;14,"Too late","")),"")8:0:8:0:0:0:8:43:=IF(OFFSET(X63,1,0)="",R63,OFFSET(X63,1,0))5:5:464758:67:=IF(OFFSET(Y63,1,0)="",X63+'Shipping Program'!$F$9,OFFSET(Y63,1,0))5:5:465058:67:=IF(OFFSET(Z63,1,0)="",Y63+'Shipping Program'!$H$9,OFFSET(Z63,1,0))5:5:465128:38:=IFERROR(IF(J63*Z63&lt;&gt;0,J63-Z63,""),"")5:2:208:66:=IF(AA63&lt;&gt;"",IF(AA63&gt;28,"Too early",IF(AA63&lt;14,"Too late","")),"")8:0:8:0:0:0:8:0:0:0:8:4:Durr8:4:Durr8:3:FOB8:3:FOB8:2:NR8:2:NR8:45:=IF(AI63="","",AI63*AJ63*AK63/1000/1000/1000)8:0:8:0:0:0:8:0:0:0:8:0:0:0:</t>
  </si>
  <si>
    <t>8:44:=COUNTIF(J$3:OFFSET(J64,-1,0),"Subtotal:")+15:1:58:43:=IF(OFFSET(B64,1,0)&lt;&gt;"",OFFSET(B64,1,0),"")8:0:8:0:0:0:8:6:BP79308:6:BP79308:12:=LEFT(F64,3)8:3:#108:25:#10 CV05 PrimerBooth&amp;Oven8:25:#10 CV05 PrimerBooth&amp;Oven8:28:Suspension chain CV booth *18:28:Suspension chain CV booth *18:0:0:0:8:100:=IF(J64&lt;&gt;"",J64 - ('Shipping Program'!$D$9 + 'Shipping Program'!$F$9 + 'Shipping Program'!$H$9), "")5:5:464858:5:465325:5:465328:35:=IF(SUM(M64:N64)=0,"",SUM(M64:N64))8:0:8:0:0:0:8:0:0:0:8:0:0:0:8:48:=VLOOKUP(I64,'Shipping Program'!$A$32:$B$78,2)-15:1:58:4:=O645:1:58:6:=R64-75:5:464688:153:=IFERROR(XLOOKUP(P64,'Shipping Program'!$B$32:$B$78,'Shipping Program'!$A$32:$A$78),IFERROR(INDEX(_V7Batches!$B:$B,MATCH(P64&amp;"",_V7Batches!$A:$A,0)),""))5:5:464758:153:=IFERROR(XLOOKUP(P64,'Shipping Program'!$B$32:$B$78,'Shipping Program'!$E$32:$E$78),IFERROR(INDEX(_V7Batches!$D:$D,MATCH(P64&amp;"",_V7Batches!$A:$A,0)),""))5:5:465058:28:=S64+'Shipping Program'!$H$95:5:465128:38:=IFERROR(IF(J64*T64&lt;&gt;0,J64-T64,""),"")5:2:208:63:=IF(U64&lt;&gt;"",IF(U64&gt;28,"Too early",IF(U64&lt;14,"Too late","")),"")8:0:8:0:0:0:8:43:=IF(OFFSET(X64,1,0)="",R64,OFFSET(X64,1,0))5:5:464758:67:=IF(OFFSET(Y64,1,0)="",X64+'Shipping Program'!$F$9,OFFSET(Y64,1,0))5:5:465058:67:=IF(OFFSET(Z64,1,0)="",Y64+'Shipping Program'!$H$9,OFFSET(Z64,1,0))5:5:465128:38:=IFERROR(IF(J64*Z64&lt;&gt;0,J64-Z64,""),"")5:2:208:66:=IF(AA64&lt;&gt;"",IF(AA64&gt;28,"Too early",IF(AA64&lt;14,"Too late","")),"")8:0:8:0:0:0:8:0:0:0:8:4:Durr8:4:Durr8:3:FOB8:3:FOB8:2:NR8:2:NR8:45:=IF(AI64="","",AI64*AJ64*AK64/1000/1000/1000)8:0:8:0:0:0:8:0:0:0:8:0:0:0:</t>
  </si>
  <si>
    <t>8:44:=COUNTIF(J$3:OFFSET(J65,-1,0),"Subtotal:")+15:1:58:43:=IF(OFFSET(B65,1,0)&lt;&gt;"",OFFSET(B65,1,0),"")8:0:8:0:0:0:8:6:BP79308:6:BP79308:12:=LEFT(F65,3)8:3:#108:45:#10 CV06 PrimerStrip,Sand,TCIns,Buff,Wax,Spot8:45:#10 CV06 PrimerStrip,Sand,TCIns,Buff,Wax,Spot8:14:Rollerbed *1148:14:Rollerbed *1148:0:0:0:8:100:=IF(J65&lt;&gt;"",J65 - ('Shipping Program'!$D$9 + 'Shipping Program'!$F$9 + 'Shipping Program'!$H$9), "")5:5:464838:5:465305:5:465308:35:=IF(SUM(M65:N65)=0,"",SUM(M65:N65))8:0:8:0:0:0:8:0:0:0:8:0:0:0:8:48:=VLOOKUP(I65,'Shipping Program'!$A$32:$B$78,2)-15:1:58:4:=O655:1:58:6:=R65-75:5:464688:153:=IFERROR(XLOOKUP(P65,'Shipping Program'!$B$32:$B$78,'Shipping Program'!$A$32:$A$78),IFERROR(INDEX(_V7Batches!$B:$B,MATCH(P65&amp;"",_V7Batches!$A:$A,0)),""))5:5:464758:153:=IFERROR(XLOOKUP(P65,'Shipping Program'!$B$32:$B$78,'Shipping Program'!$E$32:$E$78),IFERROR(INDEX(_V7Batches!$D:$D,MATCH(P65&amp;"",_V7Batches!$A:$A,0)),""))5:5:465058:28:=S65+'Shipping Program'!$H$95:5:465128:38:=IFERROR(IF(J65*T65&lt;&gt;0,J65-T65,""),"")5:2:188:63:=IF(U65&lt;&gt;"",IF(U65&gt;28,"Too early",IF(U65&lt;14,"Too late","")),"")8:0:8:0:0:0:8:43:=IF(OFFSET(X65,1,0)="",R65,OFFSET(X65,1,0))5:5:464758:67:=IF(OFFSET(Y65,1,0)="",X65+'Shipping Program'!$F$9,OFFSET(Y65,1,0))5:5:465058:67:=IF(OFFSET(Z65,1,0)="",Y65+'Shipping Program'!$H$9,OFFSET(Z65,1,0))5:5:465128:38:=IFERROR(IF(J65*Z65&lt;&gt;0,J65-Z65,""),"")5:2:188:66:=IF(AA65&lt;&gt;"",IF(AA65&gt;28,"Too early",IF(AA65&lt;14,"Too late","")),"")8:0:8:0:0:0:8:0:0:0:8:4:Durr8:4:Durr8:3:FOB8:3:FOB8:2:NR8:2:NR8:45:=IF(AI65="","",AI65*AJ65*AK65/1000/1000/1000)8:0:8:0:0:0:8:0:0:0:8:0:0:0:</t>
  </si>
  <si>
    <t>8:44:=COUNTIF(J$3:OFFSET(J66,-1,0),"Subtotal:")+15:1:58:43:=IF(OFFSET(B66,1,0)&lt;&gt;"",OFFSET(B66,1,0),"")8:0:8:0:0:0:8:6:BP79308:6:BP79308:12:=LEFT(F66,3)8:3:#108:45:#10 CV06 PrimerStrip,Sand,TCIns,Buff,Wax,Spot8:45:#10 CV06 PrimerStrip,Sand,TCIns,Buff,Wax,Spot8:24:Turn and swivel table *38:24:Turn and swivel table *38:0:0:0:8:100:=IF(J66&lt;&gt;"",J66 - ('Shipping Program'!$D$9 + 'Shipping Program'!$F$9 + 'Shipping Program'!$H$9), "")5:5:464838:5:465305:5:465308:35:=IF(SUM(M66:N66)=0,"",SUM(M66:N66))8:0:8:0:0:0:8:0:0:0:8:0:0:0:8:48:=VLOOKUP(I66,'Shipping Program'!$A$32:$B$78,2)-15:1:58:4:=O665:1:58:6:=R66-75:5:464688:153:=IFERROR(XLOOKUP(P66,'Shipping Program'!$B$32:$B$78,'Shipping Program'!$A$32:$A$78),IFERROR(INDEX(_V7Batches!$B:$B,MATCH(P66&amp;"",_V7Batches!$A:$A,0)),""))5:5:464758:153:=IFERROR(XLOOKUP(P66,'Shipping Program'!$B$32:$B$78,'Shipping Program'!$E$32:$E$78),IFERROR(INDEX(_V7Batches!$D:$D,MATCH(P66&amp;"",_V7Batches!$A:$A,0)),""))5:5:465058:28:=S66+'Shipping Program'!$H$95:5:465128:38:=IFERROR(IF(J66*T66&lt;&gt;0,J66-T66,""),"")5:2:188:63:=IF(U66&lt;&gt;"",IF(U66&gt;28,"Too early",IF(U66&lt;14,"Too late","")),"")8:0:8:0:0:0:8:43:=IF(OFFSET(X66,1,0)="",R66,OFFSET(X66,1,0))5:5:464758:67:=IF(OFFSET(Y66,1,0)="",X66+'Shipping Program'!$F$9,OFFSET(Y66,1,0))5:5:465058:67:=IF(OFFSET(Z66,1,0)="",Y66+'Shipping Program'!$H$9,OFFSET(Z66,1,0))5:5:465128:38:=IFERROR(IF(J66*Z66&lt;&gt;0,J66-Z66,""),"")5:2:188:66:=IF(AA66&lt;&gt;"",IF(AA66&gt;28,"Too early",IF(AA66&lt;14,"Too late","")),"")8:0:8:0:0:0:8:0:0:0:8:4:Durr8:4:Durr8:3:FOB8:3:FOB8:2:NR8:2:NR8:45:=IF(AI66="","",AI66*AJ66*AK66/1000/1000/1000)8:0:8:0:0:0:8:0:0:0:8:0:0:0:</t>
  </si>
  <si>
    <t>8:44:=COUNTIF(J$3:OFFSET(J67,-1,0),"Subtotal:")+15:1:58:43:=IF(OFFSET(B67,1,0)&lt;&gt;"",OFFSET(B67,1,0),"")8:0:8:0:0:0:8:6:BP79308:6:BP79308:12:=LEFT(F67,3)8:3:#108:45:#10 CV06 PrimerStrip,Sand,TCIns,Buff,Wax,Spot8:45:#10 CV06 PrimerStrip,Sand,TCIns,Buff,Wax,Spot8:22:Cross transfer car *118:22:Cross transfer car *118:0:0:0:8:100:=IF(J67&lt;&gt;"",J67 - ('Shipping Program'!$D$9 + 'Shipping Program'!$F$9 + 'Shipping Program'!$H$9), "")5:5:464838:5:465305:5:465308:35:=IF(SUM(M67:N67)=0,"",SUM(M67:N67))8:0:8:0:0:0:8:0:0:0:8:0:0:0:8:48:=VLOOKUP(I67,'Shipping Program'!$A$32:$B$78,2)-15:1:58:4:=O675:1:58:6:=R67-75:5:464688:153:=IFERROR(XLOOKUP(P67,'Shipping Program'!$B$32:$B$78,'Shipping Program'!$A$32:$A$78),IFERROR(INDEX(_V7Batches!$B:$B,MATCH(P67&amp;"",_V7Batches!$A:$A,0)),""))5:5:464758:153:=IFERROR(XLOOKUP(P67,'Shipping Program'!$B$32:$B$78,'Shipping Program'!$E$32:$E$78),IFERROR(INDEX(_V7Batches!$D:$D,MATCH(P67&amp;"",_V7Batches!$A:$A,0)),""))5:5:465058:28:=S67+'Shipping Program'!$H$95:5:465128:38:=IFERROR(IF(J67*T67&lt;&gt;0,J67-T67,""),"")5:2:188:63:=IF(U67&lt;&gt;"",IF(U67&gt;28,"Too early",IF(U67&lt;14,"Too late","")),"")8:0:8:0:0:0:8:43:=IF(OFFSET(X67,1,0)="",R67,OFFSET(X67,1,0))5:5:464758:67:=IF(OFFSET(Y67,1,0)="",X67+'Shipping Program'!$F$9,OFFSET(Y67,1,0))5:5:465058:67:=IF(OFFSET(Z67,1,0)="",Y67+'Shipping Program'!$H$9,OFFSET(Z67,1,0))5:5:465128:38:=IFERROR(IF(J67*Z67&lt;&gt;0,J67-Z67,""),"")5:2:188:66:=IF(AA67&lt;&gt;"",IF(AA67&gt;28,"Too early",IF(AA67&lt;14,"Too late","")),"")8:0:8:0:0:0:8:0:0:0:8:4:Durr8:4:Durr8:3:FOB8:3:FOB8:2:NR8:2:NR8:45:=IF(AI67="","",AI67*AJ67*AK67/1000/1000/1000)8:0:8:0:0:0:8:0:0:0:8:0:0:0:</t>
  </si>
  <si>
    <t>8:44:=COUNTIF(J$3:OFFSET(J68,-1,0),"Subtotal:")+15:1:58:0:0:0:8:0:0:0:8:0:0:0:8:0:0:0:8:0:0:0:8:0:0:0:8:0:0:0:8:0:0:0:8:9:Subtotal:8:9:Subtotal:8:53:=SUMIF(A$3:OFFSET(A68,-1,0),A68,K$3:OFFSET(K68,-1,0))5:1:08:53:=SUMIF(A$3:OFFSET(A68,-1,0),A68,L$3:OFFSET(L68,-1,0))5:1:08:0:0:0:8:0:0:0:8:0:0:0:8:0:0:0:8:6:=R68-75:5:464688:40:=IF(J68="Subtotal:",OFFSET(R68,-1,0),"")5:5:464758:40:=IF(J68="Subtotal:",OFFSET(S68,-1,0),"")5:5:465058:40:=IF(J68="Subtotal:",OFFSET(T68,-1,0),"")5:5:465128:38:=IFERROR(IF(J68*T68&lt;&gt;0,J68-T68,""),"")8:0:8:63:=IF(U68&lt;&gt;"",IF(U68&gt;28,"Too early",IF(U68&lt;14,"Too late","")),"")8:0:8:143:=(SUMIFS($K:$K,$J:$J,"&lt;&gt;Subtotal:",$J:$J,"&gt;"&amp;S68,$S:$S,"&lt;="&amp;S68))*24*1.3+(SUMIFS($L:$L,$J:$J,"&lt;&gt;Subtotal:",$J:$J,"&gt;"&amp;S68,$S:$S,"&lt;="&amp;S68))/3*1.35:1:08:0:0:0:8:0:0:0:8:0:0:0:8:38:=IFERROR(IF(J68*Z68&lt;&gt;0,J68-Z68,""),"")8:0:8:66:=IF(AA68&lt;&gt;"",IF(AA68&gt;28,"Too early",IF(AA68&lt;14,"Too late","")),"")8:0:8:143:=(SUMIFS($K:$K,$J:$J,"&lt;&gt;Subtotal:",$J:$J,"&gt;"&amp;Y68,$Y:$Y,"&lt;="&amp;Y68))*24*1.3+(SUMIFS($L:$L,$J:$J,"&lt;&gt;Subtotal:",$J:$J,"&gt;"&amp;Y68,$Y:$Y,"&lt;="&amp;Y68))/3*1.35:1:08:0:0:0:8:0:0:0:8:0:0:0:8:0:0:0:8:0:0:0:8:0:0:0:8:0:0:0:8:0:0:0:</t>
  </si>
  <si>
    <t>8:44:=COUNTIF(J$3:OFFSET(J69,-1,0),"Subtotal:")+15:1:68:43:=IF(OFFSET(B69,1,0)&lt;&gt;"",OFFSET(B69,1,0),"")8:0:8:0:0:0:8:6:BP18308:6:BP18308:12:=LEFT(F69,3)8:3:#048:15:#04 Primer Oven8:15:#04 Primer Oven8:32:Oven modules hold zone *6modules8:32:Oven modules hold zone *6modules8:0:0:0:8:100:=IF(J69&lt;&gt;"",J69 - ('Shipping Program'!$D$9 + 'Shipping Program'!$F$9 + 'Shipping Program'!$H$9), "")5:5:464898:5:465365:5:465368:35:=IF(SUM(M69:N69)=0,"",SUM(M69:N69))8:0:8:0:0:0:8:0:0:0:8:0:0:0:8:48:=VLOOKUP(I69,'Shipping Program'!$A$32:$B$78,2)-15:1:68:4:=O695:1:68:6:=R69-75:5:464758:153:=IFERROR(XLOOKUP(P69,'Shipping Program'!$B$32:$B$78,'Shipping Program'!$A$32:$A$78),IFERROR(INDEX(_V7Batches!$B:$B,MATCH(P69&amp;"",_V7Batches!$A:$A,0)),""))5:5:464828:153:=IFERROR(XLOOKUP(P69,'Shipping Program'!$B$32:$B$78,'Shipping Program'!$E$32:$E$78),IFERROR(INDEX(_V7Batches!$D:$D,MATCH(P69&amp;"",_V7Batches!$A:$A,0)),""))5:5:465128:28:=S69+'Shipping Program'!$H$95:5:465198:38:=IFERROR(IF(J69*T69&lt;&gt;0,J69-T69,""),"")5:2:178:63:=IF(U69&lt;&gt;"",IF(U69&gt;28,"Too early",IF(U69&lt;14,"Too late","")),"")8:0:8:0:0:0:8:43:=IF(OFFSET(X69,1,0)="",R69,OFFSET(X69,1,0))5:5:464828:67:=IF(OFFSET(Y69,1,0)="",X69+'Shipping Program'!$F$9,OFFSET(Y69,1,0))5:5:465128:67:=IF(OFFSET(Z69,1,0)="",Y69+'Shipping Program'!$H$9,OFFSET(Z69,1,0))5:5:465198:38:=IFERROR(IF(J69*Z69&lt;&gt;0,J69-Z69,""),"")5:2:178:66:=IF(AA69&lt;&gt;"",IF(AA69&gt;28,"Too early",IF(AA69&lt;14,"Too late","")),"")8:0:8:0:0:0:8:0:0:0:8:4:Durr8:4:Durr8:3:FOB8:3:FOB8:3:F+N8:3:F+N8:45:=IF(AI69="","",AI69*AJ69*AK69/1000/1000/1000)8:0:8:0:0:0:8:0:0:0:8:0:0:0:</t>
  </si>
  <si>
    <t>8:44:=COUNTIF(J$3:OFFSET(J70,-1,0),"Subtotal:")+15:1:68:43:=IF(OFFSET(B70,1,0)&lt;&gt;"",OFFSET(B70,1,0),"")8:0:8:0:0:0:8:6:BP18308:6:BP18308:12:=LEFT(F70,3)8:3:#048:15:#04 Primer Oven8:15:#04 Primer Oven8:25:Oven module air seal exit8:25:Oven module air seal exit8:0:0:0:8:100:=IF(J70&lt;&gt;"",J70 - ('Shipping Program'!$D$9 + 'Shipping Program'!$F$9 + 'Shipping Program'!$H$9), "")5:5:464928:5:465395:5:465398:35:=IF(SUM(M70:N70)=0,"",SUM(M70:N70))8:0:8:0:0:0:8:0:0:0:8:0:0:0:8:48:=VLOOKUP(I70,'Shipping Program'!$A$32:$B$78,2)-15:1:68:4:=O705:1:68:6:=R70-75:5:464758:153:=IFERROR(XLOOKUP(P70,'Shipping Program'!$B$32:$B$78,'Shipping Program'!$A$32:$A$78),IFERROR(INDEX(_V7Batches!$B:$B,MATCH(P70&amp;"",_V7Batches!$A:$A,0)),""))5:5:464828:153:=IFERROR(XLOOKUP(P70,'Shipping Program'!$B$32:$B$78,'Shipping Program'!$E$32:$E$78),IFERROR(INDEX(_V7Batches!$D:$D,MATCH(P70&amp;"",_V7Batches!$A:$A,0)),""))5:5:465128:28:=S70+'Shipping Program'!$H$95:5:465198:38:=IFERROR(IF(J70*T70&lt;&gt;0,J70-T70,""),"")5:2:208:63:=IF(U70&lt;&gt;"",IF(U70&gt;28,"Too early",IF(U70&lt;14,"Too late","")),"")8:0:8:0:0:0:8:43:=IF(OFFSET(X70,1,0)="",R70,OFFSET(X70,1,0))5:5:464828:67:=IF(OFFSET(Y70,1,0)="",X70+'Shipping Program'!$F$9,OFFSET(Y70,1,0))5:5:465128:67:=IF(OFFSET(Z70,1,0)="",Y70+'Shipping Program'!$H$9,OFFSET(Z70,1,0))5:5:465198:38:=IFERROR(IF(J70*Z70&lt;&gt;0,J70-Z70,""),"")5:2:208:66:=IF(AA70&lt;&gt;"",IF(AA70&gt;28,"Too early",IF(AA70&lt;14,"Too late","")),"")8:0:8:0:0:0:8:0:0:0:8:4:Durr8:4:Durr8:3:FOB8:3:FOB8:3:F+N8:3:F+N8:45:=IF(AI70="","",AI70*AJ70*AK70/1000/1000/1000)8:0:8:0:0:0:8:0:0:0:8:0:0:0:</t>
  </si>
  <si>
    <t>8:44:=COUNTIF(J$3:OFFSET(J71,-1,0),"Subtotal:")+15:1:68:43:=IF(OFFSET(B71,1,0)&lt;&gt;"",OFFSET(B71,1,0),"")8:0:8:0:0:0:8:6:BP18308:6:BP18308:12:=LEFT(F71,3)8:3:#048:15:#04 Primer Oven8:15:#04 Primer Oven8:25:Cooling modules *2modules8:25:Cooling modules *2modules8:0:0:0:8:100:=IF(J71&lt;&gt;"",J71 - ('Shipping Program'!$D$9 + 'Shipping Program'!$F$9 + 'Shipping Program'!$H$9), "")5:5:464938:5:465405:5:465408:35:=IF(SUM(M71:N71)=0,"",SUM(M71:N71))8:0:8:0:0:0:8:0:0:0:8:0:0:0:8:48:=VLOOKUP(I71,'Shipping Program'!$A$32:$B$78,2)-15:1:68:4:=O715:1:68:6:=R71-75:5:464758:153:=IFERROR(XLOOKUP(P71,'Shipping Program'!$B$32:$B$78,'Shipping Program'!$A$32:$A$78),IFERROR(INDEX(_V7Batches!$B:$B,MATCH(P71&amp;"",_V7Batches!$A:$A,0)),""))5:5:464828:153:=IFERROR(XLOOKUP(P71,'Shipping Program'!$B$32:$B$78,'Shipping Program'!$E$32:$E$78),IFERROR(INDEX(_V7Batches!$D:$D,MATCH(P71&amp;"",_V7Batches!$A:$A,0)),""))5:5:465128:28:=S71+'Shipping Program'!$H$95:5:465198:38:=IFERROR(IF(J71*T71&lt;&gt;0,J71-T71,""),"")5:2:218:63:=IF(U71&lt;&gt;"",IF(U71&gt;28,"Too early",IF(U71&lt;14,"Too late","")),"")8:0:8:0:0:0:8:43:=IF(OFFSET(X71,1,0)="",R71,OFFSET(X71,1,0))5:5:464828:67:=IF(OFFSET(Y71,1,0)="",X71+'Shipping Program'!$F$9,OFFSET(Y71,1,0))5:5:465128:67:=IF(OFFSET(Z71,1,0)="",Y71+'Shipping Program'!$H$9,OFFSET(Z71,1,0))5:5:465198:38:=IFERROR(IF(J71*Z71&lt;&gt;0,J71-Z71,""),"")5:2:218:66:=IF(AA71&lt;&gt;"",IF(AA71&gt;28,"Too early",IF(AA71&lt;14,"Too late","")),"")8:0:8:0:0:0:8:0:0:0:8:4:Durr8:4:Durr8:3:FOB8:3:FOB8:3:F+N8:3:F+N8:45:=IF(AI71="","",AI71*AJ71*AK71/1000/1000/1000)8:0:8:0:0:0:8:0:0:0:8:0:0:0:</t>
  </si>
  <si>
    <t>8:44:=COUNTIF(J$3:OFFSET(J72,-1,0),"Subtotal:")+15:1:68:43:=IF(OFFSET(B72,1,0)&lt;&gt;"",OFFSET(B72,1,0),"")8:0:8:0:0:0:8:6:BP19608:6:BP19608:12:=LEFT(F72,3)8:3:#018:16:#01 Primer Dry-X8:16:#01 Primer Dry-X8:14:Dry X Trolleys8:14:Dry X Trolleys8:0:0:0:8:100:=IF(J72&lt;&gt;"",J72 - ('Shipping Program'!$D$9 + 'Shipping Program'!$F$9 + 'Shipping Program'!$H$9), "")5:5:464958:5:465425:5:465428:35:=IF(SUM(M72:N72)=0,"",SUM(M72:N72))8:0:8:0:0:0:8:0:0:0:8:0:0:0:8:48:=VLOOKUP(I72,'Shipping Program'!$A$32:$B$78,2)-15:1:68:4:=O725:1:68:6:=R72-75:5:464758:153:=IFERROR(XLOOKUP(P72,'Shipping Program'!$B$32:$B$78,'Shipping Program'!$A$32:$A$78),IFERROR(INDEX(_V7Batches!$B:$B,MATCH(P72&amp;"",_V7Batches!$A:$A,0)),""))5:5:464828:153:=IFERROR(XLOOKUP(P72,'Shipping Program'!$B$32:$B$78,'Shipping Program'!$E$32:$E$78),IFERROR(INDEX(_V7Batches!$D:$D,MATCH(P72&amp;"",_V7Batches!$A:$A,0)),""))5:5:465128:28:=S72+'Shipping Program'!$H$95:5:465198:38:=IFERROR(IF(J72*T72&lt;&gt;0,J72-T72,""),"")5:2:238:63:=IF(U72&lt;&gt;"",IF(U72&gt;28,"Too early",IF(U72&lt;14,"Too late","")),"")8:0:8:0:0:0:8:43:=IF(OFFSET(X72,1,0)="",R72,OFFSET(X72,1,0))5:5:464828:67:=IF(OFFSET(Y72,1,0)="",X72+'Shipping Program'!$F$9,OFFSET(Y72,1,0))5:5:465128:67:=IF(OFFSET(Z72,1,0)="",Y72+'Shipping Program'!$H$9,OFFSET(Z72,1,0))5:5:465198:38:=IFERROR(IF(J72*Z72&lt;&gt;0,J72-Z72,""),"")5:2:238:66:=IF(AA72&lt;&gt;"",IF(AA72&gt;28,"Too early",IF(AA72&lt;14,"Too late","")),"")8:0:8:0:0:0:8:0:0:0:8:4:Durr8:4:Durr8:3:FOB8:3:FOB8:3:F+N8:3:F+N8:45:=IF(AI72="","",AI72*AJ72*AK72/1000/1000/1000)8:0:8:0:0:0:8:0:0:0:8:0:0:0:</t>
  </si>
  <si>
    <t>8:44:=COUNTIF(J$3:OFFSET(J73,-1,0),"Subtotal:")+15:1:68:43:=IF(OFFSET(B73,1,0)&lt;&gt;"",OFFSET(B73,1,0),"")8:0:8:0:0:0:8:6:BP19108:6:BP19108:12:=LEFT(F73,3)8:3:#018:12:#01 TC Booth8:12:#01 TC Booth8:3:ITM8:3:ITM8:0:0:0:8:100:=IF(J73&lt;&gt;"",J73 - ('Shipping Program'!$D$9 + 'Shipping Program'!$F$9 + 'Shipping Program'!$H$9), "")5:5:464918:5:465385:5:465388:35:=IF(SUM(M73:N73)=0,"",SUM(M73:N73))8:0:8:0:0:0:8:0:0:0:8:0:0:0:8:48:=VLOOKUP(I73,'Shipping Program'!$A$32:$B$78,2)-15:1:68:4:=O735:1:68:6:=R73-75:5:464758:153:=IFERROR(XLOOKUP(P73,'Shipping Program'!$B$32:$B$78,'Shipping Program'!$A$32:$A$78),IFERROR(INDEX(_V7Batches!$B:$B,MATCH(P73&amp;"",_V7Batches!$A:$A,0)),""))5:5:464828:153:=IFERROR(XLOOKUP(P73,'Shipping Program'!$B$32:$B$78,'Shipping Program'!$E$32:$E$78),IFERROR(INDEX(_V7Batches!$D:$D,MATCH(P73&amp;"",_V7Batches!$A:$A,0)),""))5:5:465128:28:=S73+'Shipping Program'!$H$95:5:465198:38:=IFERROR(IF(J73*T73&lt;&gt;0,J73-T73,""),"")5:2:198:63:=IF(U73&lt;&gt;"",IF(U73&gt;28,"Too early",IF(U73&lt;14,"Too late","")),"")8:0:8:0:0:0:8:43:=IF(OFFSET(X73,1,0)="",R73,OFFSET(X73,1,0))5:5:464828:67:=IF(OFFSET(Y73,1,0)="",X73+'Shipping Program'!$F$9,OFFSET(Y73,1,0))5:5:465128:67:=IF(OFFSET(Z73,1,0)="",Y73+'Shipping Program'!$H$9,OFFSET(Z73,1,0))5:5:465198:38:=IFERROR(IF(J73*Z73&lt;&gt;0,J73-Z73,""),"")5:2:198:66:=IF(AA73&lt;&gt;"",IF(AA73&gt;28,"Too early",IF(AA73&lt;14,"Too late","")),"")8:0:8:0:0:0:8:0:0:0:8:4:Durr8:4:Durr8:3:CNF8:3:CNF8:2:NR8:2:NR8:45:=IF(AI73="","",AI73*AJ73*AK73/1000/1000/1000)8:0:8:0:0:0:8:0:0:0:8:0:0:0:</t>
  </si>
  <si>
    <t>8:44:=COUNTIF(J$3:OFFSET(J74,-1,0),"Subtotal:")+15:1:68:43:=IF(OFFSET(B74,1,0)&lt;&gt;"",OFFSET(B74,1,0),"")8:0:8:0:0:0:8:6:BP17008:6:BP17008:12:=LEFT(F74,3)8:3:#138:20:#13 Primer Booth RAU8:20:#13 Primer Booth RAU8:16:Regulation train8:16:Regulation train8:3:RAU8:3:RAU8:100:=IF(J74&lt;&gt;"",J74 - ('Shipping Program'!$D$9 + 'Shipping Program'!$F$9 + 'Shipping Program'!$H$9), "")5:5:464938:5:465405:5:465408:35:=IF(SUM(M74:N74)=0,"",SUM(M74:N74))8:0:8:0:0:0:8:0:0:0:8:0:0:0:8:48:=VLOOKUP(I74,'Shipping Program'!$A$32:$B$78,2)-15:1:68:4:=O745:1:68:6:=R74-75:5:464758:153:=IFERROR(XLOOKUP(P74,'Shipping Program'!$B$32:$B$78,'Shipping Program'!$A$32:$A$78),IFERROR(INDEX(_V7Batches!$B:$B,MATCH(P74&amp;"",_V7Batches!$A:$A,0)),""))5:5:464828:153:=IFERROR(XLOOKUP(P74,'Shipping Program'!$B$32:$B$78,'Shipping Program'!$E$32:$E$78),IFERROR(INDEX(_V7Batches!$D:$D,MATCH(P74&amp;"",_V7Batches!$A:$A,0)),""))5:5:465128:28:=S74+'Shipping Program'!$H$95:5:465198:38:=IFERROR(IF(J74*T74&lt;&gt;0,J74-T74,""),"")5:2:218:63:=IF(U74&lt;&gt;"",IF(U74&gt;28,"Too early",IF(U74&lt;14,"Too late","")),"")8:0:8:0:0:0:8:43:=IF(OFFSET(X74,1,0)="",R74,OFFSET(X74,1,0))5:5:464828:67:=IF(OFFSET(Y74,1,0)="",X74+'Shipping Program'!$F$9,OFFSET(Y74,1,0))5:5:465128:67:=IF(OFFSET(Z74,1,0)="",Y74+'Shipping Program'!$H$9,OFFSET(Z74,1,0))5:5:465198:38:=IFERROR(IF(J74*Z74&lt;&gt;0,J74-Z74,""),"")5:2:218:66:=IF(AA74&lt;&gt;"",IF(AA74&gt;28,"Too early",IF(AA74&lt;14,"Too late","")),"")8:0:8:0:0:0:8:0:0:0:8:4:Durr8:4:Durr8:3:CNF8:3:CNF8:2:NR8:2:NR8:45:=IF(AI74="","",AI74*AJ74*AK74/1000/1000/1000)8:0:8:0:0:0:8:0:0:0:8:0:0:0:</t>
  </si>
  <si>
    <t>8:44:=COUNTIF(J$3:OFFSET(J75,-1,0),"Subtotal:")+15:1:68:43:=IF(OFFSET(B75,1,0)&lt;&gt;"",OFFSET(B75,1,0),"")8:0:8:0:0:0:8:11:BP2110&amp;21208:11:BP2110&amp;21208:12:=LEFT(F75,3)8:3:#068:32:#06 AP001,004 PreClean,ECSandOff8:32:#06 AP001,004 PreClean,ECSandOff8:12:Floor module8:12:Floor module8:0:0:0:8:100:=IF(J75&lt;&gt;"",J75 - ('Shipping Program'!$D$9 + 'Shipping Program'!$F$9 + 'Shipping Program'!$H$9), "")5:5:464918:5:465385:5:465388:35:=IF(SUM(M75:N75)=0,"",SUM(M75:N75))8:0:8:0:0:0:8:0:0:0:8:0:0:0:8:48:=VLOOKUP(I75,'Shipping Program'!$A$32:$B$78,2)-15:1:68:4:=O755:1:68:6:=R75-75:5:464758:153:=IFERROR(XLOOKUP(P75,'Shipping Program'!$B$32:$B$78,'Shipping Program'!$A$32:$A$78),IFERROR(INDEX(_V7Batches!$B:$B,MATCH(P75&amp;"",_V7Batches!$A:$A,0)),""))5:5:464828:153:=IFERROR(XLOOKUP(P75,'Shipping Program'!$B$32:$B$78,'Shipping Program'!$E$32:$E$78),IFERROR(INDEX(_V7Batches!$D:$D,MATCH(P75&amp;"",_V7Batches!$A:$A,0)),""))5:5:465128:28:=S75+'Shipping Program'!$H$95:5:465198:38:=IFERROR(IF(J75*T75&lt;&gt;0,J75-T75,""),"")5:2:198:63:=IF(U75&lt;&gt;"",IF(U75&gt;28,"Too early",IF(U75&lt;14,"Too late","")),"")8:0:8:0:0:0:8:43:=IF(OFFSET(X75,1,0)="",R75,OFFSET(X75,1,0))5:5:464828:67:=IF(OFFSET(Y75,1,0)="",X75+'Shipping Program'!$F$9,OFFSET(Y75,1,0))5:5:465128:67:=IF(OFFSET(Z75,1,0)="",Y75+'Shipping Program'!$H$9,OFFSET(Z75,1,0))5:5:465198:38:=IFERROR(IF(J75*Z75&lt;&gt;0,J75-Z75,""),"")5:2:198:66:=IF(AA75&lt;&gt;"",IF(AA75&gt;28,"Too early",IF(AA75&lt;14,"Too late","")),"")8:0:8:0:0:0:8:0:0:0:8:4:Durr8:4:Durr8:3:FOB8:3:FOB8:2:NR8:2:NR8:45:=IF(AI75="","",AI75*AJ75*AK75/1000/1000/1000)8:0:8:0:0:0:8:0:0:0:8:0:0:0:</t>
  </si>
  <si>
    <t>8:44:=COUNTIF(J$3:OFFSET(J76,-1,0),"Subtotal:")+15:1:68:43:=IF(OFFSET(B76,1,0)&lt;&gt;"",OFFSET(B76,1,0),"")8:0:8:0:0:0:8:11:BP2110&amp;21208:11:BP2110&amp;21208:12:=LEFT(F76,3)8:3:#068:32:#06 AP001,004 PreClean,ECSandOff8:32:#06 AP001,004 PreClean,ECSandOff8:10:Floor pans8:10:Floor pans8:0:0:0:8:100:=IF(J76&lt;&gt;"",J76 - ('Shipping Program'!$D$9 + 'Shipping Program'!$F$9 + 'Shipping Program'!$H$9), "")5:5:464948:5:465415:5:465418:35:=IF(SUM(M76:N76)=0,"",SUM(M76:N76))8:0:8:0:0:0:8:0:0:0:8:0:0:0:8:48:=VLOOKUP(I76,'Shipping Program'!$A$32:$B$78,2)-15:1:68:4:=O765:1:68:6:=R76-75:5:464758:153:=IFERROR(XLOOKUP(P76,'Shipping Program'!$B$32:$B$78,'Shipping Program'!$A$32:$A$78),IFERROR(INDEX(_V7Batches!$B:$B,MATCH(P76&amp;"",_V7Batches!$A:$A,0)),""))5:5:464828:153:=IFERROR(XLOOKUP(P76,'Shipping Program'!$B$32:$B$78,'Shipping Program'!$E$32:$E$78),IFERROR(INDEX(_V7Batches!$D:$D,MATCH(P76&amp;"",_V7Batches!$A:$A,0)),""))5:5:465128:28:=S76+'Shipping Program'!$H$95:5:465198:38:=IFERROR(IF(J76*T76&lt;&gt;0,J76-T76,""),"")5:2:228:63:=IF(U76&lt;&gt;"",IF(U76&gt;28,"Too early",IF(U76&lt;14,"Too late","")),"")8:0:8:0:0:0:8:43:=IF(OFFSET(X76,1,0)="",R76,OFFSET(X76,1,0))5:5:464828:67:=IF(OFFSET(Y76,1,0)="",X76+'Shipping Program'!$F$9,OFFSET(Y76,1,0))5:5:465128:67:=IF(OFFSET(Z76,1,0)="",Y76+'Shipping Program'!$H$9,OFFSET(Z76,1,0))5:5:465198:38:=IFERROR(IF(J76*Z76&lt;&gt;0,J76-Z76,""),"")5:2:228:66:=IF(AA76&lt;&gt;"",IF(AA76&gt;28,"Too early",IF(AA76&lt;14,"Too late","")),"")8:0:8:0:0:0:8:0:0:0:8:4:Durr8:4:Durr8:3:FOB8:3:FOB8:2:NR8:2:NR8:45:=IF(AI76="","",AI76*AJ76*AK76/1000/1000/1000)8:0:8:0:0:0:8:0:0:0:8:0:0:0:</t>
  </si>
  <si>
    <t>8:44:=COUNTIF(J$3:OFFSET(J77,-1,0),"Subtotal:")+15:1:68:43:=IF(OFFSET(B77,1,0)&lt;&gt;"",OFFSET(B77,1,0),"")8:0:8:0:0:0:8:6:BP79308:6:BP79308:12:=LEFT(F77,3)8:3:#108:39:#10 CV03 EDStrip,TCSkid,Unlock,Transfer8:39:#10 CV03 EDStrip,TCSkid,Unlock,Transfer8:13:Rollerbed *808:13:Rollerbed *808:0:0:0:8:100:=IF(J77&lt;&gt;"",J77 - ('Shipping Program'!$D$9 + 'Shipping Program'!$F$9 + 'Shipping Program'!$H$9), "")5:5:464908:5:465375:5:465378:35:=IF(SUM(M77:N77)=0,"",SUM(M77:N77))8:0:8:0:0:0:8:0:0:0:8:0:0:0:8:48:=VLOOKUP(I77,'Shipping Program'!$A$32:$B$78,2)-15:1:68:4:=O775:1:68:6:=R77-75:5:464758:153:=IFERROR(XLOOKUP(P77,'Shipping Program'!$B$32:$B$78,'Shipping Program'!$A$32:$A$78),IFERROR(INDEX(_V7Batches!$B:$B,MATCH(P77&amp;"",_V7Batches!$A:$A,0)),""))5:5:464828:153:=IFERROR(XLOOKUP(P77,'Shipping Program'!$B$32:$B$78,'Shipping Program'!$E$32:$E$78),IFERROR(INDEX(_V7Batches!$D:$D,MATCH(P77&amp;"",_V7Batches!$A:$A,0)),""))5:5:465128:28:=S77+'Shipping Program'!$H$95:5:465198:38:=IFERROR(IF(J77*T77&lt;&gt;0,J77-T77,""),"")5:2:188:63:=IF(U77&lt;&gt;"",IF(U77&gt;28,"Too early",IF(U77&lt;14,"Too late","")),"")8:0:8:0:0:0:8:43:=IF(OFFSET(X77,1,0)="",R77,OFFSET(X77,1,0))5:5:464828:67:=IF(OFFSET(Y77,1,0)="",X77+'Shipping Program'!$F$9,OFFSET(Y77,1,0))5:5:465128:67:=IF(OFFSET(Z77,1,0)="",Y77+'Shipping Program'!$H$9,OFFSET(Z77,1,0))5:5:465198:38:=IFERROR(IF(J77*Z77&lt;&gt;0,J77-Z77,""),"")5:2:188:66:=IF(AA77&lt;&gt;"",IF(AA77&gt;28,"Too early",IF(AA77&lt;14,"Too late","")),"")8:0:8:0:0:0:8:0:0:0:8:4:Durr8:4:Durr8:3:FOB8:3:FOB8:2:NR8:2:NR8:45:=IF(AI77="","",AI77*AJ77*AK77/1000/1000/1000)8:0:8:0:0:0:8:0:0:0:8:0:0:0:</t>
  </si>
  <si>
    <t>8:44:=COUNTIF(J$3:OFFSET(J78,-1,0),"Subtotal:")+15:1:68:43:=IF(OFFSET(B78,1,0)&lt;&gt;"",OFFSET(B78,1,0),"")8:0:8:0:0:0:8:6:BP79308:6:BP79308:12:=LEFT(F78,3)8:3:#108:39:#10 CV03 EDStrip,TCSkid,Unlock,Transfer8:39:#10 CV03 EDStrip,TCSkid,Unlock,Transfer8:21:Cross transfer car *68:21:Cross transfer car *68:0:0:0:8:100:=IF(J78&lt;&gt;"",J78 - ('Shipping Program'!$D$9 + 'Shipping Program'!$F$9 + 'Shipping Program'!$H$9), "")5:5:464908:5:465375:5:465378:35:=IF(SUM(M78:N78)=0,"",SUM(M78:N78))8:0:8:0:0:0:8:0:0:0:8:0:0:0:8:48:=VLOOKUP(I78,'Shipping Program'!$A$32:$B$78,2)-15:1:68:4:=O785:1:68:6:=R78-75:5:464758:153:=IFERROR(XLOOKUP(P78,'Shipping Program'!$B$32:$B$78,'Shipping Program'!$A$32:$A$78),IFERROR(INDEX(_V7Batches!$B:$B,MATCH(P78&amp;"",_V7Batches!$A:$A,0)),""))5:5:464828:153:=IFERROR(XLOOKUP(P78,'Shipping Program'!$B$32:$B$78,'Shipping Program'!$E$32:$E$78),IFERROR(INDEX(_V7Batches!$D:$D,MATCH(P78&amp;"",_V7Batches!$A:$A,0)),""))5:5:465128:28:=S78+'Shipping Program'!$H$95:5:465198:38:=IFERROR(IF(J78*T78&lt;&gt;0,J78-T78,""),"")5:2:188:63:=IF(U78&lt;&gt;"",IF(U78&gt;28,"Too early",IF(U78&lt;14,"Too late","")),"")8:0:8:0:0:0:8:43:=IF(OFFSET(X78,1,0)="",R78,OFFSET(X78,1,0))5:5:464828:67:=IF(OFFSET(Y78,1,0)="",X78+'Shipping Program'!$F$9,OFFSET(Y78,1,0))5:5:465128:67:=IF(OFFSET(Z78,1,0)="",Y78+'Shipping Program'!$H$9,OFFSET(Z78,1,0))5:5:465198:38:=IFERROR(IF(J78*Z78&lt;&gt;0,J78-Z78,""),"")5:2:188:66:=IF(AA78&lt;&gt;"",IF(AA78&gt;28,"Too early",IF(AA78&lt;14,"Too late","")),"")8:0:8:0:0:0:8:0:0:0:8:4:Durr8:4:Durr8:3:FOB8:3:FOB8:2:NR8:2:NR8:45:=IF(AI78="","",AI78*AJ78*AK78/1000/1000/1000)8:0:8:0:0:0:8:0:0:0:8:0:0:0:</t>
  </si>
  <si>
    <t>8:44:=COUNTIF(J$3:OFFSET(J79,-1,0),"Subtotal:")+15:1:68:43:=IF(OFFSET(B79,1,0)&lt;&gt;"",OFFSET(B79,1,0),"")8:0:8:0:0:0:8:6:BP79308:6:BP79308:12:=LEFT(F79,3)8:3:#108:15:#10 CV04 ECOven8:15:#10 CV04 ECOven8:27:Suspension chain CV oven *18:27:Suspension chain CV oven *18:0:0:0:8:100:=IF(J79&lt;&gt;"",J79 - ('Shipping Program'!$D$9 + 'Shipping Program'!$F$9 + 'Shipping Program'!$H$9), "")5:5:464918:5:465385:5:465388:35:=IF(SUM(M79:N79)=0,"",SUM(M79:N79))8:0:8:0:0:0:8:0:0:0:8:0:0:0:8:48:=VLOOKUP(I79,'Shipping Program'!$A$32:$B$78,2)-15:1:68:4:=O795:1:68:6:=R79-75:5:464758:153:=IFERROR(XLOOKUP(P79,'Shipping Program'!$B$32:$B$78,'Shipping Program'!$A$32:$A$78),IFERROR(INDEX(_V7Batches!$B:$B,MATCH(P79&amp;"",_V7Batches!$A:$A,0)),""))5:5:464828:153:=IFERROR(XLOOKUP(P79,'Shipping Program'!$B$32:$B$78,'Shipping Program'!$E$32:$E$78),IFERROR(INDEX(_V7Batches!$D:$D,MATCH(P79&amp;"",_V7Batches!$A:$A,0)),""))5:5:465128:28:=S79+'Shipping Program'!$H$95:5:465198:38:=IFERROR(IF(J79*T79&lt;&gt;0,J79-T79,""),"")5:2:198:63:=IF(U79&lt;&gt;"",IF(U79&gt;28,"Too early",IF(U79&lt;14,"Too late","")),"")8:0:8:0:0:0:8:43:=IF(OFFSET(X79,1,0)="",R79,OFFSET(X79,1,0))5:5:464828:67:=IF(OFFSET(Y79,1,0)="",X79+'Shipping Program'!$F$9,OFFSET(Y79,1,0))5:5:465128:67:=IF(OFFSET(Z79,1,0)="",Y79+'Shipping Program'!$H$9,OFFSET(Z79,1,0))5:5:465198:38:=IFERROR(IF(J79*Z79&lt;&gt;0,J79-Z79,""),"")5:2:198:66:=IF(AA79&lt;&gt;"",IF(AA79&gt;28,"Too early",IF(AA79&lt;14,"Too late","")),"")8:0:8:0:0:0:8:0:0:0:8:4:Durr8:4:Durr8:3:FOB8:3:FOB8:2:NR8:2:NR8:45:=IF(AI79="","",AI79*AJ79*AK79/1000/1000/1000)8:0:8:0:0:0:8:0:0:0:8:0:0:0:</t>
  </si>
  <si>
    <t>8:44:=COUNTIF(J$3:OFFSET(J80,-1,0),"Subtotal:")+15:1:68:0:0:0:8:0:0:0:8:0:0:0:8:0:0:0:8:0:0:0:8:0:0:0:8:0:0:0:8:0:0:0:8:9:Subtotal:8:9:Subtotal:8:53:=SUMIF(A$3:OFFSET(A80,-1,0),A80,K$3:OFFSET(K80,-1,0))5:1:08:53:=SUMIF(A$3:OFFSET(A80,-1,0),A80,L$3:OFFSET(L80,-1,0))5:1:08:0:0:0:8:0:0:0:8:0:0:0:8:0:0:0:8:6:=R80-75:5:464758:40:=IF(J80="Subtotal:",OFFSET(R80,-1,0),"")5:5:464828:40:=IF(J80="Subtotal:",OFFSET(S80,-1,0),"")5:5:465128:40:=IF(J80="Subtotal:",OFFSET(T80,-1,0),"")5:5:465198:38:=IFERROR(IF(J80*T80&lt;&gt;0,J80-T80,""),"")8:0:8:63:=IF(U80&lt;&gt;"",IF(U80&gt;28,"Too early",IF(U80&lt;14,"Too late","")),"")8:0:8:143:=(SUMIFS($K:$K,$J:$J,"&lt;&gt;Subtotal:",$J:$J,"&gt;"&amp;S80,$S:$S,"&lt;="&amp;S80))*24*1.3+(SUMIFS($L:$L,$J:$J,"&lt;&gt;Subtotal:",$J:$J,"&gt;"&amp;S80,$S:$S,"&lt;="&amp;S80))/3*1.35:1:08:0:0:0:8:0:0:0:8:0:0:0:8:38:=IFERROR(IF(J80*Z80&lt;&gt;0,J80-Z80,""),"")8:0:8:66:=IF(AA80&lt;&gt;"",IF(AA80&gt;28,"Too early",IF(AA80&lt;14,"Too late","")),"")8:0:8:143:=(SUMIFS($K:$K,$J:$J,"&lt;&gt;Subtotal:",$J:$J,"&gt;"&amp;Y80,$Y:$Y,"&lt;="&amp;Y80))*24*1.3+(SUMIFS($L:$L,$J:$J,"&lt;&gt;Subtotal:",$J:$J,"&gt;"&amp;Y80,$Y:$Y,"&lt;="&amp;Y80))/3*1.35:1:08:0:0:0:8:0:0:0:8:0:0:0:8:0:0:0:8:0:0:0:8:0:0:0:8:0:0:0:8:0:0:0:</t>
  </si>
  <si>
    <t>8:44:=COUNTIF(J$3:OFFSET(J81,-1,0),"Subtotal:")+15:1:78:43:=IF(OFFSET(B81,1,0)&lt;&gt;"",OFFSET(B81,1,0),"")8:0:8:0:0:0:8:6:BP20108:6:BP20108:12:=LEFT(F81,3)8:3:#028:12:#02 PT Plant8:12:#02 PT Plant8:14:Air seal entry8:14:Air seal entry8:0:0:0:8:100:=IF(J81&lt;&gt;"",J81 - ('Shipping Program'!$D$9 + 'Shipping Program'!$F$9 + 'Shipping Program'!$H$9), "")5:5:464998:5:465465:5:465468:35:=IF(SUM(M81:N81)=0,"",SUM(M81:N81))8:0:8:0:0:0:8:0:0:0:8:0:0:0:8:48:=VLOOKUP(I81,'Shipping Program'!$A$32:$B$78,2)-15:1:78:4:=O815:1:78:6:=R81-75:5:464828:153:=IFERROR(XLOOKUP(P81,'Shipping Program'!$B$32:$B$78,'Shipping Program'!$A$32:$A$78),IFERROR(INDEX(_V7Batches!$B:$B,MATCH(P81&amp;"",_V7Batches!$A:$A,0)),""))5:5:464898:153:=IFERROR(XLOOKUP(P81,'Shipping Program'!$B$32:$B$78,'Shipping Program'!$E$32:$E$78),IFERROR(INDEX(_V7Batches!$D:$D,MATCH(P81&amp;"",_V7Batches!$A:$A,0)),""))5:5:465198:28:=S81+'Shipping Program'!$H$95:5:465268:38:=IFERROR(IF(J81*T81&lt;&gt;0,J81-T81,""),"")5:2:208:63:=IF(U81&lt;&gt;"",IF(U81&gt;28,"Too early",IF(U81&lt;14,"Too late","")),"")8:0:8:0:0:0:8:43:=IF(OFFSET(X81,1,0)="",R81,OFFSET(X81,1,0))5:5:464898:67:=IF(OFFSET(Y81,1,0)="",X81+'Shipping Program'!$F$9,OFFSET(Y81,1,0))5:5:465198:67:=IF(OFFSET(Z81,1,0)="",Y81+'Shipping Program'!$H$9,OFFSET(Z81,1,0))5:5:465268:38:=IFERROR(IF(J81*Z81&lt;&gt;0,J81-Z81,""),"")5:2:208:66:=IF(AA81&lt;&gt;"",IF(AA81&gt;28,"Too early",IF(AA81&lt;14,"Too late","")),"")8:0:8:0:0:0:8:0:0:0:8:4:Durr8:4:Durr8:3:FOB8:3:FOB8:2:NR8:2:NR8:45:=IF(AI81="","",AI81*AJ81*AK81/1000/1000/1000)8:0:8:0:0:0:8:0:0:0:8:0:0:0:</t>
  </si>
  <si>
    <t>8:44:=COUNTIF(J$3:OFFSET(J82,-1,0),"Subtotal:")+15:1:78:43:=IF(OFFSET(B82,1,0)&lt;&gt;"",OFFSET(B82,1,0),"")8:0:8:0:0:0:8:6:BP18308:6:BP18308:12:=LEFT(F82,3)8:3:#048:15:#04 Primer Oven8:15:#04 Primer Oven8:26:Heater Box heat-up zone *28:26:Heater Box heat-up zone *28:0:0:0:8:100:=IF(J82&lt;&gt;"",J82 - ('Shipping Program'!$D$9 + 'Shipping Program'!$F$9 + 'Shipping Program'!$H$9), "")5:5:464968:5:465435:5:465438:35:=IF(SUM(M82:N82)=0,"",SUM(M82:N82))8:0:8:0:0:0:8:0:0:0:8:0:0:0:8:48:=VLOOKUP(I82,'Shipping Program'!$A$32:$B$78,2)-15:1:78:4:=O825:1:78:6:=R82-75:5:464828:153:=IFERROR(XLOOKUP(P82,'Shipping Program'!$B$32:$B$78,'Shipping Program'!$A$32:$A$78),IFERROR(INDEX(_V7Batches!$B:$B,MATCH(P82&amp;"",_V7Batches!$A:$A,0)),""))5:5:464898:153:=IFERROR(XLOOKUP(P82,'Shipping Program'!$B$32:$B$78,'Shipping Program'!$E$32:$E$78),IFERROR(INDEX(_V7Batches!$D:$D,MATCH(P82&amp;"",_V7Batches!$A:$A,0)),""))5:5:465198:28:=S82+'Shipping Program'!$H$95:5:465268:38:=IFERROR(IF(J82*T82&lt;&gt;0,J82-T82,""),"")5:2:178:63:=IF(U82&lt;&gt;"",IF(U82&gt;28,"Too early",IF(U82&lt;14,"Too late","")),"")8:0:8:0:0:0:8:43:=IF(OFFSET(X82,1,0)="",R82,OFFSET(X82,1,0))5:5:464898:67:=IF(OFFSET(Y82,1,0)="",X82+'Shipping Program'!$F$9,OFFSET(Y82,1,0))5:5:465198:67:=IF(OFFSET(Z82,1,0)="",Y82+'Shipping Program'!$H$9,OFFSET(Z82,1,0))5:5:465268:38:=IFERROR(IF(J82*Z82&lt;&gt;0,J82-Z82,""),"")5:2:178:66:=IF(AA82&lt;&gt;"",IF(AA82&gt;28,"Too early",IF(AA82&lt;14,"Too late","")),"")8:0:8:0:0:0:8:0:0:0:8:4:Durr8:4:Durr8:3:FOB8:3:FOB8:3:F+N8:3:F+N8:45:=IF(AI82="","",AI82*AJ82*AK82/1000/1000/1000)8:0:8:0:0:0:8:0:0:0:8:0:0:0:</t>
  </si>
  <si>
    <t>8:44:=COUNTIF(J$3:OFFSET(J83,-1,0),"Subtotal:")+15:1:78:43:=IF(OFFSET(B83,1,0)&lt;&gt;"",OFFSET(B83,1,0),"")8:0:8:0:0:0:8:6:BP18308:6:BP18308:12:=LEFT(F83,3)8:3:#048:15:#04 Primer Oven8:15:#04 Primer Oven8:20:Heater Box hold zone8:20:Heater Box hold zone8:0:0:0:8:100:=IF(J83&lt;&gt;"",J83 - ('Shipping Program'!$D$9 + 'Shipping Program'!$F$9 + 'Shipping Program'!$H$9), "")5:5:464988:5:465455:5:465458:35:=IF(SUM(M83:N83)=0,"",SUM(M83:N83))8:0:8:0:0:0:8:0:0:0:8:0:0:0:8:48:=VLOOKUP(I83,'Shipping Program'!$A$32:$B$78,2)-15:1:78:4:=O835:1:78:6:=R83-75:5:464828:153:=IFERROR(XLOOKUP(P83,'Shipping Program'!$B$32:$B$78,'Shipping Program'!$A$32:$A$78),IFERROR(INDEX(_V7Batches!$B:$B,MATCH(P83&amp;"",_V7Batches!$A:$A,0)),""))5:5:464898:153:=IFERROR(XLOOKUP(P83,'Shipping Program'!$B$32:$B$78,'Shipping Program'!$E$32:$E$78),IFERROR(INDEX(_V7Batches!$D:$D,MATCH(P83&amp;"",_V7Batches!$A:$A,0)),""))5:5:465198:28:=S83+'Shipping Program'!$H$95:5:465268:38:=IFERROR(IF(J83*T83&lt;&gt;0,J83-T83,""),"")5:2:198:63:=IF(U83&lt;&gt;"",IF(U83&gt;28,"Too early",IF(U83&lt;14,"Too late","")),"")8:0:8:0:0:0:8:43:=IF(OFFSET(X83,1,0)="",R83,OFFSET(X83,1,0))5:5:464898:67:=IF(OFFSET(Y83,1,0)="",X83+'Shipping Program'!$F$9,OFFSET(Y83,1,0))5:5:465198:67:=IF(OFFSET(Z83,1,0)="",Y83+'Shipping Program'!$H$9,OFFSET(Z83,1,0))5:5:465268:38:=IFERROR(IF(J83*Z83&lt;&gt;0,J83-Z83,""),"")5:2:198:66:=IF(AA83&lt;&gt;"",IF(AA83&gt;28,"Too early",IF(AA83&lt;14,"Too late","")),"")8:0:8:0:0:0:8:0:0:0:8:4:Durr8:4:Durr8:3:FOB8:3:FOB8:3:F+N8:3:F+N8:45:=IF(AI83="","",AI83*AJ83*AK83/1000/1000/1000)8:0:8:0:0:0:8:0:0:0:8:0:0:0:</t>
  </si>
  <si>
    <t>8:44:=COUNTIF(J$3:OFFSET(J84,-1,0),"Subtotal:")+15:1:78:43:=IF(OFFSET(B84,1,0)&lt;&gt;"",OFFSET(B84,1,0),"")8:0:8:0:0:0:8:6:BP18308:6:BP18308:12:=LEFT(F84,3)8:3:#048:15:#04 Primer Oven8:15:#04 Primer Oven8:7:Coolbox8:7:Coolbox8:0:0:0:8:100:=IF(J84&lt;&gt;"",J84 - ('Shipping Program'!$D$9 + 'Shipping Program'!$F$9 + 'Shipping Program'!$H$9), "")5:5:464998:5:465465:5:465468:35:=IF(SUM(M84:N84)=0,"",SUM(M84:N84))8:0:8:0:0:0:8:0:0:0:8:0:0:0:8:48:=VLOOKUP(I84,'Shipping Program'!$A$32:$B$78,2)-15:1:78:4:=O845:1:78:6:=R84-75:5:464828:153:=IFERROR(XLOOKUP(P84,'Shipping Program'!$B$32:$B$78,'Shipping Program'!$A$32:$A$78),IFERROR(INDEX(_V7Batches!$B:$B,MATCH(P84&amp;"",_V7Batches!$A:$A,0)),""))5:5:464898:153:=IFERROR(XLOOKUP(P84,'Shipping Program'!$B$32:$B$78,'Shipping Program'!$E$32:$E$78),IFERROR(INDEX(_V7Batches!$D:$D,MATCH(P84&amp;"",_V7Batches!$A:$A,0)),""))5:5:465198:28:=S84+'Shipping Program'!$H$95:5:465268:38:=IFERROR(IF(J84*T84&lt;&gt;0,J84-T84,""),"")5:2:208:63:=IF(U84&lt;&gt;"",IF(U84&gt;28,"Too early",IF(U84&lt;14,"Too late","")),"")8:0:8:0:0:0:8:43:=IF(OFFSET(X84,1,0)="",R84,OFFSET(X84,1,0))5:5:464898:67:=IF(OFFSET(Y84,1,0)="",X84+'Shipping Program'!$F$9,OFFSET(Y84,1,0))5:5:465198:67:=IF(OFFSET(Z84,1,0)="",Y84+'Shipping Program'!$H$9,OFFSET(Z84,1,0))5:5:465268:38:=IFERROR(IF(J84*Z84&lt;&gt;0,J84-Z84,""),"")5:2:208:66:=IF(AA84&lt;&gt;"",IF(AA84&gt;28,"Too early",IF(AA84&lt;14,"Too late","")),"")8:0:8:0:0:0:8:0:0:0:8:4:Durr8:4:Durr8:3:FOB8:3:FOB8:3:F+N8:3:F+N8:45:=IF(AI84="","",AI84*AJ84*AK84/1000/1000/1000)8:0:8:0:0:0:8:0:0:0:8:0:0:0:</t>
  </si>
  <si>
    <t>8:44:=COUNTIF(J$3:OFFSET(J85,-1,0),"Subtotal:")+15:1:78:43:=IF(OFFSET(B85,1,0)&lt;&gt;"",OFFSET(B85,1,0),"")8:0:8:0:0:0:8:6:BP19758:6:BP19758:12:=LEFT(F85,3)8:3:#018:12:#01 TC Booth8:12:#01 TC Booth8:10:Floor pans8:10:Floor pans8:0:0:0:8:100:=IF(J85&lt;&gt;"",J85 - ('Shipping Program'!$D$9 + 'Shipping Program'!$F$9 + 'Shipping Program'!$H$9), "")5:5:464968:5:465435:5:465438:35:=IF(SUM(M85:N85)=0,"",SUM(M85:N85))8:0:8:0:0:0:8:0:0:0:8:0:0:0:8:48:=VLOOKUP(I85,'Shipping Program'!$A$32:$B$78,2)-15:1:78:4:=O855:1:78:6:=R85-75:5:464828:153:=IFERROR(XLOOKUP(P85,'Shipping Program'!$B$32:$B$78,'Shipping Program'!$A$32:$A$78),IFERROR(INDEX(_V7Batches!$B:$B,MATCH(P85&amp;"",_V7Batches!$A:$A,0)),""))5:5:464898:153:=IFERROR(XLOOKUP(P85,'Shipping Program'!$B$32:$B$78,'Shipping Program'!$E$32:$E$78),IFERROR(INDEX(_V7Batches!$D:$D,MATCH(P85&amp;"",_V7Batches!$A:$A,0)),""))5:5:465198:28:=S85+'Shipping Program'!$H$95:5:465268:38:=IFERROR(IF(J85*T85&lt;&gt;0,J85-T85,""),"")5:2:178:63:=IF(U85&lt;&gt;"",IF(U85&gt;28,"Too early",IF(U85&lt;14,"Too late","")),"")8:0:8:0:0:0:8:43:=IF(OFFSET(X85,1,0)="",R85,OFFSET(X85,1,0))5:5:464898:67:=IF(OFFSET(Y85,1,0)="",X85+'Shipping Program'!$F$9,OFFSET(Y85,1,0))5:5:465198:67:=IF(OFFSET(Z85,1,0)="",Y85+'Shipping Program'!$H$9,OFFSET(Z85,1,0))5:5:465268:38:=IFERROR(IF(J85*Z85&lt;&gt;0,J85-Z85,""),"")5:2:178:66:=IF(AA85&lt;&gt;"",IF(AA85&gt;28,"Too early",IF(AA85&lt;14,"Too late","")),"")8:0:8:0:0:0:8:0:0:0:8:4:Durr8:4:Durr8:3:CNF8:3:CNF8:2:NR8:2:NR8:45:=IF(AI85="","",AI85*AJ85*AK85/1000/1000/1000)8:0:8:0:0:0:8:0:0:0:8:0:0:0:</t>
  </si>
  <si>
    <t>8:44:=COUNTIF(J$3:OFFSET(J86,-1,0),"Subtotal:")+15:1:78:43:=IF(OFFSET(B86,1,0)&lt;&gt;"",OFFSET(B86,1,0),"")8:0:8:0:0:0:8:6:BP18308:6:BP18308:12:=LEFT(F86,3)8:3:#048:11:#04 TC Oven8:11:#04 TC Oven8:26:Oven module air seal entry8:26:Oven module air seal entry8:0:0:0:8:100:=IF(J86&lt;&gt;"",J86 - ('Shipping Program'!$D$9 + 'Shipping Program'!$F$9 + 'Shipping Program'!$H$9), "")5:5:465028:5:465495:5:465498:35:=IF(SUM(M86:N86)=0,"",SUM(M86:N86))8:0:8:0:0:0:8:0:0:0:8:0:0:0:8:48:=VLOOKUP(I86,'Shipping Program'!$A$32:$B$78,2)-15:1:78:4:=O865:1:78:6:=R86-75:5:464828:153:=IFERROR(XLOOKUP(P86,'Shipping Program'!$B$32:$B$78,'Shipping Program'!$A$32:$A$78),IFERROR(INDEX(_V7Batches!$B:$B,MATCH(P86&amp;"",_V7Batches!$A:$A,0)),""))5:5:464898:153:=IFERROR(XLOOKUP(P86,'Shipping Program'!$B$32:$B$78,'Shipping Program'!$E$32:$E$78),IFERROR(INDEX(_V7Batches!$D:$D,MATCH(P86&amp;"",_V7Batches!$A:$A,0)),""))5:5:465198:28:=S86+'Shipping Program'!$H$95:5:465268:38:=IFERROR(IF(J86*T86&lt;&gt;0,J86-T86,""),"")5:2:238:63:=IF(U86&lt;&gt;"",IF(U86&gt;28,"Too early",IF(U86&lt;14,"Too late","")),"")8:0:8:0:0:0:8:43:=IF(OFFSET(X86,1,0)="",R86,OFFSET(X86,1,0))5:5:464898:67:=IF(OFFSET(Y86,1,0)="",X86+'Shipping Program'!$F$9,OFFSET(Y86,1,0))5:5:465198:67:=IF(OFFSET(Z86,1,0)="",Y86+'Shipping Program'!$H$9,OFFSET(Z86,1,0))5:5:465268:38:=IFERROR(IF(J86*Z86&lt;&gt;0,J86-Z86,""),"")5:2:238:66:=IF(AA86&lt;&gt;"",IF(AA86&gt;28,"Too early",IF(AA86&lt;14,"Too late","")),"")8:0:8:0:0:0:8:0:0:0:8:4:Durr8:4:Durr8:3:FOB8:3:FOB8:3:F+N8:3:F+N8:45:=IF(AI86="","",AI86*AJ86*AK86/1000/1000/1000)8:0:8:0:0:0:8:0:0:0:8:0:0:0:</t>
  </si>
  <si>
    <t>8:44:=COUNTIF(J$3:OFFSET(J87,-1,0),"Subtotal:")+15:1:78:43:=IF(OFFSET(B87,1,0)&lt;&gt;"",OFFSET(B87,1,0),"")8:0:8:0:0:0:8:6:BP20208:6:BP20208:12:=LEFT(F87,3)8:3:#018:12:#01 TC Booth8:12:#01 TC Booth8:12:Booth walls 8:12:Booth walls 8:0:0:0:8:100:=IF(J87&lt;&gt;"",J87 - ('Shipping Program'!$D$9 + 'Shipping Program'!$F$9 + 'Shipping Program'!$H$9), "")5:5:464988:5:465455:5:465458:35:=IF(SUM(M87:N87)=0,"",SUM(M87:N87))8:0:8:0:0:0:8:0:0:0:8:0:0:0:8:48:=VLOOKUP(I87,'Shipping Program'!$A$32:$B$78,2)-15:1:78:4:=O875:1:78:6:=R87-75:5:464828:153:=IFERROR(XLOOKUP(P87,'Shipping Program'!$B$32:$B$78,'Shipping Program'!$A$32:$A$78),IFERROR(INDEX(_V7Batches!$B:$B,MATCH(P87&amp;"",_V7Batches!$A:$A,0)),""))5:5:464898:153:=IFERROR(XLOOKUP(P87,'Shipping Program'!$B$32:$B$78,'Shipping Program'!$E$32:$E$78),IFERROR(INDEX(_V7Batches!$D:$D,MATCH(P87&amp;"",_V7Batches!$A:$A,0)),""))5:5:465198:28:=S87+'Shipping Program'!$H$95:5:465268:38:=IFERROR(IF(J87*T87&lt;&gt;0,J87-T87,""),"")5:2:198:63:=IF(U87&lt;&gt;"",IF(U87&gt;28,"Too early",IF(U87&lt;14,"Too late","")),"")8:0:8:0:0:0:8:43:=IF(OFFSET(X87,1,0)="",R87,OFFSET(X87,1,0))5:5:464898:67:=IF(OFFSET(Y87,1,0)="",X87+'Shipping Program'!$F$9,OFFSET(Y87,1,0))5:5:465198:67:=IF(OFFSET(Z87,1,0)="",Y87+'Shipping Program'!$H$9,OFFSET(Z87,1,0))5:5:465268:38:=IFERROR(IF(J87*Z87&lt;&gt;0,J87-Z87,""),"")5:2:198:66:=IF(AA87&lt;&gt;"",IF(AA87&gt;28,"Too early",IF(AA87&lt;14,"Too late","")),"")8:0:8:0:0:0:8:0:0:0:8:4:Durr8:4:Durr8:3:CNF8:3:CNF8:2:NR8:2:NR8:45:=IF(AI87="","",AI87*AJ87*AK87/1000/1000/1000)8:0:8:0:0:0:8:0:0:0:8:0:0:0:</t>
  </si>
  <si>
    <t>8:44:=COUNTIF(J$3:OFFSET(J88,-1,0),"Subtotal:")+15:1:78:43:=IF(OFFSET(B88,1,0)&lt;&gt;"",OFFSET(B88,1,0),"")8:0:8:0:0:0:8:6:BP20208:6:BP20208:12:=LEFT(F88,3)8:3:#018:12:#01 TC Booth8:12:#01 TC Booth8:14:Filter ceiling8:14:Filter ceiling8:0:0:0:8:100:=IF(J88&lt;&gt;"",J88 - ('Shipping Program'!$D$9 + 'Shipping Program'!$F$9 + 'Shipping Program'!$H$9), "")5:5:464998:5:465465:5:465468:35:=IF(SUM(M88:N88)=0,"",SUM(M88:N88))8:0:8:0:0:0:8:0:0:0:8:0:0:0:8:48:=VLOOKUP(I88,'Shipping Program'!$A$32:$B$78,2)-15:1:78:4:=O885:1:78:6:=R88-75:5:464828:153:=IFERROR(XLOOKUP(P88,'Shipping Program'!$B$32:$B$78,'Shipping Program'!$A$32:$A$78),IFERROR(INDEX(_V7Batches!$B:$B,MATCH(P88&amp;"",_V7Batches!$A:$A,0)),""))5:5:464898:153:=IFERROR(XLOOKUP(P88,'Shipping Program'!$B$32:$B$78,'Shipping Program'!$E$32:$E$78),IFERROR(INDEX(_V7Batches!$D:$D,MATCH(P88&amp;"",_V7Batches!$A:$A,0)),""))5:5:465198:28:=S88+'Shipping Program'!$H$95:5:465268:38:=IFERROR(IF(J88*T88&lt;&gt;0,J88-T88,""),"")5:2:208:63:=IF(U88&lt;&gt;"",IF(U88&gt;28,"Too early",IF(U88&lt;14,"Too late","")),"")8:0:8:0:0:0:8:43:=IF(OFFSET(X88,1,0)="",R88,OFFSET(X88,1,0))5:5:464898:67:=IF(OFFSET(Y88,1,0)="",X88+'Shipping Program'!$F$9,OFFSET(Y88,1,0))5:5:465198:67:=IF(OFFSET(Z88,1,0)="",Y88+'Shipping Program'!$H$9,OFFSET(Z88,1,0))5:5:465268:38:=IFERROR(IF(J88*Z88&lt;&gt;0,J88-Z88,""),"")5:2:208:66:=IF(AA88&lt;&gt;"",IF(AA88&gt;28,"Too early",IF(AA88&lt;14,"Too late","")),"")8:0:8:0:0:0:8:0:0:0:8:4:Durr8:4:Durr8:3:CNF8:3:CNF8:2:NR8:2:NR8:45:=IF(AI88="","",AI88*AJ88*AK88/1000/1000/1000)8:0:8:0:0:0:8:0:0:0:8:0:0:0:</t>
  </si>
  <si>
    <t>8:44:=COUNTIF(J$3:OFFSET(J89,-1,0),"Subtotal:")+15:1:78:43:=IF(OFFSET(B89,1,0)&lt;&gt;"",OFFSET(B89,1,0),"")8:0:8:0:0:0:8:6:BP20208:6:BP20208:12:=LEFT(F89,3)8:3:#018:12:#01 TC Booth8:12:#01 TC Booth8:6:Plenum8:6:Plenum8:0:0:0:8:100:=IF(J89&lt;&gt;"",J89 - ('Shipping Program'!$D$9 + 'Shipping Program'!$F$9 + 'Shipping Program'!$H$9), "")5:5:464998:5:465465:5:465468:35:=IF(SUM(M89:N89)=0,"",SUM(M89:N89))8:0:8:0:0:0:8:0:0:0:8:0:0:0:8:48:=VLOOKUP(I89,'Shipping Program'!$A$32:$B$78,2)-15:1:78:4:=O895:1:78:6:=R89-75:5:464828:153:=IFERROR(XLOOKUP(P89,'Shipping Program'!$B$32:$B$78,'Shipping Program'!$A$32:$A$78),IFERROR(INDEX(_V7Batches!$B:$B,MATCH(P89&amp;"",_V7Batches!$A:$A,0)),""))5:5:464898:153:=IFERROR(XLOOKUP(P89,'Shipping Program'!$B$32:$B$78,'Shipping Program'!$E$32:$E$78),IFERROR(INDEX(_V7Batches!$D:$D,MATCH(P89&amp;"",_V7Batches!$A:$A,0)),""))5:5:465198:28:=S89+'Shipping Program'!$H$95:5:465268:38:=IFERROR(IF(J89*T89&lt;&gt;0,J89-T89,""),"")5:2:208:63:=IF(U89&lt;&gt;"",IF(U89&gt;28,"Too early",IF(U89&lt;14,"Too late","")),"")8:0:8:0:0:0:8:43:=IF(OFFSET(X89,1,0)="",R89,OFFSET(X89,1,0))5:5:464898:67:=IF(OFFSET(Y89,1,0)="",X89+'Shipping Program'!$F$9,OFFSET(Y89,1,0))5:5:465198:67:=IF(OFFSET(Z89,1,0)="",Y89+'Shipping Program'!$H$9,OFFSET(Z89,1,0))5:5:465268:38:=IFERROR(IF(J89*Z89&lt;&gt;0,J89-Z89,""),"")5:2:208:66:=IF(AA89&lt;&gt;"",IF(AA89&gt;28,"Too early",IF(AA89&lt;14,"Too late","")),"")8:0:8:0:0:0:8:0:0:0:8:4:Durr8:4:Durr8:3:CNF8:3:CNF8:2:NR8:2:NR8:45:=IF(AI89="","",AI89*AJ89*AK89/1000/1000/1000)8:0:8:0:0:0:8:0:0:0:8:0:0:0:</t>
  </si>
  <si>
    <t>8:44:=COUNTIF(J$3:OFFSET(J90,-1,0),"Subtotal:")+15:1:78:43:=IF(OFFSET(B90,1,0)&lt;&gt;"",OFFSET(B90,1,0),"")8:0:8:0:0:0:8:6:BP19608:6:BP19608:12:=LEFT(F90,3)8:3:#018:12:#01 TC Dry-X8:12:#01 TC Dry-X8:12:Dry X System8:12:Dry X System8:0:0:0:8:100:=IF(J90&lt;&gt;"",J90 - ('Shipping Program'!$D$9 + 'Shipping Program'!$F$9 + 'Shipping Program'!$H$9), "")5:5:465028:5:465495:5:465498:35:=IF(SUM(M90:N90)=0,"",SUM(M90:N90))8:0:8:0:0:0:8:0:0:0:8:0:0:0:8:48:=VLOOKUP(I90,'Shipping Program'!$A$32:$B$78,2)-15:1:78:4:=O905:1:78:6:=R90-75:5:464828:153:=IFERROR(XLOOKUP(P90,'Shipping Program'!$B$32:$B$78,'Shipping Program'!$A$32:$A$78),IFERROR(INDEX(_V7Batches!$B:$B,MATCH(P90&amp;"",_V7Batches!$A:$A,0)),""))5:5:464898:153:=IFERROR(XLOOKUP(P90,'Shipping Program'!$B$32:$B$78,'Shipping Program'!$E$32:$E$78),IFERROR(INDEX(_V7Batches!$D:$D,MATCH(P90&amp;"",_V7Batches!$A:$A,0)),""))5:5:465198:28:=S90+'Shipping Program'!$H$95:5:465268:38:=IFERROR(IF(J90*T90&lt;&gt;0,J90-T90,""),"")5:2:238:63:=IF(U90&lt;&gt;"",IF(U90&gt;28,"Too early",IF(U90&lt;14,"Too late","")),"")8:0:8:0:0:0:8:43:=IF(OFFSET(X90,1,0)="",R90,OFFSET(X90,1,0))5:5:464898:67:=IF(OFFSET(Y90,1,0)="",X90+'Shipping Program'!$F$9,OFFSET(Y90,1,0))5:5:465198:67:=IF(OFFSET(Z90,1,0)="",Y90+'Shipping Program'!$H$9,OFFSET(Z90,1,0))5:5:465268:38:=IFERROR(IF(J90*Z90&lt;&gt;0,J90-Z90,""),"")5:2:238:66:=IF(AA90&lt;&gt;"",IF(AA90&gt;28,"Too early",IF(AA90&lt;14,"Too late","")),"")8:0:8:0:0:0:8:0:0:0:8:4:Durr8:4:Durr8:3:CNF8:3:CNF8:3:F+N8:3:F+N8:45:=IF(AI90="","",AI90*AJ90*AK90/1000/1000/1000)8:0:8:0:0:0:8:0:0:0:8:0:0:0:</t>
  </si>
  <si>
    <t>8:44:=COUNTIF(J$3:OFFSET(J91,-1,0),"Subtotal:")+15:1:78:43:=IF(OFFSET(B91,1,0)&lt;&gt;"",OFFSET(B91,1,0),"")8:0:8:0:0:0:8:6:BP19508:6:BP19508:12:=LEFT(F91,3)8:3:#098:13:#09 Steelwork8:13:#09 Steelwork8:10:CV  CP5.108:10:CV  CP5.108:0:0:0:8:100:=IF(J91&lt;&gt;"",J91 - ('Shipping Program'!$D$9 + 'Shipping Program'!$F$9 + 'Shipping Program'!$H$9), "")5:5:465008:5:465475:5:465478:35:=IF(SUM(M91:N91)=0,"",SUM(M91:N91))8:0:8:0:0:0:8:0:0:0:8:0:0:0:8:48:=VLOOKUP(I91,'Shipping Program'!$A$32:$B$78,2)-15:1:78:4:=O915:1:78:6:=R91-75:5:464828:153:=IFERROR(XLOOKUP(P91,'Shipping Program'!$B$32:$B$78,'Shipping Program'!$A$32:$A$78),IFERROR(INDEX(_V7Batches!$B:$B,MATCH(P91&amp;"",_V7Batches!$A:$A,0)),""))5:5:464898:153:=IFERROR(XLOOKUP(P91,'Shipping Program'!$B$32:$B$78,'Shipping Program'!$E$32:$E$78),IFERROR(INDEX(_V7Batches!$D:$D,MATCH(P91&amp;"",_V7Batches!$A:$A,0)),""))5:5:465198:28:=S91+'Shipping Program'!$H$95:5:465268:38:=IFERROR(IF(J91*T91&lt;&gt;0,J91-T91,""),"")5:2:218:63:=IF(U91&lt;&gt;"",IF(U91&gt;28,"Too early",IF(U91&lt;14,"Too late","")),"")8:0:8:0:0:0:8:43:=IF(OFFSET(X91,1,0)="",R91,OFFSET(X91,1,0))5:5:464898:67:=IF(OFFSET(Y91,1,0)="",X91+'Shipping Program'!$F$9,OFFSET(Y91,1,0))5:5:465198:67:=IF(OFFSET(Z91,1,0)="",Y91+'Shipping Program'!$H$9,OFFSET(Z91,1,0))5:5:465268:38:=IFERROR(IF(J91*Z91&lt;&gt;0,J91-Z91,""),"")5:2:218:66:=IF(AA91&lt;&gt;"",IF(AA91&gt;28,"Too early",IF(AA91&lt;14,"Too late","")),"")8:0:8:0:0:0:8:0:0:0:8:3:AES8:3:AES8:0:0:0:8:0:0:0:8:45:=IF(AI91="","",AI91*AJ91*AK91/1000/1000/1000)8:0:8:0:0:0:8:0:0:0:8:0:0:0:</t>
  </si>
  <si>
    <t>8:44:=COUNTIF(J$3:OFFSET(J92,-1,0),"Subtotal:")+15:1:78:43:=IF(OFFSET(B92,1,0)&lt;&gt;"",OFFSET(B92,1,0),"")8:0:8:0:0:0:8:6:BP17008:6:BP17008:12:=LEFT(F92,3)8:3:#138:20:#13 Primer Booth RAU8:20:#13 Primer Booth RAU8:14:Piping package8:14:Piping package8:3:RAU8:3:RAU8:100:=IF(J92&lt;&gt;"",J92 - ('Shipping Program'!$D$9 + 'Shipping Program'!$F$9 + 'Shipping Program'!$H$9), "")5:5:465008:5:465475:5:465478:35:=IF(SUM(M92:N92)=0,"",SUM(M92:N92))8:0:8:0:0:0:8:0:0:0:8:0:0:0:8:48:=VLOOKUP(I92,'Shipping Program'!$A$32:$B$78,2)-15:1:78:4:=O925:1:78:6:=R92-75:5:464828:153:=IFERROR(XLOOKUP(P92,'Shipping Program'!$B$32:$B$78,'Shipping Program'!$A$32:$A$78),IFERROR(INDEX(_V7Batches!$B:$B,MATCH(P92&amp;"",_V7Batches!$A:$A,0)),""))5:5:464898:153:=IFERROR(XLOOKUP(P92,'Shipping Program'!$B$32:$B$78,'Shipping Program'!$E$32:$E$78),IFERROR(INDEX(_V7Batches!$D:$D,MATCH(P92&amp;"",_V7Batches!$A:$A,0)),""))5:5:465198:28:=S92+'Shipping Program'!$H$95:5:465268:38:=IFERROR(IF(J92*T92&lt;&gt;0,J92-T92,""),"")5:2:218:63:=IF(U92&lt;&gt;"",IF(U92&gt;28,"Too early",IF(U92&lt;14,"Too late","")),"")8:0:8:0:0:0:8:43:=IF(OFFSET(X92,1,0)="",R92,OFFSET(X92,1,0))5:5:464898:67:=IF(OFFSET(Y92,1,0)="",X92+'Shipping Program'!$F$9,OFFSET(Y92,1,0))5:5:465198:67:=IF(OFFSET(Z92,1,0)="",Y92+'Shipping Program'!$H$9,OFFSET(Z92,1,0))5:5:465268:38:=IFERROR(IF(J92*Z92&lt;&gt;0,J92-Z92,""),"")5:2:218:66:=IF(AA92&lt;&gt;"",IF(AA92&gt;28,"Too early",IF(AA92&lt;14,"Too late","")),"")8:0:8:0:0:0:8:0:0:0:8:3:AES8:3:AES8:0:0:0:8:0:0:0:8:45:=IF(AI92="","",AI92*AJ92*AK92/1000/1000/1000)8:0:8:0:0:0:8:0:0:0:8:0:0:0:</t>
  </si>
  <si>
    <t>8:44:=COUNTIF(J$3:OFFSET(J93,-1,0),"Subtotal:")+15:1:78:43:=IF(OFFSET(B93,1,0)&lt;&gt;"",OFFSET(B93,1,0),"")8:0:8:0:0:0:8:11:BP2110&amp;21208:11:BP2110&amp;21208:12:=LEFT(F93,3)8:3:#068:32:#06 AP001,004 PreClean,ECSandOff8:32:#06 AP001,004 PreClean,ECSandOff8:13:Booth housing8:13:Booth housing8:0:0:0:8:100:=IF(J93&lt;&gt;"",J93 - ('Shipping Program'!$D$9 + 'Shipping Program'!$F$9 + 'Shipping Program'!$H$9), "")5:5:464978:5:465445:5:465448:35:=IF(SUM(M93:N93)=0,"",SUM(M93:N93))8:0:8:0:0:0:8:0:0:0:8:0:0:0:8:48:=VLOOKUP(I93,'Shipping Program'!$A$32:$B$78,2)-15:1:78:4:=O935:1:78:6:=R93-75:5:464828:153:=IFERROR(XLOOKUP(P93,'Shipping Program'!$B$32:$B$78,'Shipping Program'!$A$32:$A$78),IFERROR(INDEX(_V7Batches!$B:$B,MATCH(P93&amp;"",_V7Batches!$A:$A,0)),""))5:5:464898:153:=IFERROR(XLOOKUP(P93,'Shipping Program'!$B$32:$B$78,'Shipping Program'!$E$32:$E$78),IFERROR(INDEX(_V7Batches!$D:$D,MATCH(P93&amp;"",_V7Batches!$A:$A,0)),""))5:5:465198:28:=S93+'Shipping Program'!$H$95:5:465268:38:=IFERROR(IF(J93*T93&lt;&gt;0,J93-T93,""),"")5:2:188:63:=IF(U93&lt;&gt;"",IF(U93&gt;28,"Too early",IF(U93&lt;14,"Too late","")),"")8:0:8:0:0:0:8:43:=IF(OFFSET(X93,1,0)="",R93,OFFSET(X93,1,0))5:5:464898:67:=IF(OFFSET(Y93,1,0)="",X93+'Shipping Program'!$F$9,OFFSET(Y93,1,0))5:5:465198:67:=IF(OFFSET(Z93,1,0)="",Y93+'Shipping Program'!$H$9,OFFSET(Z93,1,0))5:5:465268:38:=IFERROR(IF(J93*Z93&lt;&gt;0,J93-Z93,""),"")5:2:188:66:=IF(AA93&lt;&gt;"",IF(AA93&gt;28,"Too early",IF(AA93&lt;14,"Too late","")),"")8:0:8:0:0:0:8:0:0:0:8:4:Durr8:4:Durr8:3:FOB8:3:FOB8:2:NR8:2:NR8:45:=IF(AI93="","",AI93*AJ93*AK93/1000/1000/1000)8:0:8:0:0:0:8:0:0:0:8:0:0:0:</t>
  </si>
  <si>
    <t>8:44:=COUNTIF(J$3:OFFSET(J94,-1,0),"Subtotal:")+15:1:78:43:=IF(OFFSET(B94,1,0)&lt;&gt;"",OFFSET(B94,1,0),"")8:0:8:0:0:0:8:11:BP2110&amp;21208:11:BP2110&amp;21208:12:=LEFT(F94,3)8:3:#068:31:#06 AP006-009 UBS line+Transfer8:31:#06 AP006-009 UBS line+Transfer8:32:Internal ducting incl. Equipment8:32:Internal ducting incl. Equipment8:0:0:0:8:100:=IF(J94&lt;&gt;"",J94 - ('Shipping Program'!$D$9 + 'Shipping Program'!$F$9 + 'Shipping Program'!$H$9), "")5:5:464978:5:465445:5:465448:35:=IF(SUM(M94:N94)=0,"",SUM(M94:N94))8:0:8:0:0:0:8:0:0:0:8:0:0:0:8:48:=VLOOKUP(I94,'Shipping Program'!$A$32:$B$78,2)-15:1:78:4:=O945:1:78:6:=R94-75:5:464828:153:=IFERROR(XLOOKUP(P94,'Shipping Program'!$B$32:$B$78,'Shipping Program'!$A$32:$A$78),IFERROR(INDEX(_V7Batches!$B:$B,MATCH(P94&amp;"",_V7Batches!$A:$A,0)),""))5:5:464898:153:=IFERROR(XLOOKUP(P94,'Shipping Program'!$B$32:$B$78,'Shipping Program'!$E$32:$E$78),IFERROR(INDEX(_V7Batches!$D:$D,MATCH(P94&amp;"",_V7Batches!$A:$A,0)),""))5:5:465198:28:=S94+'Shipping Program'!$H$95:5:465268:38:=IFERROR(IF(J94*T94&lt;&gt;0,J94-T94,""),"")5:2:188:63:=IF(U94&lt;&gt;"",IF(U94&gt;28,"Too early",IF(U94&lt;14,"Too late","")),"")8:0:8:0:0:0:8:43:=IF(OFFSET(X94,1,0)="",R94,OFFSET(X94,1,0))5:5:464898:67:=IF(OFFSET(Y94,1,0)="",X94+'Shipping Program'!$F$9,OFFSET(Y94,1,0))5:5:465198:67:=IF(OFFSET(Z94,1,0)="",Y94+'Shipping Program'!$H$9,OFFSET(Z94,1,0))5:5:465268:38:=IFERROR(IF(J94*Z94&lt;&gt;0,J94-Z94,""),"")5:2:188:66:=IF(AA94&lt;&gt;"",IF(AA94&gt;28,"Too early",IF(AA94&lt;14,"Too late","")),"")8:0:8:0:0:0:8:0:0:0:8:4:Durr8:4:Durr8:3:FOB8:3:FOB8:2:NR8:2:NR8:45:=IF(AI94="","",AI94*AJ94*AK94/1000/1000/1000)8:0:8:0:0:0:8:0:0:0:8:0:0:0:</t>
  </si>
  <si>
    <t>8:44:=COUNTIF(J$3:OFFSET(J95,-1,0),"Subtotal:")+15:1:78:43:=IF(OFFSET(B95,1,0)&lt;&gt;"",OFFSET(B95,1,0),"")8:0:8:0:0:0:8:6:BP79308:6:BP79308:12:=LEFT(F95,3)8:3:#108:15:#10 CV04 ECOven8:15:#10 CV04 ECOven8:12:Rollerbed *58:12:Rollerbed *58:0:0:0:8:100:=IF(J95&lt;&gt;"",J95 - ('Shipping Program'!$D$9 + 'Shipping Program'!$F$9 + 'Shipping Program'!$H$9), "")5:5:464988:5:465455:5:465458:35:=IF(SUM(M95:N95)=0,"",SUM(M95:N95))8:0:8:0:0:0:8:0:0:0:8:0:0:0:8:48:=VLOOKUP(I95,'Shipping Program'!$A$32:$B$78,2)-15:1:78:4:=O955:1:78:6:=R95-75:5:464828:153:=IFERROR(XLOOKUP(P95,'Shipping Program'!$B$32:$B$78,'Shipping Program'!$A$32:$A$78),IFERROR(INDEX(_V7Batches!$B:$B,MATCH(P95&amp;"",_V7Batches!$A:$A,0)),""))5:5:464898:153:=IFERROR(XLOOKUP(P95,'Shipping Program'!$B$32:$B$78,'Shipping Program'!$E$32:$E$78),IFERROR(INDEX(_V7Batches!$D:$D,MATCH(P95&amp;"",_V7Batches!$A:$A,0)),""))5:5:465198:28:=S95+'Shipping Program'!$H$95:5:465268:38:=IFERROR(IF(J95*T95&lt;&gt;0,J95-T95,""),"")5:2:198:63:=IF(U95&lt;&gt;"",IF(U95&gt;28,"Too early",IF(U95&lt;14,"Too late","")),"")8:0:8:0:0:0:8:43:=IF(OFFSET(X95,1,0)="",R95,OFFSET(X95,1,0))5:5:464898:67:=IF(OFFSET(Y95,1,0)="",X95+'Shipping Program'!$F$9,OFFSET(Y95,1,0))5:5:465198:67:=IF(OFFSET(Z95,1,0)="",Y95+'Shipping Program'!$H$9,OFFSET(Z95,1,0))5:5:465268:38:=IFERROR(IF(J95*Z95&lt;&gt;0,J95-Z95,""),"")5:2:198:66:=IF(AA95&lt;&gt;"",IF(AA95&gt;28,"Too early",IF(AA95&lt;14,"Too late","")),"")8:0:8:0:0:0:8:0:0:0:8:4:Durr8:4:Durr8:3:FOB8:3:FOB8:2:NR8:2:NR8:45:=IF(AI95="","",AI95*AJ95*AK95/1000/1000/1000)8:0:8:0:0:0:8:0:0:0:8:0:0:0:</t>
  </si>
  <si>
    <t>8:44:=COUNTIF(J$3:OFFSET(J96,-1,0),"Subtotal:")+15:1:78:43:=IF(OFFSET(B96,1,0)&lt;&gt;"",OFFSET(B96,1,0),"")8:0:8:0:0:0:8:6:BP79308:6:BP79308:12:=LEFT(F96,3)8:3:#108:15:#10 CV04 ECOven8:15:#10 CV04 ECOven8:21:Turn and swivel table8:21:Turn and swivel table8:0:0:0:8:100:=IF(J96&lt;&gt;"",J96 - ('Shipping Program'!$D$9 + 'Shipping Program'!$F$9 + 'Shipping Program'!$H$9), "")5:5:464988:5:465455:5:465458:35:=IF(SUM(M96:N96)=0,"",SUM(M96:N96))8:0:8:0:0:0:8:0:0:0:8:0:0:0:8:48:=VLOOKUP(I96,'Shipping Program'!$A$32:$B$78,2)-15:1:78:4:=O965:1:78:6:=R96-75:5:464828:153:=IFERROR(XLOOKUP(P96,'Shipping Program'!$B$32:$B$78,'Shipping Program'!$A$32:$A$78),IFERROR(INDEX(_V7Batches!$B:$B,MATCH(P96&amp;"",_V7Batches!$A:$A,0)),""))5:5:464898:153:=IFERROR(XLOOKUP(P96,'Shipping Program'!$B$32:$B$78,'Shipping Program'!$E$32:$E$78),IFERROR(INDEX(_V7Batches!$D:$D,MATCH(P96&amp;"",_V7Batches!$A:$A,0)),""))5:5:465198:28:=S96+'Shipping Program'!$H$95:5:465268:38:=IFERROR(IF(J96*T96&lt;&gt;0,J96-T96,""),"")5:2:198:63:=IF(U96&lt;&gt;"",IF(U96&gt;28,"Too early",IF(U96&lt;14,"Too late","")),"")8:0:8:0:0:0:8:43:=IF(OFFSET(X96,1,0)="",R96,OFFSET(X96,1,0))5:5:464898:67:=IF(OFFSET(Y96,1,0)="",X96+'Shipping Program'!$F$9,OFFSET(Y96,1,0))5:5:465198:67:=IF(OFFSET(Z96,1,0)="",Y96+'Shipping Program'!$H$9,OFFSET(Z96,1,0))5:5:465268:38:=IFERROR(IF(J96*Z96&lt;&gt;0,J96-Z96,""),"")5:2:198:66:=IF(AA96&lt;&gt;"",IF(AA96&gt;28,"Too early",IF(AA96&lt;14,"Too late","")),"")8:0:8:0:0:0:8:0:0:0:8:4:Durr8:4:Durr8:3:FOB8:3:FOB8:2:NR8:2:NR8:45:=IF(AI96="","",AI96*AJ96*AK96/1000/1000/1000)8:0:8:0:0:0:8:0:0:0:8:0:0:0:</t>
  </si>
  <si>
    <t>8:44:=COUNTIF(J$3:OFFSET(J97,-1,0),"Subtotal:")+15:1:78:0:0:0:8:0:0:0:8:0:0:0:8:0:0:0:8:0:0:0:8:0:0:0:8:0:0:0:8:0:0:0:8:9:Subtotal:8:9:Subtotal:8:53:=SUMIF(A$3:OFFSET(A97,-1,0),A97,K$3:OFFSET(K97,-1,0))5:1:08:53:=SUMIF(A$3:OFFSET(A97,-1,0),A97,L$3:OFFSET(L97,-1,0))5:1:08:0:0:0:8:0:0:0:8:0:0:0:8:0:0:0:8:6:=R97-75:5:464828:40:=IF(J97="Subtotal:",OFFSET(R97,-1,0),"")5:5:464898:40:=IF(J97="Subtotal:",OFFSET(S97,-1,0),"")5:5:465198:40:=IF(J97="Subtotal:",OFFSET(T97,-1,0),"")5:5:465268:38:=IFERROR(IF(J97*T97&lt;&gt;0,J97-T97,""),"")8:0:8:63:=IF(U97&lt;&gt;"",IF(U97&gt;28,"Too early",IF(U97&lt;14,"Too late","")),"")8:0:8:143:=(SUMIFS($K:$K,$J:$J,"&lt;&gt;Subtotal:",$J:$J,"&gt;"&amp;S97,$S:$S,"&lt;="&amp;S97))*24*1.3+(SUMIFS($L:$L,$J:$J,"&lt;&gt;Subtotal:",$J:$J,"&gt;"&amp;S97,$S:$S,"&lt;="&amp;S97))/3*1.35:1:08:0:0:0:8:0:0:0:8:0:0:0:8:38:=IFERROR(IF(J97*Z97&lt;&gt;0,J97-Z97,""),"")8:0:8:66:=IF(AA97&lt;&gt;"",IF(AA97&gt;28,"Too early",IF(AA97&lt;14,"Too late","")),"")8:0:8:143:=(SUMIFS($K:$K,$J:$J,"&lt;&gt;Subtotal:",$J:$J,"&gt;"&amp;Y97,$Y:$Y,"&lt;="&amp;Y97))*24*1.3+(SUMIFS($L:$L,$J:$J,"&lt;&gt;Subtotal:",$J:$J,"&gt;"&amp;Y97,$Y:$Y,"&lt;="&amp;Y97))/3*1.35:1:08:0:0:0:8:0:0:0:8:0:0:0:8:0:0:0:8:0:0:0:8:0:0:0:8:0:0:0:8:0:0:0:</t>
  </si>
  <si>
    <t>8:44:=COUNTIF(J$3:OFFSET(J98,-1,0),"Subtotal:")+15:1:88:43:=IF(OFFSET(B98,1,0)&lt;&gt;"",OFFSET(B98,1,0),"")8:0:8:0:0:0:8:6:BP19758:6:BP19758:12:=LEFT(F98,3)8:3:#028:12:#02 PT Plant8:12:#02 PT Plant8:26:Dust protection floor pans8:26:Dust protection floor pans8:0:0:0:8:100:=IF(J98&lt;&gt;"",J98 - ('Shipping Program'!$D$9 + 'Shipping Program'!$F$9 + 'Shipping Program'!$H$9), "")5:5:465078:5:465545:5:465548:35:=IF(SUM(M98:N98)=0,"",SUM(M98:N98))8:0:8:0:0:0:8:0:0:0:8:0:0:0:8:48:=VLOOKUP(I98,'Shipping Program'!$A$32:$B$78,2)-15:1:88:4:=O985:1:88:6:=R98-75:5:464898:153:=IFERROR(XLOOKUP(P98,'Shipping Program'!$B$32:$B$78,'Shipping Program'!$A$32:$A$78),IFERROR(INDEX(_V7Batches!$B:$B,MATCH(P98&amp;"",_V7Batches!$A:$A,0)),""))5:5:464968:153:=IFERROR(XLOOKUP(P98,'Shipping Program'!$B$32:$B$78,'Shipping Program'!$E$32:$E$78),IFERROR(INDEX(_V7Batches!$D:$D,MATCH(P98&amp;"",_V7Batches!$A:$A,0)),""))5:5:465268:28:=S98+'Shipping Program'!$H$95:5:465338:38:=IFERROR(IF(J98*T98&lt;&gt;0,J98-T98,""),"")5:2:218:63:=IF(U98&lt;&gt;"",IF(U98&gt;28,"Too early",IF(U98&lt;14,"Too late","")),"")8:0:8:0:0:0:8:43:=IF(OFFSET(X98,1,0)="",R98,OFFSET(X98,1,0))5:5:464968:67:=IF(OFFSET(Y98,1,0)="",X98+'Shipping Program'!$F$9,OFFSET(Y98,1,0))5:5:465268:67:=IF(OFFSET(Z98,1,0)="",Y98+'Shipping Program'!$H$9,OFFSET(Z98,1,0))5:5:465338:38:=IFERROR(IF(J98*Z98&lt;&gt;0,J98-Z98,""),"")5:2:218:66:=IF(AA98&lt;&gt;"",IF(AA98&gt;28,"Too early",IF(AA98&lt;14,"Too late","")),"")8:0:8:0:0:0:8:0:0:0:8:4:Durr8:4:Durr8:3:FOB8:3:FOB8:2:NR8:2:NR8:45:=IF(AI98="","",AI98*AJ98*AK98/1000/1000/1000)8:0:8:0:0:0:8:0:0:0:8:0:0:0:</t>
  </si>
  <si>
    <t>8:44:=COUNTIF(J$3:OFFSET(J99,-1,0),"Subtotal:")+15:1:88:43:=IF(OFFSET(B99,1,0)&lt;&gt;"",OFFSET(B99,1,0),"")8:0:8:0:0:0:8:6:BP19758:6:BP19758:12:=LEFT(F99,3)8:3:#028:12:#02 EC Plant8:12:#02 EC Plant8:26:Dust protection floor pans8:26:Dust protection floor pans8:0:0:0:8:100:=IF(J99&lt;&gt;"",J99 - ('Shipping Program'!$D$9 + 'Shipping Program'!$F$9 + 'Shipping Program'!$H$9), "")5:5:465098:5:465565:5:465568:35:=IF(SUM(M99:N99)=0,"",SUM(M99:N99))8:0:8:0:0:0:8:0:0:0:8:0:0:0:8:48:=VLOOKUP(I99,'Shipping Program'!$A$32:$B$78,2)-15:1:88:4:=O995:1:88:6:=R99-75:5:464898:153:=IFERROR(XLOOKUP(P99,'Shipping Program'!$B$32:$B$78,'Shipping Program'!$A$32:$A$78),IFERROR(INDEX(_V7Batches!$B:$B,MATCH(P99&amp;"",_V7Batches!$A:$A,0)),""))5:5:464968:153:=IFERROR(XLOOKUP(P99,'Shipping Program'!$B$32:$B$78,'Shipping Program'!$E$32:$E$78),IFERROR(INDEX(_V7Batches!$D:$D,MATCH(P99&amp;"",_V7Batches!$A:$A,0)),""))5:5:465268:28:=S99+'Shipping Program'!$H$95:5:465338:38:=IFERROR(IF(J99*T99&lt;&gt;0,J99-T99,""),"")5:2:238:63:=IF(U99&lt;&gt;"",IF(U99&gt;28,"Too early",IF(U99&lt;14,"Too late","")),"")8:0:8:0:0:0:8:43:=IF(OFFSET(X99,1,0)="",R99,OFFSET(X99,1,0))5:5:464968:67:=IF(OFFSET(Y99,1,0)="",X99+'Shipping Program'!$F$9,OFFSET(Y99,1,0))5:5:465268:67:=IF(OFFSET(Z99,1,0)="",Y99+'Shipping Program'!$H$9,OFFSET(Z99,1,0))5:5:465338:38:=IFERROR(IF(J99*Z99&lt;&gt;0,J99-Z99,""),"")5:2:238:66:=IF(AA99&lt;&gt;"",IF(AA99&gt;28,"Too early",IF(AA99&lt;14,"Too late","")),"")8:0:8:0:0:0:8:0:0:0:8:4:Durr8:4:Durr8:3:FOB8:3:FOB8:2:NR8:2:NR8:45:=IF(AI99="","",AI99*AJ99*AK99/1000/1000/1000)8:0:8:0:0:0:8:0:0:0:8:0:0:0:</t>
  </si>
  <si>
    <t>8:45:=COUNTIF(J$3:OFFSET(J100,-1,0),"Subtotal:")+15:1:88:45:=IF(OFFSET(B100,1,0)&lt;&gt;"",OFFSET(B100,1,0),"")8:0:8:0:0:0:8:6:BP15208:6:BP15208:13:=LEFT(F100,3)8:3:#048:11:#04 EC Oven8:11:#04 EC Oven8:18:Insulation package8:18:Insulation package8:0:0:0:8:102:=IF(J100&lt;&gt;"",J100 - ('Shipping Program'!$D$9 + 'Shipping Program'!$F$9 + 'Shipping Program'!$H$9), "")5:5:465098:5:465565:5:465568:39:=IF(SUM(M100:N100)=0,"",SUM(M100:N100))8:0:8:0:0:0:8:0:0:0:8:0:0:0:8:49:=VLOOKUP(I100,'Shipping Program'!$A$32:$B$78,2)-15:1:88:5:=O1005:1:88:7:=R100-75:5:464898:155:=IFERROR(XLOOKUP(P100,'Shipping Program'!$B$32:$B$78,'Shipping Program'!$A$32:$A$78),IFERROR(INDEX(_V7Batches!$B:$B,MATCH(P100&amp;"",_V7Batches!$A:$A,0)),""))5:5:464968:155:=IFERROR(XLOOKUP(P100,'Shipping Program'!$B$32:$B$78,'Shipping Program'!$E$32:$E$78),IFERROR(INDEX(_V7Batches!$D:$D,MATCH(P100&amp;"",_V7Batches!$A:$A,0)),""))5:5:465268:29:=S100+'Shipping Program'!$H$95:5:465338:42:=IFERROR(IF(J100*T100&lt;&gt;0,J100-T100,""),"")5:2:238:66:=IF(U100&lt;&gt;"",IF(U100&gt;28,"Too early",IF(U100&lt;14,"Too late","")),"")8:0:8:0:0:0:8:46:=IF(OFFSET(X100,1,0)="",R100,OFFSET(X100,1,0))5:5:464968:70:=IF(OFFSET(Y100,1,0)="",X100+'Shipping Program'!$F$9,OFFSET(Y100,1,0))5:5:465268:70:=IF(OFFSET(Z100,1,0)="",Y100+'Shipping Program'!$H$9,OFFSET(Z100,1,0))5:5:465338:42:=IFERROR(IF(J100*Z100&lt;&gt;0,J100-Z100,""),"")5:2:238:69:=IF(AA100&lt;&gt;"",IF(AA100&gt;28,"Too early",IF(AA100&lt;14,"Too late","")),"")8:0:8:0:0:0:8:0:0:0:8:3:AES8:3:AES8:0:0:0:8:0:0:0:8:49:=IF(AI100="","",AI100*AJ100*AK100/1000/1000/1000)8:0:8:0:0:0:8:0:0:0:8:0:0:0:</t>
  </si>
  <si>
    <t>8:45:=COUNTIF(J$3:OFFSET(J101,-1,0),"Subtotal:")+15:1:88:45:=IF(OFFSET(B101,1,0)&lt;&gt;"",OFFSET(B101,1,0),"")8:0:8:0:0:0:8:6:BP18308:6:BP18308:13:=LEFT(F101,3)8:3:#048:11:#04 TC Oven8:11:#04 TC Oven8:25:Oven module air seal exit8:25:Oven module air seal exit8:0:0:0:8:102:=IF(J101&lt;&gt;"",J101 - ('Shipping Program'!$D$9 + 'Shipping Program'!$F$9 + 'Shipping Program'!$H$9), "")5:5:465098:5:465565:5:465568:39:=IF(SUM(M101:N101)=0,"",SUM(M101:N101))8:0:8:0:0:0:8:0:0:0:8:0:0:0:8:49:=VLOOKUP(I101,'Shipping Program'!$A$32:$B$78,2)-15:1:88:5:=O1015:1:88:7:=R101-75:5:464898:155:=IFERROR(XLOOKUP(P101,'Shipping Program'!$B$32:$B$78,'Shipping Program'!$A$32:$A$78),IFERROR(INDEX(_V7Batches!$B:$B,MATCH(P101&amp;"",_V7Batches!$A:$A,0)),""))5:5:464968:155:=IFERROR(XLOOKUP(P101,'Shipping Program'!$B$32:$B$78,'Shipping Program'!$E$32:$E$78),IFERROR(INDEX(_V7Batches!$D:$D,MATCH(P101&amp;"",_V7Batches!$A:$A,0)),""))5:5:465268:29:=S101+'Shipping Program'!$H$95:5:465338:42:=IFERROR(IF(J101*T101&lt;&gt;0,J101-T101,""),"")5:2:238:66:=IF(U101&lt;&gt;"",IF(U101&gt;28,"Too early",IF(U101&lt;14,"Too late","")),"")8:0:8:0:0:0:8:46:=IF(OFFSET(X101,1,0)="",R101,OFFSET(X101,1,0))5:5:464968:70:=IF(OFFSET(Y101,1,0)="",X101+'Shipping Program'!$F$9,OFFSET(Y101,1,0))5:5:465268:70:=IF(OFFSET(Z101,1,0)="",Y101+'Shipping Program'!$H$9,OFFSET(Z101,1,0))5:5:465338:42:=IFERROR(IF(J101*Z101&lt;&gt;0,J101-Z101,""),"")5:2:238:69:=IF(AA101&lt;&gt;"",IF(AA101&gt;28,"Too early",IF(AA101&lt;14,"Too late","")),"")8:0:8:0:0:0:8:0:0:0:8:4:Durr8:4:Durr8:3:FOB8:3:FOB8:3:F+N8:3:F+N8:49:=IF(AI101="","",AI101*AJ101*AK101/1000/1000/1000)8:0:8:0:0:0:8:0:0:0:8:0:0:0:</t>
  </si>
  <si>
    <t>8:45:=COUNTIF(J$3:OFFSET(J102,-1,0),"Subtotal:")+15:1:88:45:=IF(OFFSET(B102,1,0)&lt;&gt;"",OFFSET(B102,1,0),"")8:0:8:0:0:0:8:6:BP17008:6:BP17008:13:=LEFT(F102,3)8:3:#138:20:#13 Primer Booth RAU8:20:#13 Primer Booth RAU8:18:Insulation package8:18:Insulation package8:3:RAU8:3:RAU8:102:=IF(J102&lt;&gt;"",J102 - ('Shipping Program'!$D$9 + 'Shipping Program'!$F$9 + 'Shipping Program'!$H$9), "")5:5:465058:5:465525:5:465528:39:=IF(SUM(M102:N102)=0,"",SUM(M102:N102))8:0:8:0:0:0:8:0:0:0:8:0:0:0:8:49:=VLOOKUP(I102,'Shipping Program'!$A$32:$B$78,2)-15:1:88:5:=O1025:1:88:7:=R102-75:5:464898:155:=IFERROR(XLOOKUP(P102,'Shipping Program'!$B$32:$B$78,'Shipping Program'!$A$32:$A$78),IFERROR(INDEX(_V7Batches!$B:$B,MATCH(P102&amp;"",_V7Batches!$A:$A,0)),""))5:5:464968:155:=IFERROR(XLOOKUP(P102,'Shipping Program'!$B$32:$B$78,'Shipping Program'!$E$32:$E$78),IFERROR(INDEX(_V7Batches!$D:$D,MATCH(P102&amp;"",_V7Batches!$A:$A,0)),""))5:5:465268:29:=S102+'Shipping Program'!$H$95:5:465338:42:=IFERROR(IF(J102*T102&lt;&gt;0,J102-T102,""),"")5:2:198:66:=IF(U102&lt;&gt;"",IF(U102&gt;28,"Too early",IF(U102&lt;14,"Too late","")),"")8:0:8:0:0:0:8:46:=IF(OFFSET(X102,1,0)="",R102,OFFSET(X102,1,0))5:5:464968:70:=IF(OFFSET(Y102,1,0)="",X102+'Shipping Program'!$F$9,OFFSET(Y102,1,0))5:5:465268:70:=IF(OFFSET(Z102,1,0)="",Y102+'Shipping Program'!$H$9,OFFSET(Z102,1,0))5:5:465338:42:=IFERROR(IF(J102*Z102&lt;&gt;0,J102-Z102,""),"")5:2:198:69:=IF(AA102&lt;&gt;"",IF(AA102&gt;28,"Too early",IF(AA102&lt;14,"Too late","")),"")8:0:8:0:0:0:8:0:0:0:8:3:AES8:3:AES8:0:0:0:8:0:0:0:8:49:=IF(AI102="","",AI102*AJ102*AK102/1000/1000/1000)8:0:8:0:0:0:8:0:0:0:8:0:0:0:</t>
  </si>
  <si>
    <t>8:45:=COUNTIF(J$3:OFFSET(J103,-1,0),"Subtotal:")+15:1:88:45:=IF(OFFSET(B103,1,0)&lt;&gt;"",OFFSET(B103,1,0),"")8:0:8:0:0:0:8:11:BP2110&amp;21208:11:BP2110&amp;21208:13:=LEFT(F103,3)8:3:#068:32:#06 AP001,004 PreClean,ECSandOff8:32:#06 AP001,004 PreClean,ECSandOff8:32:Internal ducting incl. Equipment8:32:Internal ducting incl. Equipment8:0:0:0:8:102:=IF(J103&lt;&gt;"",J103 - ('Shipping Program'!$D$9 + 'Shipping Program'!$F$9 + 'Shipping Program'!$H$9), "")5:5:465058:5:465525:5:465528:39:=IF(SUM(M103:N103)=0,"",SUM(M103:N103))8:0:8:0:0:0:8:0:0:0:8:0:0:0:8:49:=VLOOKUP(I103,'Shipping Program'!$A$32:$B$78,2)-15:1:88:5:=O1035:1:88:7:=R103-75:5:464898:155:=IFERROR(XLOOKUP(P103,'Shipping Program'!$B$32:$B$78,'Shipping Program'!$A$32:$A$78),IFERROR(INDEX(_V7Batches!$B:$B,MATCH(P103&amp;"",_V7Batches!$A:$A,0)),""))5:5:464968:155:=IFERROR(XLOOKUP(P103,'Shipping Program'!$B$32:$B$78,'Shipping Program'!$E$32:$E$78),IFERROR(INDEX(_V7Batches!$D:$D,MATCH(P103&amp;"",_V7Batches!$A:$A,0)),""))5:5:465268:29:=S103+'Shipping Program'!$H$95:5:465338:42:=IFERROR(IF(J103*T103&lt;&gt;0,J103-T103,""),"")5:2:198:66:=IF(U103&lt;&gt;"",IF(U103&gt;28,"Too early",IF(U103&lt;14,"Too late","")),"")8:0:8:0:0:0:8:46:=IF(OFFSET(X103,1,0)="",R103,OFFSET(X103,1,0))5:5:464968:70:=IF(OFFSET(Y103,1,0)="",X103+'Shipping Program'!$F$9,OFFSET(Y103,1,0))5:5:465268:70:=IF(OFFSET(Z103,1,0)="",Y103+'Shipping Program'!$H$9,OFFSET(Z103,1,0))5:5:465338:42:=IFERROR(IF(J103*Z103&lt;&gt;0,J103-Z103,""),"")5:2:198:69:=IF(AA103&lt;&gt;"",IF(AA103&gt;28,"Too early",IF(AA103&lt;14,"Too late","")),"")8:0:8:0:0:0:8:0:0:0:8:4:Durr8:4:Durr8:3:FOB8:3:FOB8:2:NR8:2:NR8:49:=IF(AI103="","",AI103*AJ103*AK103/1000/1000/1000)8:0:8:0:0:0:8:0:0:0:8:0:0:0:</t>
  </si>
  <si>
    <t>8:45:=COUNTIF(J$3:OFFSET(J104,-1,0),"Subtotal:")+15:1:88:45:=IF(OFFSET(B104,1,0)&lt;&gt;"",OFFSET(B104,1,0),"")8:0:8:0:0:0:8:6:BP79308:6:BP79308:13:=LEFT(F104,3)8:3:#108:41:#10 CV01 DipSkid,Lock,Preclean,ECSand,UBS8:41:#10 CV01 DipSkid,Lock,Preclean,ECSand,UBS8:13:Rollerbed *568:13:Rollerbed *568:0:0:0:8:102:=IF(J104&lt;&gt;"",J104 - ('Shipping Program'!$D$9 + 'Shipping Program'!$F$9 + 'Shipping Program'!$H$9), "")5:5:465088:5:465555:5:465558:39:=IF(SUM(M104:N104)=0,"",SUM(M104:N104))8:0:8:0:0:0:8:0:0:0:8:0:0:0:8:49:=VLOOKUP(I104,'Shipping Program'!$A$32:$B$78,2)-15:1:88:5:=O1045:1:88:7:=R104-75:5:464898:155:=IFERROR(XLOOKUP(P104,'Shipping Program'!$B$32:$B$78,'Shipping Program'!$A$32:$A$78),IFERROR(INDEX(_V7Batches!$B:$B,MATCH(P104&amp;"",_V7Batches!$A:$A,0)),""))5:5:464968:155:=IFERROR(XLOOKUP(P104,'Shipping Program'!$B$32:$B$78,'Shipping Program'!$E$32:$E$78),IFERROR(INDEX(_V7Batches!$D:$D,MATCH(P104&amp;"",_V7Batches!$A:$A,0)),""))5:5:465268:29:=S104+'Shipping Program'!$H$95:5:465338:42:=IFERROR(IF(J104*T104&lt;&gt;0,J104-T104,""),"")5:2:228:66:=IF(U104&lt;&gt;"",IF(U104&gt;28,"Too early",IF(U104&lt;14,"Too late","")),"")8:0:8:0:0:0:8:46:=IF(OFFSET(X104,1,0)="",R104,OFFSET(X104,1,0))5:5:464968:70:=IF(OFFSET(Y104,1,0)="",X104+'Shipping Program'!$F$9,OFFSET(Y104,1,0))5:5:465268:70:=IF(OFFSET(Z104,1,0)="",Y104+'Shipping Program'!$H$9,OFFSET(Z104,1,0))5:5:465338:42:=IFERROR(IF(J104*Z104&lt;&gt;0,J104-Z104,""),"")5:2:228:69:=IF(AA104&lt;&gt;"",IF(AA104&gt;28,"Too early",IF(AA104&lt;14,"Too late","")),"")8:0:8:0:0:0:8:0:0:0:8:4:Durr8:4:Durr8:3:FOB8:3:FOB8:2:NR8:2:NR8:49:=IF(AI104="","",AI104*AJ104*AK104/1000/1000/1000)8:0:8:0:0:0:8:0:0:0:8:0:0:0:</t>
  </si>
  <si>
    <t>8:45:=COUNTIF(J$3:OFFSET(J105,-1,0),"Subtotal:")+15:1:88:45:=IF(OFFSET(B105,1,0)&lt;&gt;"",OFFSET(B105,1,0),"")8:0:8:0:0:0:8:6:BP79308:6:BP79308:13:=LEFT(F105,3)8:3:#108:41:#10 CV01 DipSkid,Lock,Preclean,ECSand,UBS8:41:#10 CV01 DipSkid,Lock,Preclean,ECSand,UBS8:21:Cross transfer car *68:21:Cross transfer car *68:0:0:0:8:102:=IF(J105&lt;&gt;"",J105 - ('Shipping Program'!$D$9 + 'Shipping Program'!$F$9 + 'Shipping Program'!$H$9), "")5:5:465088:5:465555:5:465558:39:=IF(SUM(M105:N105)=0,"",SUM(M105:N105))8:0:8:0:0:0:8:0:0:0:8:0:0:0:8:49:=VLOOKUP(I105,'Shipping Program'!$A$32:$B$78,2)-15:1:88:5:=O1055:1:88:7:=R105-75:5:464898:155:=IFERROR(XLOOKUP(P105,'Shipping Program'!$B$32:$B$78,'Shipping Program'!$A$32:$A$78),IFERROR(INDEX(_V7Batches!$B:$B,MATCH(P105&amp;"",_V7Batches!$A:$A,0)),""))5:5:464968:155:=IFERROR(XLOOKUP(P105,'Shipping Program'!$B$32:$B$78,'Shipping Program'!$E$32:$E$78),IFERROR(INDEX(_V7Batches!$D:$D,MATCH(P105&amp;"",_V7Batches!$A:$A,0)),""))5:5:465268:29:=S105+'Shipping Program'!$H$95:5:465338:42:=IFERROR(IF(J105*T105&lt;&gt;0,J105-T105,""),"")5:2:228:66:=IF(U105&lt;&gt;"",IF(U105&gt;28,"Too early",IF(U105&lt;14,"Too late","")),"")8:0:8:0:0:0:8:46:=IF(OFFSET(X105,1,0)="",R105,OFFSET(X105,1,0))5:5:464968:70:=IF(OFFSET(Y105,1,0)="",X105+'Shipping Program'!$F$9,OFFSET(Y105,1,0))5:5:465268:70:=IF(OFFSET(Z105,1,0)="",Y105+'Shipping Program'!$H$9,OFFSET(Z105,1,0))5:5:465338:42:=IFERROR(IF(J105*Z105&lt;&gt;0,J105-Z105,""),"")5:2:228:69:=IF(AA105&lt;&gt;"",IF(AA105&gt;28,"Too early",IF(AA105&lt;14,"Too late","")),"")8:0:8:0:0:0:8:0:0:0:8:4:Durr8:4:Durr8:3:FOB8:3:FOB8:2:NR8:2:NR8:49:=IF(AI105="","",AI105*AJ105*AK105/1000/1000/1000)8:0:8:0:0:0:8:0:0:0:8:0:0:0:</t>
  </si>
  <si>
    <t>8:45:=COUNTIF(J$3:OFFSET(J106,-1,0),"Subtotal:")+15:1:88:45:=IF(OFFSET(B106,1,0)&lt;&gt;"",OFFSET(B106,1,0),"")8:0:8:0:0:0:8:6:BP79308:6:BP79308:13:=LEFT(F106,3)8:3:#108:41:#10 CV01 DipSkid,Lock,Preclean,ECSand,UBS8:41:#10 CV01 DipSkid,Lock,Preclean,ECSand,UBS8:13:Elevator *1+28:13:Elevator *1+28:0:0:0:8:102:=IF(J106&lt;&gt;"",J106 - ('Shipping Program'!$D$9 + 'Shipping Program'!$F$9 + 'Shipping Program'!$H$9), "")5:5:465088:5:465555:5:465558:39:=IF(SUM(M106:N106)=0,"",SUM(M106:N106))8:0:8:0:0:0:8:0:0:0:8:0:0:0:8:49:=VLOOKUP(I106,'Shipping Program'!$A$32:$B$78,2)-15:1:88:5:=O1065:1:88:7:=R106-75:5:464898:155:=IFERROR(XLOOKUP(P106,'Shipping Program'!$B$32:$B$78,'Shipping Program'!$A$32:$A$78),IFERROR(INDEX(_V7Batches!$B:$B,MATCH(P106&amp;"",_V7Batches!$A:$A,0)),""))5:5:464968:155:=IFERROR(XLOOKUP(P106,'Shipping Program'!$B$32:$B$78,'Shipping Program'!$E$32:$E$78),IFERROR(INDEX(_V7Batches!$D:$D,MATCH(P106&amp;"",_V7Batches!$A:$A,0)),""))5:5:465268:29:=S106+'Shipping Program'!$H$95:5:465338:42:=IFERROR(IF(J106*T106&lt;&gt;0,J106-T106,""),"")5:2:228:66:=IF(U106&lt;&gt;"",IF(U106&gt;28,"Too early",IF(U106&lt;14,"Too late","")),"")8:0:8:0:0:0:8:46:=IF(OFFSET(X106,1,0)="",R106,OFFSET(X106,1,0))5:5:464968:70:=IF(OFFSET(Y106,1,0)="",X106+'Shipping Program'!$F$9,OFFSET(Y106,1,0))5:5:465268:70:=IF(OFFSET(Z106,1,0)="",Y106+'Shipping Program'!$H$9,OFFSET(Z106,1,0))5:5:465338:42:=IFERROR(IF(J106*Z106&lt;&gt;0,J106-Z106,""),"")5:2:228:69:=IF(AA106&lt;&gt;"",IF(AA106&gt;28,"Too early",IF(AA106&lt;14,"Too late","")),"")8:0:8:0:0:0:8:0:0:0:8:4:Durr8:4:Durr8:3:FOB8:3:FOB8:2:NR8:2:NR8:49:=IF(AI106="","",AI106*AJ106*AK106/1000/1000/1000)8:0:8:0:0:0:8:0:0:0:8:0:0:0:</t>
  </si>
  <si>
    <t>8:45:=COUNTIF(J$3:OFFSET(J107,-1,0),"Subtotal:")+15:1:88:45:=IF(OFFSET(B107,1,0)&lt;&gt;"",OFFSET(B107,1,0),"")8:0:8:0:0:0:8:6:BP79308:6:BP79308:13:=LEFT(F107,3)8:3:#108:11:#10 RoDip E8:11:#10 RoDip E8:27:RoDip transfer station exit8:27:RoDip transfer station exit8:0:0:0:8:102:=IF(J107&lt;&gt;"",J107 - ('Shipping Program'!$D$9 + 'Shipping Program'!$F$9 + 'Shipping Program'!$H$9), "")5:5:465068:5:465535:5:465538:39:=IF(SUM(M107:N107)=0,"",SUM(M107:N107))8:0:8:0:0:0:8:0:0:0:8:0:0:0:8:49:=VLOOKUP(I107,'Shipping Program'!$A$32:$B$78,2)-15:1:88:5:=O1075:1:88:7:=R107-75:5:464898:155:=IFERROR(XLOOKUP(P107,'Shipping Program'!$B$32:$B$78,'Shipping Program'!$A$32:$A$78),IFERROR(INDEX(_V7Batches!$B:$B,MATCH(P107&amp;"",_V7Batches!$A:$A,0)),""))5:5:464968:155:=IFERROR(XLOOKUP(P107,'Shipping Program'!$B$32:$B$78,'Shipping Program'!$E$32:$E$78),IFERROR(INDEX(_V7Batches!$D:$D,MATCH(P107&amp;"",_V7Batches!$A:$A,0)),""))5:5:465268:29:=S107+'Shipping Program'!$H$95:5:465338:42:=IFERROR(IF(J107*T107&lt;&gt;0,J107-T107,""),"")5:2:208:66:=IF(U107&lt;&gt;"",IF(U107&gt;28,"Too early",IF(U107&lt;14,"Too late","")),"")8:0:8:0:0:0:8:46:=IF(OFFSET(X107,1,0)="",R107,OFFSET(X107,1,0))5:5:464968:70:=IF(OFFSET(Y107,1,0)="",X107+'Shipping Program'!$F$9,OFFSET(Y107,1,0))5:5:465268:70:=IF(OFFSET(Z107,1,0)="",Y107+'Shipping Program'!$H$9,OFFSET(Z107,1,0))5:5:465338:42:=IFERROR(IF(J107*Z107&lt;&gt;0,J107-Z107,""),"")5:2:208:69:=IF(AA107&lt;&gt;"",IF(AA107&gt;28,"Too early",IF(AA107&lt;14,"Too late","")),"")8:0:8:0:0:0:8:0:0:0:8:4:Durr8:4:Durr8:3:FOB8:3:FOB8:2:NR8:2:NR8:49:=IF(AI107="","",AI107*AJ107*AK107/1000/1000/1000)8:0:8:0:0:0:8:0:0:0:8:0:0:0:</t>
  </si>
  <si>
    <t>8:45:=COUNTIF(J$3:OFFSET(J108,-1,0),"Subtotal:")+15:1:88:45:=IF(OFFSET(B108,1,0)&lt;&gt;"",OFFSET(B108,1,0),"")8:0:8:0:0:0:8:6:BP79308:6:BP79308:13:=LEFT(F108,3)8:3:#108:39:#10 CV03 EDStrip,TCSkid,Unlock,Transfer8:39:#10 CV03 EDStrip,TCSkid,Unlock,Transfer8:24:Turn and swivel table *28:24:Turn and swivel table *28:0:0:0:8:102:=IF(J108&lt;&gt;"",J108 - ('Shipping Program'!$D$9 + 'Shipping Program'!$F$9 + 'Shipping Program'!$H$9), "")5:5:465048:5:465515:5:465518:39:=IF(SUM(M108:N108)=0,"",SUM(M108:N108))8:0:8:0:0:0:8:0:0:0:8:0:0:0:8:49:=VLOOKUP(I108,'Shipping Program'!$A$32:$B$78,2)-15:1:88:5:=O1085:1:88:7:=R108-75:5:464898:155:=IFERROR(XLOOKUP(P108,'Shipping Program'!$B$32:$B$78,'Shipping Program'!$A$32:$A$78),IFERROR(INDEX(_V7Batches!$B:$B,MATCH(P108&amp;"",_V7Batches!$A:$A,0)),""))5:5:464968:155:=IFERROR(XLOOKUP(P108,'Shipping Program'!$B$32:$B$78,'Shipping Program'!$E$32:$E$78),IFERROR(INDEX(_V7Batches!$D:$D,MATCH(P108&amp;"",_V7Batches!$A:$A,0)),""))5:5:465268:29:=S108+'Shipping Program'!$H$95:5:465338:42:=IFERROR(IF(J108*T108&lt;&gt;0,J108-T108,""),"")5:2:188:66:=IF(U108&lt;&gt;"",IF(U108&gt;28,"Too early",IF(U108&lt;14,"Too late","")),"")8:0:8:0:0:0:8:46:=IF(OFFSET(X108,1,0)="",R108,OFFSET(X108,1,0))5:5:464968:70:=IF(OFFSET(Y108,1,0)="",X108+'Shipping Program'!$F$9,OFFSET(Y108,1,0))5:5:465268:70:=IF(OFFSET(Z108,1,0)="",Y108+'Shipping Program'!$H$9,OFFSET(Z108,1,0))5:5:465338:42:=IFERROR(IF(J108*Z108&lt;&gt;0,J108-Z108,""),"")5:2:188:69:=IF(AA108&lt;&gt;"",IF(AA108&gt;28,"Too early",IF(AA108&lt;14,"Too late","")),"")8:0:8:0:0:0:8:0:0:0:8:4:Durr8:4:Durr8:3:FOB8:3:FOB8:2:NR8:2:NR8:49:=IF(AI108="","",AI108*AJ108*AK108/1000/1000/1000)8:0:8:0:0:0:8:0:0:0:8:0:0:0:</t>
  </si>
  <si>
    <t>8:45:=COUNTIF(J$3:OFFSET(J109,-1,0),"Subtotal:")+15:1:88:45:=IF(OFFSET(B109,1,0)&lt;&gt;"",OFFSET(B109,1,0),"")8:0:8:0:0:0:8:6:BP79308:6:BP79308:13:=LEFT(F109,3)8:3:#108:39:#10 CV03 EDStrip,TCSkid,Unlock,Transfer8:39:#10 CV03 EDStrip,TCSkid,Unlock,Transfer8:18:Scissor lift table8:18:Scissor lift table8:0:0:0:8:102:=IF(J109&lt;&gt;"",J109 - ('Shipping Program'!$D$9 + 'Shipping Program'!$F$9 + 'Shipping Program'!$H$9), "")5:5:465058:5:465525:5:465528:39:=IF(SUM(M109:N109)=0,"",SUM(M109:N109))8:0:8:0:0:0:8:0:0:0:8:0:0:0:8:49:=VLOOKUP(I109,'Shipping Program'!$A$32:$B$78,2)-15:1:88:5:=O1095:1:88:7:=R109-75:5:464898:155:=IFERROR(XLOOKUP(P109,'Shipping Program'!$B$32:$B$78,'Shipping Program'!$A$32:$A$78),IFERROR(INDEX(_V7Batches!$B:$B,MATCH(P109&amp;"",_V7Batches!$A:$A,0)),""))5:5:464968:155:=IFERROR(XLOOKUP(P109,'Shipping Program'!$B$32:$B$78,'Shipping Program'!$E$32:$E$78),IFERROR(INDEX(_V7Batches!$D:$D,MATCH(P109&amp;"",_V7Batches!$A:$A,0)),""))5:5:465268:29:=S109+'Shipping Program'!$H$95:5:465338:42:=IFERROR(IF(J109*T109&lt;&gt;0,J109-T109,""),"")5:2:198:66:=IF(U109&lt;&gt;"",IF(U109&gt;28,"Too early",IF(U109&lt;14,"Too late","")),"")8:0:8:0:0:0:8:46:=IF(OFFSET(X109,1,0)="",R109,OFFSET(X109,1,0))5:5:464968:70:=IF(OFFSET(Y109,1,0)="",X109+'Shipping Program'!$F$9,OFFSET(Y109,1,0))5:5:465268:70:=IF(OFFSET(Z109,1,0)="",Y109+'Shipping Program'!$H$9,OFFSET(Z109,1,0))5:5:465338:42:=IFERROR(IF(J109*Z109&lt;&gt;0,J109-Z109,""),"")5:2:198:69:=IF(AA109&lt;&gt;"",IF(AA109&gt;28,"Too early",IF(AA109&lt;14,"Too late","")),"")8:0:8:0:0:0:8:0:0:0:8:4:Durr8:4:Durr8:3:FOB8:3:FOB8:2:NR8:2:NR8:49:=IF(AI109="","",AI109*AJ109*AK109/1000/1000/1000)8:0:8:0:0:0:8:0:0:0:8:0:0:0:</t>
  </si>
  <si>
    <t>8:45:=COUNTIF(J$3:OFFSET(J110,-1,0),"Subtotal:")+15:1:88:45:=IF(OFFSET(B110,1,0)&lt;&gt;"",OFFSET(B110,1,0),"")8:0:8:0:0:0:8:6:BP79308:6:BP79308:13:=LEFT(F110,3)8:3:#108:39:#10 CV03 EDStrip,TCSkid,Unlock,Transfer8:39:#10 CV03 EDStrip,TCSkid,Unlock,Transfer8:24:Body transfer station *18:24:Body transfer station *18:0:0:0:8:102:=IF(J110&lt;&gt;"",J110 - ('Shipping Program'!$D$9 + 'Shipping Program'!$F$9 + 'Shipping Program'!$H$9), "")5:5:465058:5:465525:5:465528:39:=IF(SUM(M110:N110)=0,"",SUM(M110:N110))8:0:8:0:0:0:8:0:0:0:8:0:0:0:8:49:=VLOOKUP(I110,'Shipping Program'!$A$32:$B$78,2)-15:1:88:5:=O1105:1:88:7:=R110-75:5:464898:155:=IFERROR(XLOOKUP(P110,'Shipping Program'!$B$32:$B$78,'Shipping Program'!$A$32:$A$78),IFERROR(INDEX(_V7Batches!$B:$B,MATCH(P110&amp;"",_V7Batches!$A:$A,0)),""))5:5:464968:155:=IFERROR(XLOOKUP(P110,'Shipping Program'!$B$32:$B$78,'Shipping Program'!$E$32:$E$78),IFERROR(INDEX(_V7Batches!$D:$D,MATCH(P110&amp;"",_V7Batches!$A:$A,0)),""))5:5:465268:29:=S110+'Shipping Program'!$H$95:5:465338:42:=IFERROR(IF(J110*T110&lt;&gt;0,J110-T110,""),"")5:2:198:66:=IF(U110&lt;&gt;"",IF(U110&gt;28,"Too early",IF(U110&lt;14,"Too late","")),"")8:0:8:0:0:0:8:46:=IF(OFFSET(X110,1,0)="",R110,OFFSET(X110,1,0))5:5:464968:70:=IF(OFFSET(Y110,1,0)="",X110+'Shipping Program'!$F$9,OFFSET(Y110,1,0))5:5:465268:70:=IF(OFFSET(Z110,1,0)="",Y110+'Shipping Program'!$H$9,OFFSET(Z110,1,0))5:5:465338:42:=IFERROR(IF(J110*Z110&lt;&gt;0,J110-Z110,""),"")5:2:198:69:=IF(AA110&lt;&gt;"",IF(AA110&gt;28,"Too early",IF(AA110&lt;14,"Too late","")),"")8:0:8:0:0:0:8:0:0:0:8:4:Durr8:4:Durr8:3:FOB8:3:FOB8:2:NR8:2:NR8:49:=IF(AI110="","",AI110*AJ110*AK110/1000/1000/1000)8:0:8:0:0:0:8:0:0:0:8:0:0:0:</t>
  </si>
  <si>
    <t>8:45:=COUNTIF(J$3:OFFSET(J111,-1,0),"Subtotal:")+15:1:88:45:=IF(OFFSET(B111,1,0)&lt;&gt;"",OFFSET(B111,1,0),"")8:0:8:0:0:0:8:6:BP79308:6:BP79308:13:=LEFT(F111,3)8:3:#108:39:#10 CV03 EDStrip,TCSkid,Unlock,Transfer8:39:#10 CV03 EDStrip,TCSkid,Unlock,Transfer8:22:Body locking device *18:22:Body locking device *18:0:0:0:8:102:=IF(J111&lt;&gt;"",J111 - ('Shipping Program'!$D$9 + 'Shipping Program'!$F$9 + 'Shipping Program'!$H$9), "")5:5:465058:5:465525:5:465528:39:=IF(SUM(M111:N111)=0,"",SUM(M111:N111))8:0:8:0:0:0:8:0:0:0:8:0:0:0:8:49:=VLOOKUP(I111,'Shipping Program'!$A$32:$B$78,2)-15:1:88:5:=O1115:1:88:7:=R111-75:5:464898:155:=IFERROR(XLOOKUP(P111,'Shipping Program'!$B$32:$B$78,'Shipping Program'!$A$32:$A$78),IFERROR(INDEX(_V7Batches!$B:$B,MATCH(P111&amp;"",_V7Batches!$A:$A,0)),""))5:5:464968:155:=IFERROR(XLOOKUP(P111,'Shipping Program'!$B$32:$B$78,'Shipping Program'!$E$32:$E$78),IFERROR(INDEX(_V7Batches!$D:$D,MATCH(P111&amp;"",_V7Batches!$A:$A,0)),""))5:5:465268:29:=S111+'Shipping Program'!$H$95:5:465338:42:=IFERROR(IF(J111*T111&lt;&gt;0,J111-T111,""),"")5:2:198:66:=IF(U111&lt;&gt;"",IF(U111&gt;28,"Too early",IF(U111&lt;14,"Too late","")),"")8:0:8:0:0:0:8:46:=IF(OFFSET(X111,1,0)="",R111,OFFSET(X111,1,0))5:5:464968:70:=IF(OFFSET(Y111,1,0)="",X111+'Shipping Program'!$F$9,OFFSET(Y111,1,0))5:5:465268:70:=IF(OFFSET(Z111,1,0)="",Y111+'Shipping Program'!$H$9,OFFSET(Z111,1,0))5:5:465338:42:=IFERROR(IF(J111*Z111&lt;&gt;0,J111-Z111,""),"")5:2:198:69:=IF(AA111&lt;&gt;"",IF(AA111&gt;28,"Too early",IF(AA111&lt;14,"Too late","")),"")8:0:8:0:0:0:8:0:0:0:8:4:Durr8:4:Durr8:3:FOB8:3:FOB8:2:NR8:2:NR8:49:=IF(AI111="","",AI111*AJ111*AK111/1000/1000/1000)8:0:8:0:0:0:8:0:0:0:8:0:0:0:</t>
  </si>
  <si>
    <t>8:45:=COUNTIF(J$3:OFFSET(J112,-1,0),"Subtotal:")+15:1:88:45:=IF(OFFSET(B112,1,0)&lt;&gt;"",OFFSET(B112,1,0),"")8:0:8:0:0:0:8:6:BP79308:6:BP79308:13:=LEFT(F112,3)8:3:#108:39:#10 CV03 EDStrip,TCSkid,Unlock,Transfer8:39:#10 CV03 EDStrip,TCSkid,Unlock,Transfer8:14:Skid fixing *28:14:Skid fixing *28:0:0:0:8:102:=IF(J112&lt;&gt;"",J112 - ('Shipping Program'!$D$9 + 'Shipping Program'!$F$9 + 'Shipping Program'!$H$9), "")5:5:465058:5:465525:5:465528:39:=IF(SUM(M112:N112)=0,"",SUM(M112:N112))8:0:8:0:0:0:8:0:0:0:8:0:0:0:8:49:=VLOOKUP(I112,'Shipping Program'!$A$32:$B$78,2)-15:1:88:5:=O1125:1:88:7:=R112-75:5:464898:155:=IFERROR(XLOOKUP(P112,'Shipping Program'!$B$32:$B$78,'Shipping Program'!$A$32:$A$78),IFERROR(INDEX(_V7Batches!$B:$B,MATCH(P112&amp;"",_V7Batches!$A:$A,0)),""))5:5:464968:155:=IFERROR(XLOOKUP(P112,'Shipping Program'!$B$32:$B$78,'Shipping Program'!$E$32:$E$78),IFERROR(INDEX(_V7Batches!$D:$D,MATCH(P112&amp;"",_V7Batches!$A:$A,0)),""))5:5:465268:29:=S112+'Shipping Program'!$H$95:5:465338:42:=IFERROR(IF(J112*T112&lt;&gt;0,J112-T112,""),"")5:2:198:66:=IF(U112&lt;&gt;"",IF(U112&gt;28,"Too early",IF(U112&lt;14,"Too late","")),"")8:0:8:0:0:0:8:46:=IF(OFFSET(X112,1,0)="",R112,OFFSET(X112,1,0))5:5:464968:70:=IF(OFFSET(Y112,1,0)="",X112+'Shipping Program'!$F$9,OFFSET(Y112,1,0))5:5:465268:70:=IF(OFFSET(Z112,1,0)="",Y112+'Shipping Program'!$H$9,OFFSET(Z112,1,0))5:5:465338:42:=IFERROR(IF(J112*Z112&lt;&gt;0,J112-Z112,""),"")5:2:198:69:=IF(AA112&lt;&gt;"",IF(AA112&gt;28,"Too early",IF(AA112&lt;14,"Too late","")),"")8:0:8:0:0:0:8:0:0:0:8:4:Durr8:4:Durr8:3:FOB8:3:FOB8:2:NR8:2:NR8:49:=IF(AI112="","",AI112*AJ112*AK112/1000/1000/1000)8:0:8:0:0:0:8:0:0:0:8:0:0:0:</t>
  </si>
  <si>
    <t>8:45:=COUNTIF(J$3:OFFSET(J113,-1,0),"Subtotal:")+15:1:88:45:=IF(OFFSET(B113,1,0)&lt;&gt;"",OFFSET(B113,1,0),"")8:0:8:0:0:0:8:6:BP79308:6:BP79308:13:=LEFT(F113,3)8:3:#108:39:#10 CV03 EDStrip,TCSkid,Unlock,Transfer8:39:#10 CV03 EDStrip,TCSkid,Unlock,Transfer8:15:Skid stacker *18:15:Skid stacker *18:0:0:0:8:102:=IF(J113&lt;&gt;"",J113 - ('Shipping Program'!$D$9 + 'Shipping Program'!$F$9 + 'Shipping Program'!$H$9), "")5:5:465058:5:465525:5:465528:39:=IF(SUM(M113:N113)=0,"",SUM(M113:N113))8:0:8:0:0:0:8:0:0:0:8:0:0:0:8:49:=VLOOKUP(I113,'Shipping Program'!$A$32:$B$78,2)-15:1:88:5:=O1135:1:88:7:=R113-75:5:464898:155:=IFERROR(XLOOKUP(P113,'Shipping Program'!$B$32:$B$78,'Shipping Program'!$A$32:$A$78),IFERROR(INDEX(_V7Batches!$B:$B,MATCH(P113&amp;"",_V7Batches!$A:$A,0)),""))5:5:464968:155:=IFERROR(XLOOKUP(P113,'Shipping Program'!$B$32:$B$78,'Shipping Program'!$E$32:$E$78),IFERROR(INDEX(_V7Batches!$D:$D,MATCH(P113&amp;"",_V7Batches!$A:$A,0)),""))5:5:465268:29:=S113+'Shipping Program'!$H$95:5:465338:42:=IFERROR(IF(J113*T113&lt;&gt;0,J113-T113,""),"")5:2:198:66:=IF(U113&lt;&gt;"",IF(U113&gt;28,"Too early",IF(U113&lt;14,"Too late","")),"")8:0:8:0:0:0:8:46:=IF(OFFSET(X113,1,0)="",R113,OFFSET(X113,1,0))5:5:464968:70:=IF(OFFSET(Y113,1,0)="",X113+'Shipping Program'!$F$9,OFFSET(Y113,1,0))5:5:465268:70:=IF(OFFSET(Z113,1,0)="",Y113+'Shipping Program'!$H$9,OFFSET(Z113,1,0))5:5:465338:42:=IFERROR(IF(J113*Z113&lt;&gt;0,J113-Z113,""),"")5:2:198:69:=IF(AA113&lt;&gt;"",IF(AA113&gt;28,"Too early",IF(AA113&lt;14,"Too late","")),"")8:0:8:0:0:0:8:0:0:0:8:4:Durr8:4:Durr8:3:FOB8:3:FOB8:2:NR8:2:NR8:49:=IF(AI113="","",AI113*AJ113*AK113/1000/1000/1000)8:0:8:0:0:0:8:0:0:0:8:0:0:0:</t>
  </si>
  <si>
    <t>8:45:=COUNTIF(J$3:OFFSET(J114,-1,0),"Subtotal:")+15:1:88:45:=IF(OFFSET(B114,1,0)&lt;&gt;"",OFFSET(B114,1,0),"")8:0:8:0:0:0:8:6:BP79308:6:BP79308:13:=LEFT(F114,3)8:3:#108:25:#10 CV05 PrimerBooth&amp;Oven8:25:#10 CV05 PrimerBooth&amp;Oven8:12:Rollerbed *78:12:Rollerbed *78:0:0:0:8:102:=IF(J114&lt;&gt;"",J114 - ('Shipping Program'!$D$9 + 'Shipping Program'!$F$9 + 'Shipping Program'!$H$9), "")5:5:465048:5:465515:5:465518:39:=IF(SUM(M114:N114)=0,"",SUM(M114:N114))8:0:8:0:0:0:8:0:0:0:8:0:0:0:8:49:=VLOOKUP(I114,'Shipping Program'!$A$32:$B$78,2)-15:1:88:5:=O1145:1:88:7:=R114-75:5:464898:155:=IFERROR(XLOOKUP(P114,'Shipping Program'!$B$32:$B$78,'Shipping Program'!$A$32:$A$78),IFERROR(INDEX(_V7Batches!$B:$B,MATCH(P114&amp;"",_V7Batches!$A:$A,0)),""))5:5:464968:155:=IFERROR(XLOOKUP(P114,'Shipping Program'!$B$32:$B$78,'Shipping Program'!$E$32:$E$78),IFERROR(INDEX(_V7Batches!$D:$D,MATCH(P114&amp;"",_V7Batches!$A:$A,0)),""))5:5:465268:29:=S114+'Shipping Program'!$H$95:5:465338:42:=IFERROR(IF(J114*T114&lt;&gt;0,J114-T114,""),"")5:2:188:66:=IF(U114&lt;&gt;"",IF(U114&gt;28,"Too early",IF(U114&lt;14,"Too late","")),"")8:0:8:0:0:0:8:46:=IF(OFFSET(X114,1,0)="",R114,OFFSET(X114,1,0))5:5:464968:70:=IF(OFFSET(Y114,1,0)="",X114+'Shipping Program'!$F$9,OFFSET(Y114,1,0))5:5:465268:70:=IF(OFFSET(Z114,1,0)="",Y114+'Shipping Program'!$H$9,OFFSET(Z114,1,0))5:5:465338:42:=IFERROR(IF(J114*Z114&lt;&gt;0,J114-Z114,""),"")5:2:188:69:=IF(AA114&lt;&gt;"",IF(AA114&gt;28,"Too early",IF(AA114&lt;14,"Too late","")),"")8:0:8:0:0:0:8:0:0:0:8:4:Durr8:4:Durr8:3:FOB8:3:FOB8:2:NR8:2:NR8:49:=IF(AI114="","",AI114*AJ114*AK114/1000/1000/1000)8:0:8:0:0:0:8:0:0:0:8:0:0:0:</t>
  </si>
  <si>
    <t>8:45:=COUNTIF(J$3:OFFSET(J115,-1,0),"Subtotal:")+15:1:88:45:=IF(OFFSET(B115,1,0)&lt;&gt;"",OFFSET(B115,1,0),"")8:0:8:0:0:0:8:6:BP79308:6:BP79308:13:=LEFT(F115,3)8:3:#108:25:#10 CV05 PrimerBooth&amp;Oven8:25:#10 CV05 PrimerBooth&amp;Oven8:27:Suspension chain CV oven *18:27:Suspension chain CV oven *18:0:0:0:8:102:=IF(J115&lt;&gt;"",J115 - ('Shipping Program'!$D$9 + 'Shipping Program'!$F$9 + 'Shipping Program'!$H$9), "")5:5:465048:5:465515:5:465518:39:=IF(SUM(M115:N115)=0,"",SUM(M115:N115))8:0:8:0:0:0:8:0:0:0:8:0:0:0:8:49:=VLOOKUP(I115,'Shipping Program'!$A$32:$B$78,2)-15:1:88:5:=O1155:1:88:7:=R115-75:5:464898:155:=IFERROR(XLOOKUP(P115,'Shipping Program'!$B$32:$B$78,'Shipping Program'!$A$32:$A$78),IFERROR(INDEX(_V7Batches!$B:$B,MATCH(P115&amp;"",_V7Batches!$A:$A,0)),""))5:5:464968:155:=IFERROR(XLOOKUP(P115,'Shipping Program'!$B$32:$B$78,'Shipping Program'!$E$32:$E$78),IFERROR(INDEX(_V7Batches!$D:$D,MATCH(P115&amp;"",_V7Batches!$A:$A,0)),""))5:5:465268:29:=S115+'Shipping Program'!$H$95:5:465338:42:=IFERROR(IF(J115*T115&lt;&gt;0,J115-T115,""),"")5:2:188:66:=IF(U115&lt;&gt;"",IF(U115&gt;28,"Too early",IF(U115&lt;14,"Too late","")),"")8:0:8:0:0:0:8:46:=IF(OFFSET(X115,1,0)="",R115,OFFSET(X115,1,0))5:5:464968:70:=IF(OFFSET(Y115,1,0)="",X115+'Shipping Program'!$F$9,OFFSET(Y115,1,0))5:5:465268:70:=IF(OFFSET(Z115,1,0)="",Y115+'Shipping Program'!$H$9,OFFSET(Z115,1,0))5:5:465338:42:=IFERROR(IF(J115*Z115&lt;&gt;0,J115-Z115,""),"")5:2:188:69:=IF(AA115&lt;&gt;"",IF(AA115&gt;28,"Too early",IF(AA115&lt;14,"Too late","")),"")8:0:8:0:0:0:8:0:0:0:8:4:Durr8:4:Durr8:3:FOB8:3:FOB8:2:NR8:2:NR8:49:=IF(AI115="","",AI115*AJ115*AK115/1000/1000/1000)8:0:8:0:0:0:8:0:0:0:8:0:0:0:</t>
  </si>
  <si>
    <t>8:45:=COUNTIF(J$3:OFFSET(J116,-1,0),"Subtotal:")+15:1:88:45:=IF(OFFSET(B116,1,0)&lt;&gt;"",OFFSET(B116,1,0),"")8:0:8:0:0:0:8:6:BP79308:6:BP79308:13:=LEFT(F116,3)8:3:#108:45:#10 CV06 PrimerStrip,Sand,TCIns,Buff,Wax,Spot8:45:#10 CV06 PrimerStrip,Sand,TCIns,Buff,Wax,Spot8:18:Scissor lift table8:18:Scissor lift table8:0:0:0:8:102:=IF(J116&lt;&gt;"",J116 - ('Shipping Program'!$D$9 + 'Shipping Program'!$F$9 + 'Shipping Program'!$H$9), "")5:5:465058:5:465525:5:465528:39:=IF(SUM(M116:N116)=0,"",SUM(M116:N116))8:0:8:0:0:0:8:0:0:0:8:0:0:0:8:49:=VLOOKUP(I116,'Shipping Program'!$A$32:$B$78,2)-15:1:88:5:=O1165:1:88:7:=R116-75:5:464898:155:=IFERROR(XLOOKUP(P116,'Shipping Program'!$B$32:$B$78,'Shipping Program'!$A$32:$A$78),IFERROR(INDEX(_V7Batches!$B:$B,MATCH(P116&amp;"",_V7Batches!$A:$A,0)),""))5:5:464968:155:=IFERROR(XLOOKUP(P116,'Shipping Program'!$B$32:$B$78,'Shipping Program'!$E$32:$E$78),IFERROR(INDEX(_V7Batches!$D:$D,MATCH(P116&amp;"",_V7Batches!$A:$A,0)),""))5:5:465268:29:=S116+'Shipping Program'!$H$95:5:465338:42:=IFERROR(IF(J116*T116&lt;&gt;0,J116-T116,""),"")5:2:198:66:=IF(U116&lt;&gt;"",IF(U116&gt;28,"Too early",IF(U116&lt;14,"Too late","")),"")8:0:8:0:0:0:8:46:=IF(OFFSET(X116,1,0)="",R116,OFFSET(X116,1,0))5:5:464968:70:=IF(OFFSET(Y116,1,0)="",X116+'Shipping Program'!$F$9,OFFSET(Y116,1,0))5:5:465268:70:=IF(OFFSET(Z116,1,0)="",Y116+'Shipping Program'!$H$9,OFFSET(Z116,1,0))5:5:465338:42:=IFERROR(IF(J116*Z116&lt;&gt;0,J116-Z116,""),"")5:2:198:69:=IF(AA116&lt;&gt;"",IF(AA116&gt;28,"Too early",IF(AA116&lt;14,"Too late","")),"")8:0:8:0:0:0:8:0:0:0:8:4:Durr8:4:Durr8:3:FOB8:3:FOB8:2:NR8:2:NR8:49:=IF(AI116="","",AI116*AJ116*AK116/1000/1000/1000)8:0:8:0:0:0:8:0:0:0:8:0:0:0:</t>
  </si>
  <si>
    <t>8:45:=COUNTIF(J$3:OFFSET(J117,-1,0),"Subtotal:")+15:1:88:45:=IF(OFFSET(B117,1,0)&lt;&gt;"",OFFSET(B117,1,0),"")8:0:8:0:0:0:8:6:BP79308:6:BP79308:13:=LEFT(F117,3)8:3:#108:45:#10 CV06 PrimerStrip,Sand,TCIns,Buff,Wax,Spot8:45:#10 CV06 PrimerStrip,Sand,TCIns,Buff,Wax,Spot8:24:Body transfer station *18:24:Body transfer station *18:0:0:0:8:102:=IF(J117&lt;&gt;"",J117 - ('Shipping Program'!$D$9 + 'Shipping Program'!$F$9 + 'Shipping Program'!$H$9), "")5:5:465058:5:465525:5:465528:39:=IF(SUM(M117:N117)=0,"",SUM(M117:N117))8:0:8:0:0:0:8:0:0:0:8:0:0:0:8:49:=VLOOKUP(I117,'Shipping Program'!$A$32:$B$78,2)-15:1:88:5:=O1175:1:88:7:=R117-75:5:464898:155:=IFERROR(XLOOKUP(P117,'Shipping Program'!$B$32:$B$78,'Shipping Program'!$A$32:$A$78),IFERROR(INDEX(_V7Batches!$B:$B,MATCH(P117&amp;"",_V7Batches!$A:$A,0)),""))5:5:464968:155:=IFERROR(XLOOKUP(P117,'Shipping Program'!$B$32:$B$78,'Shipping Program'!$E$32:$E$78),IFERROR(INDEX(_V7Batches!$D:$D,MATCH(P117&amp;"",_V7Batches!$A:$A,0)),""))5:5:465268:29:=S117+'Shipping Program'!$H$95:5:465338:42:=IFERROR(IF(J117*T117&lt;&gt;0,J117-T117,""),"")5:2:198:66:=IF(U117&lt;&gt;"",IF(U117&gt;28,"Too early",IF(U117&lt;14,"Too late","")),"")8:0:8:0:0:0:8:46:=IF(OFFSET(X117,1,0)="",R117,OFFSET(X117,1,0))5:5:464968:70:=IF(OFFSET(Y117,1,0)="",X117+'Shipping Program'!$F$9,OFFSET(Y117,1,0))5:5:465268:70:=IF(OFFSET(Z117,1,0)="",Y117+'Shipping Program'!$H$9,OFFSET(Z117,1,0))5:5:465338:42:=IFERROR(IF(J117*Z117&lt;&gt;0,J117-Z117,""),"")5:2:198:69:=IF(AA117&lt;&gt;"",IF(AA117&gt;28,"Too early",IF(AA117&lt;14,"Too late","")),"")8:0:8:0:0:0:8:0:0:0:8:4:Durr8:4:Durr8:3:FOB8:3:FOB8:2:NR8:2:NR8:49:=IF(AI117="","",AI117*AJ117*AK117/1000/1000/1000)8:0:8:0:0:0:8:0:0:0:8:0:0:0:</t>
  </si>
  <si>
    <t>8:45:=COUNTIF(J$3:OFFSET(J118,-1,0),"Subtotal:")+15:1:88:45:=IF(OFFSET(B118,1,0)&lt;&gt;"",OFFSET(B118,1,0),"")8:0:8:0:0:0:8:6:BP79308:6:BP79308:13:=LEFT(F118,3)8:3:#108:45:#10 CV06 PrimerStrip,Sand,TCIns,Buff,Wax,Spot8:45:#10 CV06 PrimerStrip,Sand,TCIns,Buff,Wax,Spot8:19:Body locking device8:19:Body locking device8:0:0:0:8:102:=IF(J118&lt;&gt;"",J118 - ('Shipping Program'!$D$9 + 'Shipping Program'!$F$9 + 'Shipping Program'!$H$9), "")5:5:465058:5:465525:5:465528:39:=IF(SUM(M118:N118)=0,"",SUM(M118:N118))8:0:8:0:0:0:8:0:0:0:8:0:0:0:8:49:=VLOOKUP(I118,'Shipping Program'!$A$32:$B$78,2)-15:1:88:5:=O1185:1:88:7:=R118-75:5:464898:155:=IFERROR(XLOOKUP(P118,'Shipping Program'!$B$32:$B$78,'Shipping Program'!$A$32:$A$78),IFERROR(INDEX(_V7Batches!$B:$B,MATCH(P118&amp;"",_V7Batches!$A:$A,0)),""))5:5:464968:155:=IFERROR(XLOOKUP(P118,'Shipping Program'!$B$32:$B$78,'Shipping Program'!$E$32:$E$78),IFERROR(INDEX(_V7Batches!$D:$D,MATCH(P118&amp;"",_V7Batches!$A:$A,0)),""))5:5:465268:29:=S118+'Shipping Program'!$H$95:5:465338:42:=IFERROR(IF(J118*T118&lt;&gt;0,J118-T118,""),"")5:2:198:66:=IF(U118&lt;&gt;"",IF(U118&gt;28,"Too early",IF(U118&lt;14,"Too late","")),"")8:0:8:0:0:0:8:46:=IF(OFFSET(X118,1,0)="",R118,OFFSET(X118,1,0))5:5:464968:70:=IF(OFFSET(Y118,1,0)="",X118+'Shipping Program'!$F$9,OFFSET(Y118,1,0))5:5:465268:70:=IF(OFFSET(Z118,1,0)="",Y118+'Shipping Program'!$H$9,OFFSET(Z118,1,0))5:5:465338:42:=IFERROR(IF(J118*Z118&lt;&gt;0,J118-Z118,""),"")5:2:198:69:=IF(AA118&lt;&gt;"",IF(AA118&gt;28,"Too early",IF(AA118&lt;14,"Too late","")),"")8:0:8:0:0:0:8:0:0:0:8:4:Durr8:4:Durr8:3:FOB8:3:FOB8:2:NR8:2:NR8:49:=IF(AI118="","",AI118*AJ118*AK118/1000/1000/1000)8:0:8:0:0:0:8:0:0:0:8:0:0:0:</t>
  </si>
  <si>
    <t>8:45:=COUNTIF(J$3:OFFSET(J119,-1,0),"Subtotal:")+15:1:88:45:=IF(OFFSET(B119,1,0)&lt;&gt;"",OFFSET(B119,1,0),"")8:0:8:0:0:0:8:6:BP79308:6:BP79308:13:=LEFT(F119,3)8:3:#108:45:#10 CV06 PrimerStrip,Sand,TCIns,Buff,Wax,Spot8:45:#10 CV06 PrimerStrip,Sand,TCIns,Buff,Wax,Spot8:15:Skid stacker *18:15:Skid stacker *18:0:0:0:8:102:=IF(J119&lt;&gt;"",J119 - ('Shipping Program'!$D$9 + 'Shipping Program'!$F$9 + 'Shipping Program'!$H$9), "")5:5:465058:5:465525:5:465528:39:=IF(SUM(M119:N119)=0,"",SUM(M119:N119))8:0:8:0:0:0:8:0:0:0:8:0:0:0:8:49:=VLOOKUP(I119,'Shipping Program'!$A$32:$B$78,2)-15:1:88:5:=O1195:1:88:7:=R119-75:5:464898:155:=IFERROR(XLOOKUP(P119,'Shipping Program'!$B$32:$B$78,'Shipping Program'!$A$32:$A$78),IFERROR(INDEX(_V7Batches!$B:$B,MATCH(P119&amp;"",_V7Batches!$A:$A,0)),""))5:5:464968:155:=IFERROR(XLOOKUP(P119,'Shipping Program'!$B$32:$B$78,'Shipping Program'!$E$32:$E$78),IFERROR(INDEX(_V7Batches!$D:$D,MATCH(P119&amp;"",_V7Batches!$A:$A,0)),""))5:5:465268:29:=S119+'Shipping Program'!$H$95:5:465338:42:=IFERROR(IF(J119*T119&lt;&gt;0,J119-T119,""),"")5:2:198:66:=IF(U119&lt;&gt;"",IF(U119&gt;28,"Too early",IF(U119&lt;14,"Too late","")),"")8:0:8:0:0:0:8:46:=IF(OFFSET(X119,1,0)="",R119,OFFSET(X119,1,0))5:5:464968:70:=IF(OFFSET(Y119,1,0)="",X119+'Shipping Program'!$F$9,OFFSET(Y119,1,0))5:5:465268:70:=IF(OFFSET(Z119,1,0)="",Y119+'Shipping Program'!$H$9,OFFSET(Z119,1,0))5:5:465338:42:=IFERROR(IF(J119*Z119&lt;&gt;0,J119-Z119,""),"")5:2:198:69:=IF(AA119&lt;&gt;"",IF(AA119&gt;28,"Too early",IF(AA119&lt;14,"Too late","")),"")8:0:8:0:0:0:8:0:0:0:8:4:Durr8:4:Durr8:3:FOB8:3:FOB8:2:NR8:2:NR8:49:=IF(AI119="","",AI119*AJ119*AK119/1000/1000/1000)8:0:8:0:0:0:8:0:0:0:8:0:0:0:</t>
  </si>
  <si>
    <t>8:45:=COUNTIF(J$3:OFFSET(J120,-1,0),"Subtotal:")+15:1:88:45:=IF(OFFSET(B120,1,0)&lt;&gt;"",OFFSET(B120,1,0),"")8:0:8:0:0:0:8:6:BP79308:6:BP79308:13:=LEFT(F120,3)8:3:#108:45:#10 CV06 PrimerStrip,Sand,TCIns,Buff,Wax,Spot8:45:#10 CV06 PrimerStrip,Sand,TCIns,Buff,Wax,Spot8:14:Skid fixing *18:14:Skid fixing *18:0:0:0:8:102:=IF(J120&lt;&gt;"",J120 - ('Shipping Program'!$D$9 + 'Shipping Program'!$F$9 + 'Shipping Program'!$H$9), "")5:5:465058:5:465525:5:465528:39:=IF(SUM(M120:N120)=0,"",SUM(M120:N120))8:0:8:0:0:0:8:0:0:0:8:0:0:0:8:49:=VLOOKUP(I120,'Shipping Program'!$A$32:$B$78,2)-15:1:88:5:=O1205:1:88:7:=R120-75:5:464898:155:=IFERROR(XLOOKUP(P120,'Shipping Program'!$B$32:$B$78,'Shipping Program'!$A$32:$A$78),IFERROR(INDEX(_V7Batches!$B:$B,MATCH(P120&amp;"",_V7Batches!$A:$A,0)),""))5:5:464968:155:=IFERROR(XLOOKUP(P120,'Shipping Program'!$B$32:$B$78,'Shipping Program'!$E$32:$E$78),IFERROR(INDEX(_V7Batches!$D:$D,MATCH(P120&amp;"",_V7Batches!$A:$A,0)),""))5:5:465268:29:=S120+'Shipping Program'!$H$95:5:465338:42:=IFERROR(IF(J120*T120&lt;&gt;0,J120-T120,""),"")5:2:198:66:=IF(U120&lt;&gt;"",IF(U120&gt;28,"Too early",IF(U120&lt;14,"Too late","")),"")8:0:8:0:0:0:8:46:=IF(OFFSET(X120,1,0)="",R120,OFFSET(X120,1,0))5:5:464968:70:=IF(OFFSET(Y120,1,0)="",X120+'Shipping Program'!$F$9,OFFSET(Y120,1,0))5:5:465268:70:=IF(OFFSET(Z120,1,0)="",Y120+'Shipping Program'!$H$9,OFFSET(Z120,1,0))5:5:465338:42:=IFERROR(IF(J120*Z120&lt;&gt;0,J120-Z120,""),"")5:2:198:69:=IF(AA120&lt;&gt;"",IF(AA120&gt;28,"Too early",IF(AA120&lt;14,"Too late","")),"")8:0:8:0:0:0:8:0:0:0:8:4:Durr8:4:Durr8:3:FOB8:3:FOB8:2:NR8:2:NR8:49:=IF(AI120="","",AI120*AJ120*AK120/1000/1000/1000)8:0:8:0:0:0:8:0:0:0:8:0:0:0:</t>
  </si>
  <si>
    <t>8:45:=COUNTIF(J$3:OFFSET(J121,-1,0),"Subtotal:")+15:1:88:45:=IF(OFFSET(B121,1,0)&lt;&gt;"",OFFSET(B121,1,0),"")8:0:8:0:0:0:8:6:BP13328:6:BP13328:13:=LEFT(F121,3)8:3:#208:14:#20 CS EC Oven8:14:#20 CS EC Oven8:23:Control cabinets set up8:23:Control cabinets set up8:0:0:0:8:102:=IF(J121&lt;&gt;"",J121 - ('Shipping Program'!$D$9 + 'Shipping Program'!$F$9 + 'Shipping Program'!$H$9), "")5:5:465088:5:465555:5:465558:39:=IF(SUM(M121:N121)=0,"",SUM(M121:N121))8:0:8:0:0:0:8:0:0:0:8:0:0:0:8:49:=VLOOKUP(I121,'Shipping Program'!$A$32:$B$78,2)-15:1:88:5:=O1215:1:88:7:=R121-75:5:464898:155:=IFERROR(XLOOKUP(P121,'Shipping Program'!$B$32:$B$78,'Shipping Program'!$A$32:$A$78),IFERROR(INDEX(_V7Batches!$B:$B,MATCH(P121&amp;"",_V7Batches!$A:$A,0)),""))5:5:464968:155:=IFERROR(XLOOKUP(P121,'Shipping Program'!$B$32:$B$78,'Shipping Program'!$E$32:$E$78),IFERROR(INDEX(_V7Batches!$D:$D,MATCH(P121&amp;"",_V7Batches!$A:$A,0)),""))5:5:465268:29:=S121+'Shipping Program'!$H$95:5:465338:42:=IFERROR(IF(J121*T121&lt;&gt;0,J121-T121,""),"")5:2:228:66:=IF(U121&lt;&gt;"",IF(U121&gt;28,"Too early",IF(U121&lt;14,"Too late","")),"")8:0:8:0:0:0:8:46:=IF(OFFSET(X121,1,0)="",R121,OFFSET(X121,1,0))5:5:464968:70:=IF(OFFSET(Y121,1,0)="",X121+'Shipping Program'!$F$9,OFFSET(Y121,1,0))5:5:465268:70:=IF(OFFSET(Z121,1,0)="",Y121+'Shipping Program'!$H$9,OFFSET(Z121,1,0))5:5:465338:42:=IFERROR(IF(J121*Z121&lt;&gt;0,J121-Z121,""),"")5:2:228:69:=IF(AA121&lt;&gt;"",IF(AA121&gt;28,"Too early",IF(AA121&lt;14,"Too late","")),"")8:0:8:0:0:0:8:0:0:0:8:4:Durr8:4:Durr8:3:CNF8:3:CNF8:2:NR8:2:NR8:49:=IF(AI121="","",AI121*AJ121*AK121/1000/1000/1000)8:0:8:0:0:0:8:0:0:0:8:0:0:0:</t>
  </si>
  <si>
    <t>8:45:=COUNTIF(J$3:OFFSET(J122,-1,0),"Subtotal:")+15:1:88:0:0:0:8:0:0:0:8:0:0:0:8:0:0:0:8:0:0:0:8:0:0:0:8:0:0:0:8:0:0:0:8:9:Subtotal:8:9:Subtotal:8:56:=SUMIF(A$3:OFFSET(A122,-1,0),A122,K$3:OFFSET(K122,-1,0))5:1:08:56:=SUMIF(A$3:OFFSET(A122,-1,0),A122,L$3:OFFSET(L122,-1,0))5:1:08:0:0:0:8:0:0:0:8:0:0:0:8:0:0:0:8:7:=R122-75:5:464898:42:=IF(J122="Subtotal:",OFFSET(R122,-1,0),"")5:5:464968:42:=IF(J122="Subtotal:",OFFSET(S122,-1,0),"")5:5:465268:42:=IF(J122="Subtotal:",OFFSET(T122,-1,0),"")5:5:465338:42:=IFERROR(IF(J122*T122&lt;&gt;0,J122-T122,""),"")8:0:8:66:=IF(U122&lt;&gt;"",IF(U122&gt;28,"Too early",IF(U122&lt;14,"Too late","")),"")8:0:8:147:=(SUMIFS($K:$K,$J:$J,"&lt;&gt;Subtotal:",$J:$J,"&gt;"&amp;S122,$S:$S,"&lt;="&amp;S122))*24*1.3+(SUMIFS($L:$L,$J:$J,"&lt;&gt;Subtotal:",$J:$J,"&gt;"&amp;S122,$S:$S,"&lt;="&amp;S122))/3*1.35:1:08:0:0:0:8:0:0:0:8:0:0:0:8:42:=IFERROR(IF(J122*Z122&lt;&gt;0,J122-Z122,""),"")8:0:8:69:=IF(AA122&lt;&gt;"",IF(AA122&gt;28,"Too early",IF(AA122&lt;14,"Too late","")),"")8:0:8:147:=(SUMIFS($K:$K,$J:$J,"&lt;&gt;Subtotal:",$J:$J,"&gt;"&amp;Y122,$Y:$Y,"&lt;="&amp;Y122))*24*1.3+(SUMIFS($L:$L,$J:$J,"&lt;&gt;Subtotal:",$J:$J,"&gt;"&amp;Y122,$Y:$Y,"&lt;="&amp;Y122))/3*1.35:1:08:0:0:0:8:0:0:0:8:0:0:0:8:0:0:0:8:0:0:0:8:0:0:0:8:0:0:0:8:0:0:0:</t>
  </si>
  <si>
    <t>8:45:=COUNTIF(J$3:OFFSET(J123,-1,0),"Subtotal:")+15:1:98:45:=IF(OFFSET(B123,1,0)&lt;&gt;"",OFFSET(B123,1,0),"")8:0:8:0:0:0:8:6:BP20408:6:BP20408:13:=LEFT(F123,3)8:3:#028:12:#02 PT Plant8:12:#02 PT Plant8:22:Dust protection tunnel8:22:Dust protection tunnel8:0:0:0:8:102:=IF(J123&lt;&gt;"",J123 - ('Shipping Program'!$D$9 + 'Shipping Program'!$F$9 + 'Shipping Program'!$H$9), "")5:5:465158:5:465625:5:465628:39:=IF(SUM(M123:N123)=0,"",SUM(M123:N123))8:0:8:0:0:0:8:0:0:0:8:0:0:0:8:49:=VLOOKUP(I123,'Shipping Program'!$A$32:$B$78,2)-15:1:98:5:=O1235:1:98:7:=R123-75:5:464968:155:=IFERROR(XLOOKUP(P123,'Shipping Program'!$B$32:$B$78,'Shipping Program'!$A$32:$A$78),IFERROR(INDEX(_V7Batches!$B:$B,MATCH(P123&amp;"",_V7Batches!$A:$A,0)),""))5:5:465038:155:=IFERROR(XLOOKUP(P123,'Shipping Program'!$B$32:$B$78,'Shipping Program'!$E$32:$E$78),IFERROR(INDEX(_V7Batches!$D:$D,MATCH(P123&amp;"",_V7Batches!$A:$A,0)),""))5:5:465338:29:=S123+'Shipping Program'!$H$95:5:465408:42:=IFERROR(IF(J123*T123&lt;&gt;0,J123-T123,""),"")5:2:228:66:=IF(U123&lt;&gt;"",IF(U123&gt;28,"Too early",IF(U123&lt;14,"Too late","")),"")8:0:8:0:0:0:8:46:=IF(OFFSET(X123,1,0)="",R123,OFFSET(X123,1,0))5:5:465038:70:=IF(OFFSET(Y123,1,0)="",X123+'Shipping Program'!$F$9,OFFSET(Y123,1,0))5:5:465338:70:=IF(OFFSET(Z123,1,0)="",Y123+'Shipping Program'!$H$9,OFFSET(Z123,1,0))5:5:465408:42:=IFERROR(IF(J123*Z123&lt;&gt;0,J123-Z123,""),"")5:2:228:69:=IF(AA123&lt;&gt;"",IF(AA123&gt;28,"Too early",IF(AA123&lt;14,"Too late","")),"")8:0:8:0:0:0:8:0:0:0:8:4:Durr8:4:Durr8:3:FOB8:3:FOB8:2:NR8:2:NR8:49:=IF(AI123="","",AI123*AJ123*AK123/1000/1000/1000)8:0:8:0:0:0:8:0:0:0:8:0:0:0:</t>
  </si>
  <si>
    <t>8:45:=COUNTIF(J$3:OFFSET(J124,-1,0),"Subtotal:")+15:1:98:45:=IF(OFFSET(B124,1,0)&lt;&gt;"",OFFSET(B124,1,0),"")8:0:8:0:0:0:8:6:BP20408:6:BP20408:13:=LEFT(F124,3)8:3:#028:12:#02 EC Plant8:12:#02 EC Plant8:22:Dust protection tunnel8:22:Dust protection tunnel8:0:0:0:8:102:=IF(J124&lt;&gt;"",J124 - ('Shipping Program'!$D$9 + 'Shipping Program'!$F$9 + 'Shipping Program'!$H$9), "")5:5:465168:5:465635:5:465638:39:=IF(SUM(M124:N124)=0,"",SUM(M124:N124))8:0:8:0:0:0:8:0:0:0:8:0:0:0:8:49:=VLOOKUP(I124,'Shipping Program'!$A$32:$B$78,2)-15:1:98:5:=O1245:1:98:7:=R124-75:5:464968:155:=IFERROR(XLOOKUP(P124,'Shipping Program'!$B$32:$B$78,'Shipping Program'!$A$32:$A$78),IFERROR(INDEX(_V7Batches!$B:$B,MATCH(P124&amp;"",_V7Batches!$A:$A,0)),""))5:5:465038:155:=IFERROR(XLOOKUP(P124,'Shipping Program'!$B$32:$B$78,'Shipping Program'!$E$32:$E$78),IFERROR(INDEX(_V7Batches!$D:$D,MATCH(P124&amp;"",_V7Batches!$A:$A,0)),""))5:5:465338:29:=S124+'Shipping Program'!$H$95:5:465408:42:=IFERROR(IF(J124*T124&lt;&gt;0,J124-T124,""),"")5:2:238:66:=IF(U124&lt;&gt;"",IF(U124&gt;28,"Too early",IF(U124&lt;14,"Too late","")),"")8:0:8:0:0:0:8:46:=IF(OFFSET(X124,1,0)="",R124,OFFSET(X124,1,0))5:5:465038:70:=IF(OFFSET(Y124,1,0)="",X124+'Shipping Program'!$F$9,OFFSET(Y124,1,0))5:5:465338:70:=IF(OFFSET(Z124,1,0)="",Y124+'Shipping Program'!$H$9,OFFSET(Z124,1,0))5:5:465408:42:=IFERROR(IF(J124*Z124&lt;&gt;0,J124-Z124,""),"")5:2:238:69:=IF(AA124&lt;&gt;"",IF(AA124&gt;28,"Too early",IF(AA124&lt;14,"Too late","")),"")8:0:8:0:0:0:8:0:0:0:8:4:Durr8:4:Durr8:3:FOB8:3:FOB8:2:NR8:2:NR8:49:=IF(AI124="","",AI124*AJ124*AK124/1000/1000/1000)8:0:8:0:0:0:8:0:0:0:8:0:0:0:</t>
  </si>
  <si>
    <t>8:45:=COUNTIF(J$3:OFFSET(J125,-1,0),"Subtotal:")+15:1:98:45:=IF(OFFSET(B125,1,0)&lt;&gt;"",OFFSET(B125,1,0),"")8:0:8:0:0:0:8:6:BP18308:6:BP18308:13:=LEFT(F125,3)8:3:#048:11:#04 TC Oven8:11:#04 TC Oven8:25:Cooling modules *2modules8:25:Cooling modules *2modules8:0:0:0:8:102:=IF(J125&lt;&gt;"",J125 - ('Shipping Program'!$D$9 + 'Shipping Program'!$F$9 + 'Shipping Program'!$H$9), "")5:5:465108:5:465575:5:465578:39:=IF(SUM(M125:N125)=0,"",SUM(M125:N125))8:0:8:0:0:0:8:0:0:0:8:0:0:0:8:49:=VLOOKUP(I125,'Shipping Program'!$A$32:$B$78,2)-15:1:98:5:=O1255:1:98:7:=R125-75:5:464968:155:=IFERROR(XLOOKUP(P125,'Shipping Program'!$B$32:$B$78,'Shipping Program'!$A$32:$A$78),IFERROR(INDEX(_V7Batches!$B:$B,MATCH(P125&amp;"",_V7Batches!$A:$A,0)),""))5:5:465038:155:=IFERROR(XLOOKUP(P125,'Shipping Program'!$B$32:$B$78,'Shipping Program'!$E$32:$E$78),IFERROR(INDEX(_V7Batches!$D:$D,MATCH(P125&amp;"",_V7Batches!$A:$A,0)),""))5:5:465338:29:=S125+'Shipping Program'!$H$95:5:465408:42:=IFERROR(IF(J125*T125&lt;&gt;0,J125-T125,""),"")5:2:178:66:=IF(U125&lt;&gt;"",IF(U125&gt;28,"Too early",IF(U125&lt;14,"Too late","")),"")8:0:8:0:0:0:8:46:=IF(OFFSET(X125,1,0)="",R125,OFFSET(X125,1,0))5:5:465038:70:=IF(OFFSET(Y125,1,0)="",X125+'Shipping Program'!$F$9,OFFSET(Y125,1,0))5:5:465338:70:=IF(OFFSET(Z125,1,0)="",Y125+'Shipping Program'!$H$9,OFFSET(Z125,1,0))5:5:465408:42:=IFERROR(IF(J125*Z125&lt;&gt;0,J125-Z125,""),"")5:2:178:69:=IF(AA125&lt;&gt;"",IF(AA125&gt;28,"Too early",IF(AA125&lt;14,"Too late","")),"")8:0:8:0:0:0:8:0:0:0:8:4:Durr8:4:Durr8:3:FOB8:3:FOB8:3:F+N8:3:F+N8:49:=IF(AI125="","",AI125*AJ125*AK125/1000/1000/1000)8:0:8:0:0:0:8:0:0:0:8:0:0:0:</t>
  </si>
  <si>
    <t>8:45:=COUNTIF(J$3:OFFSET(J126,-1,0),"Subtotal:")+15:1:98:45:=IF(OFFSET(B126,1,0)&lt;&gt;"",OFFSET(B126,1,0),"")8:0:8:0:0:0:8:6:BP18308:6:BP18308:13:=LEFT(F126,3)8:3:#048:11:#04 TC Oven8:11:#04 TC Oven8:20:Heater Box hold zone8:20:Heater Box hold zone8:0:0:0:8:102:=IF(J126&lt;&gt;"",J126 - ('Shipping Program'!$D$9 + 'Shipping Program'!$F$9 + 'Shipping Program'!$H$9), "")5:5:465148:5:465615:5:465618:39:=IF(SUM(M126:N126)=0,"",SUM(M126:N126))8:0:8:0:0:0:8:0:0:0:8:0:0:0:8:49:=VLOOKUP(I126,'Shipping Program'!$A$32:$B$78,2)-15:1:98:5:=O1265:1:98:7:=R126-75:5:464968:155:=IFERROR(XLOOKUP(P126,'Shipping Program'!$B$32:$B$78,'Shipping Program'!$A$32:$A$78),IFERROR(INDEX(_V7Batches!$B:$B,MATCH(P126&amp;"",_V7Batches!$A:$A,0)),""))5:5:465038:155:=IFERROR(XLOOKUP(P126,'Shipping Program'!$B$32:$B$78,'Shipping Program'!$E$32:$E$78),IFERROR(INDEX(_V7Batches!$D:$D,MATCH(P126&amp;"",_V7Batches!$A:$A,0)),""))5:5:465338:29:=S126+'Shipping Program'!$H$95:5:465408:42:=IFERROR(IF(J126*T126&lt;&gt;0,J126-T126,""),"")5:2:218:66:=IF(U126&lt;&gt;"",IF(U126&gt;28,"Too early",IF(U126&lt;14,"Too late","")),"")8:0:8:0:0:0:8:46:=IF(OFFSET(X126,1,0)="",R126,OFFSET(X126,1,0))5:5:465038:70:=IF(OFFSET(Y126,1,0)="",X126+'Shipping Program'!$F$9,OFFSET(Y126,1,0))5:5:465338:70:=IF(OFFSET(Z126,1,0)="",Y126+'Shipping Program'!$H$9,OFFSET(Z126,1,0))5:5:465408:42:=IFERROR(IF(J126*Z126&lt;&gt;0,J126-Z126,""),"")5:2:218:69:=IF(AA126&lt;&gt;"",IF(AA126&gt;28,"Too early",IF(AA126&lt;14,"Too late","")),"")8:0:8:0:0:0:8:0:0:0:8:4:Durr8:4:Durr8:3:FOB8:3:FOB8:3:F+N8:3:F+N8:49:=IF(AI126="","",AI126*AJ126*AK126/1000/1000/1000)8:0:8:0:0:0:8:0:0:0:8:0:0:0:</t>
  </si>
  <si>
    <t>8:45:=COUNTIF(J$3:OFFSET(J127,-1,0),"Subtotal:")+15:1:98:45:=IF(OFFSET(B127,1,0)&lt;&gt;"",OFFSET(B127,1,0),"")8:0:8:0:0:0:8:6:BP18308:6:BP18308:13:=LEFT(F127,3)8:3:#048:11:#04 TC Oven8:11:#04 TC Oven8:7:Coolbox8:7:Coolbox8:0:0:0:8:102:=IF(J127&lt;&gt;"",J127 - ('Shipping Program'!$D$9 + 'Shipping Program'!$F$9 + 'Shipping Program'!$H$9), "")5:5:465158:5:465625:5:465628:39:=IF(SUM(M127:N127)=0,"",SUM(M127:N127))8:0:8:0:0:0:8:0:0:0:8:0:0:0:8:49:=VLOOKUP(I127,'Shipping Program'!$A$32:$B$78,2)-15:1:98:5:=O1275:1:98:7:=R127-75:5:464968:155:=IFERROR(XLOOKUP(P127,'Shipping Program'!$B$32:$B$78,'Shipping Program'!$A$32:$A$78),IFERROR(INDEX(_V7Batches!$B:$B,MATCH(P127&amp;"",_V7Batches!$A:$A,0)),""))5:5:465038:155:=IFERROR(XLOOKUP(P127,'Shipping Program'!$B$32:$B$78,'Shipping Program'!$E$32:$E$78),IFERROR(INDEX(_V7Batches!$D:$D,MATCH(P127&amp;"",_V7Batches!$A:$A,0)),""))5:5:465338:29:=S127+'Shipping Program'!$H$95:5:465408:42:=IFERROR(IF(J127*T127&lt;&gt;0,J127-T127,""),"")5:2:228:66:=IF(U127&lt;&gt;"",IF(U127&gt;28,"Too early",IF(U127&lt;14,"Too late","")),"")8:0:8:0:0:0:8:46:=IF(OFFSET(X127,1,0)="",R127,OFFSET(X127,1,0))5:5:465038:70:=IF(OFFSET(Y127,1,0)="",X127+'Shipping Program'!$F$9,OFFSET(Y127,1,0))5:5:465338:70:=IF(OFFSET(Z127,1,0)="",Y127+'Shipping Program'!$H$9,OFFSET(Z127,1,0))5:5:465408:42:=IFERROR(IF(J127*Z127&lt;&gt;0,J127-Z127,""),"")5:2:228:69:=IF(AA127&lt;&gt;"",IF(AA127&gt;28,"Too early",IF(AA127&lt;14,"Too late","")),"")8:0:8:0:0:0:8:0:0:0:8:4:Durr8:4:Durr8:3:FOB8:3:FOB8:3:F+N8:3:F+N8:49:=IF(AI127="","",AI127*AJ127*AK127/1000/1000/1000)8:0:8:0:0:0:8:0:0:0:8:0:0:0:</t>
  </si>
  <si>
    <t>8:45:=COUNTIF(J$3:OFFSET(J128,-1,0),"Subtotal:")+15:1:98:45:=IF(OFFSET(B128,1,0)&lt;&gt;"",OFFSET(B128,1,0),"")8:0:8:0:0:0:8:6:BP20408:6:BP20408:13:=LEFT(F128,3)8:3:#018:16:#01 Primer Booth8:16:#01 Primer Booth8:15:Dust protection8:15:Dust protection8:0:0:0:8:102:=IF(J128&lt;&gt;"",J128 - ('Shipping Program'!$D$9 + 'Shipping Program'!$F$9 + 'Shipping Program'!$H$9), "")5:5:465148:5:465615:5:465618:39:=IF(SUM(M128:N128)=0,"",SUM(M128:N128))8:0:8:0:0:0:8:0:0:0:8:0:0:0:8:49:=VLOOKUP(I128,'Shipping Program'!$A$32:$B$78,2)-15:1:98:5:=O1285:1:98:7:=R128-75:5:464968:155:=IFERROR(XLOOKUP(P128,'Shipping Program'!$B$32:$B$78,'Shipping Program'!$A$32:$A$78),IFERROR(INDEX(_V7Batches!$B:$B,MATCH(P128&amp;"",_V7Batches!$A:$A,0)),""))5:5:465038:155:=IFERROR(XLOOKUP(P128,'Shipping Program'!$B$32:$B$78,'Shipping Program'!$E$32:$E$78),IFERROR(INDEX(_V7Batches!$D:$D,MATCH(P128&amp;"",_V7Batches!$A:$A,0)),""))5:5:465338:29:=S128+'Shipping Program'!$H$95:5:465408:42:=IFERROR(IF(J128*T128&lt;&gt;0,J128-T128,""),"")5:2:218:66:=IF(U128&lt;&gt;"",IF(U128&gt;28,"Too early",IF(U128&lt;14,"Too late","")),"")8:0:8:0:0:0:8:46:=IF(OFFSET(X128,1,0)="",R128,OFFSET(X128,1,0))5:5:465038:70:=IF(OFFSET(Y128,1,0)="",X128+'Shipping Program'!$F$9,OFFSET(Y128,1,0))5:5:465338:70:=IF(OFFSET(Z128,1,0)="",Y128+'Shipping Program'!$H$9,OFFSET(Z128,1,0))5:5:465408:42:=IFERROR(IF(J128*Z128&lt;&gt;0,J128-Z128,""),"")5:2:218:69:=IF(AA128&lt;&gt;"",IF(AA128&gt;28,"Too early",IF(AA128&lt;14,"Too late","")),"")8:0:8:0:0:0:8:0:0:0:8:4:Durr8:4:Durr8:3:FOB8:3:FOB8:2:NR8:2:NR8:49:=IF(AI128="","",AI128*AJ128*AK128/1000/1000/1000)8:0:8:0:0:0:8:0:0:0:8:0:0:0:</t>
  </si>
  <si>
    <t>8:45:=COUNTIF(J$3:OFFSET(J129,-1,0),"Subtotal:")+15:1:98:45:=IF(OFFSET(B129,1,0)&lt;&gt;"",OFFSET(B129,1,0),"")8:0:8:0:0:0:8:6:BP12308:6:BP12308:13:=LEFT(F129,3)8:3:#018:12:#01 TC Booth8:12:#01 TC Booth8:37:Ducting package supply air ASU-Plenum8:37:Ducting package supply air ASU-Plenum8:0:0:0:8:102:=IF(J129&lt;&gt;"",J129 - ('Shipping Program'!$D$9 + 'Shipping Program'!$F$9 + 'Shipping Program'!$H$9), "")5:5:465138:5:465605:5:465608:39:=IF(SUM(M129:N129)=0,"",SUM(M129:N129))8:0:8:0:0:0:8:0:0:0:8:0:0:0:8:49:=VLOOKUP(I129,'Shipping Program'!$A$32:$B$78,2)-15:1:98:5:=O1295:1:98:7:=R129-75:5:464968:155:=IFERROR(XLOOKUP(P129,'Shipping Program'!$B$32:$B$78,'Shipping Program'!$A$32:$A$78),IFERROR(INDEX(_V7Batches!$B:$B,MATCH(P129&amp;"",_V7Batches!$A:$A,0)),""))5:5:465038:155:=IFERROR(XLOOKUP(P129,'Shipping Program'!$B$32:$B$78,'Shipping Program'!$E$32:$E$78),IFERROR(INDEX(_V7Batches!$D:$D,MATCH(P129&amp;"",_V7Batches!$A:$A,0)),""))5:5:465338:29:=S129+'Shipping Program'!$H$95:5:465408:42:=IFERROR(IF(J129*T129&lt;&gt;0,J129-T129,""),"")5:2:208:66:=IF(U129&lt;&gt;"",IF(U129&gt;28,"Too early",IF(U129&lt;14,"Too late","")),"")8:0:8:0:0:0:8:46:=IF(OFFSET(X129,1,0)="",R129,OFFSET(X129,1,0))5:5:465038:70:=IF(OFFSET(Y129,1,0)="",X129+'Shipping Program'!$F$9,OFFSET(Y129,1,0))5:5:465338:70:=IF(OFFSET(Z129,1,0)="",Y129+'Shipping Program'!$H$9,OFFSET(Z129,1,0))5:5:465408:42:=IFERROR(IF(J129*Z129&lt;&gt;0,J129-Z129,""),"")5:2:208:69:=IF(AA129&lt;&gt;"",IF(AA129&gt;28,"Too early",IF(AA129&lt;14,"Too late","")),"")8:0:8:0:0:0:8:0:0:0:8:3:AES8:3:AES8:0:0:0:8:0:0:0:8:49:=IF(AI129="","",AI129*AJ129*AK129/1000/1000/1000)8:0:8:0:0:0:8:0:0:0:8:0:0:0:</t>
  </si>
  <si>
    <t>8:45:=COUNTIF(J$3:OFFSET(J130,-1,0),"Subtotal:")+15:1:98:45:=IF(OFFSET(B130,1,0)&lt;&gt;"",OFFSET(B130,1,0),"")8:0:8:0:0:0:8:6:BP12308:6:BP12308:13:=LEFT(F130,3)8:3:#018:12:#01 TC Booth8:12:#01 TC Booth8:27:Ducting package exhaust air8:27:Ducting package exhaust air8:0:0:0:8:102:=IF(J130&lt;&gt;"",J130 - ('Shipping Program'!$D$9 + 'Shipping Program'!$F$9 + 'Shipping Program'!$H$9), "")5:5:465138:5:465605:5:465608:39:=IF(SUM(M130:N130)=0,"",SUM(M130:N130))8:0:8:0:0:0:8:0:0:0:8:0:0:0:8:49:=VLOOKUP(I130,'Shipping Program'!$A$32:$B$78,2)-15:1:98:5:=O1305:1:98:7:=R130-75:5:464968:155:=IFERROR(XLOOKUP(P130,'Shipping Program'!$B$32:$B$78,'Shipping Program'!$A$32:$A$78),IFERROR(INDEX(_V7Batches!$B:$B,MATCH(P130&amp;"",_V7Batches!$A:$A,0)),""))5:5:465038:155:=IFERROR(XLOOKUP(P130,'Shipping Program'!$B$32:$B$78,'Shipping Program'!$E$32:$E$78),IFERROR(INDEX(_V7Batches!$D:$D,MATCH(P130&amp;"",_V7Batches!$A:$A,0)),""))5:5:465338:29:=S130+'Shipping Program'!$H$95:5:465408:42:=IFERROR(IF(J130*T130&lt;&gt;0,J130-T130,""),"")5:2:208:66:=IF(U130&lt;&gt;"",IF(U130&gt;28,"Too early",IF(U130&lt;14,"Too late","")),"")8:0:8:0:0:0:8:46:=IF(OFFSET(X130,1,0)="",R130,OFFSET(X130,1,0))5:5:465038:70:=IF(OFFSET(Y130,1,0)="",X130+'Shipping Program'!$F$9,OFFSET(Y130,1,0))5:5:465338:70:=IF(OFFSET(Z130,1,0)="",Y130+'Shipping Program'!$H$9,OFFSET(Z130,1,0))5:5:465408:42:=IFERROR(IF(J130*Z130&lt;&gt;0,J130-Z130,""),"")5:2:208:69:=IF(AA130&lt;&gt;"",IF(AA130&gt;28,"Too early",IF(AA130&lt;14,"Too late","")),"")8:0:8:0:0:0:8:0:0:0:8:3:AES8:3:AES8:0:0:0:8:0:0:0:8:49:=IF(AI130="","",AI130*AJ130*AK130/1000/1000/1000)8:0:8:0:0:0:8:0:0:0:8:0:0:0:</t>
  </si>
  <si>
    <t>8:45:=COUNTIF(J$3:OFFSET(J131,-1,0),"Subtotal:")+15:1:98:45:=IF(OFFSET(B131,1,0)&lt;&gt;"",OFFSET(B131,1,0),"")8:0:8:0:0:0:8:6:BP12308:6:BP12308:13:=LEFT(F131,3)8:3:#018:12:#01 TC Booth8:12:#01 TC Booth8:33:Ducting package recirculation air8:33:Ducting package recirculation air8:0:0:0:8:102:=IF(J131&lt;&gt;"",J131 - ('Shipping Program'!$D$9 + 'Shipping Program'!$F$9 + 'Shipping Program'!$H$9), "")5:5:465138:5:465605:5:465608:39:=IF(SUM(M131:N131)=0,"",SUM(M131:N131))8:0:8:0:0:0:8:0:0:0:8:0:0:0:8:49:=VLOOKUP(I131,'Shipping Program'!$A$32:$B$78,2)-15:1:98:5:=O1315:1:98:7:=R131-75:5:464968:155:=IFERROR(XLOOKUP(P131,'Shipping Program'!$B$32:$B$78,'Shipping Program'!$A$32:$A$78),IFERROR(INDEX(_V7Batches!$B:$B,MATCH(P131&amp;"",_V7Batches!$A:$A,0)),""))5:5:465038:155:=IFERROR(XLOOKUP(P131,'Shipping Program'!$B$32:$B$78,'Shipping Program'!$E$32:$E$78),IFERROR(INDEX(_V7Batches!$D:$D,MATCH(P131&amp;"",_V7Batches!$A:$A,0)),""))5:5:465338:29:=S131+'Shipping Program'!$H$95:5:465408:42:=IFERROR(IF(J131*T131&lt;&gt;0,J131-T131,""),"")5:2:208:66:=IF(U131&lt;&gt;"",IF(U131&gt;28,"Too early",IF(U131&lt;14,"Too late","")),"")8:0:8:0:0:0:8:46:=IF(OFFSET(X131,1,0)="",R131,OFFSET(X131,1,0))5:5:465038:70:=IF(OFFSET(Y131,1,0)="",X131+'Shipping Program'!$F$9,OFFSET(Y131,1,0))5:5:465338:70:=IF(OFFSET(Z131,1,0)="",Y131+'Shipping Program'!$H$9,OFFSET(Z131,1,0))5:5:465408:42:=IFERROR(IF(J131*Z131&lt;&gt;0,J131-Z131,""),"")5:2:208:69:=IF(AA131&lt;&gt;"",IF(AA131&gt;28,"Too early",IF(AA131&lt;14,"Too late","")),"")8:0:8:0:0:0:8:0:0:0:8:3:AES8:3:AES8:0:0:0:8:0:0:0:8:49:=IF(AI131="","",AI131*AJ131*AK131/1000/1000/1000)8:0:8:0:0:0:8:0:0:0:8:0:0:0:</t>
  </si>
  <si>
    <t>8:45:=COUNTIF(J$3:OFFSET(J132,-1,0),"Subtotal:")+15:1:98:45:=IF(OFFSET(B132,1,0)&lt;&gt;"",OFFSET(B132,1,0),"")8:0:8:0:0:0:8:6:BP10008:6:BP10008:13:=LEFT(F132,3)8:3:#138:25:#13 WD ASU+2 Filter Boxes8:25:#13 WD ASU+2 Filter Boxes8:15:Air supply unit8:15:Air supply unit8:17:ASU+WD_filter box8:17:ASU+WD_filter box8:102:=IF(J132&lt;&gt;"",J132 - ('Shipping Program'!$D$9 + 'Shipping Program'!$F$9 + 'Shipping Program'!$H$9), "")5:5:465148:5:465615:5:465618:39:=IF(SUM(M132:N132)=0,"",SUM(M132:N132))8:0:8:0:0:0:8:0:0:0:8:0:0:0:8:49:=VLOOKUP(I132,'Shipping Program'!$A$32:$B$78,2)-15:1:98:5:=O1325:1:98:7:=R132-75:5:464968:155:=IFERROR(XLOOKUP(P132,'Shipping Program'!$B$32:$B$78,'Shipping Program'!$A$32:$A$78),IFERROR(INDEX(_V7Batches!$B:$B,MATCH(P132&amp;"",_V7Batches!$A:$A,0)),""))5:5:465038:155:=IFERROR(XLOOKUP(P132,'Shipping Program'!$B$32:$B$78,'Shipping Program'!$E$32:$E$78),IFERROR(INDEX(_V7Batches!$D:$D,MATCH(P132&amp;"",_V7Batches!$A:$A,0)),""))5:5:465338:29:=S132+'Shipping Program'!$H$95:5:465408:42:=IFERROR(IF(J132*T132&lt;&gt;0,J132-T132,""),"")5:2:218:66:=IF(U132&lt;&gt;"",IF(U132&gt;28,"Too early",IF(U132&lt;14,"Too late","")),"")8:0:8:0:0:0:8:46:=IF(OFFSET(X132,1,0)="",R132,OFFSET(X132,1,0))5:5:465038:70:=IF(OFFSET(Y132,1,0)="",X132+'Shipping Program'!$F$9,OFFSET(Y132,1,0))5:5:465338:70:=IF(OFFSET(Z132,1,0)="",Y132+'Shipping Program'!$H$9,OFFSET(Z132,1,0))5:5:465408:42:=IFERROR(IF(J132*Z132&lt;&gt;0,J132-Z132,""),"")5:2:218:69:=IF(AA132&lt;&gt;"",IF(AA132&gt;28,"Too early",IF(AA132&lt;14,"Too late","")),"")8:0:8:0:0:0:8:0:0:0:8:4:Durr8:4:Durr8:3:CNF8:3:CNF8:3:F+N8:3:F+N8:49:=IF(AI132="","",AI132*AJ132*AK132/1000/1000/1000)8:0:8:0:0:0:8:0:0:0:8:0:0:0:</t>
  </si>
  <si>
    <t>8:45:=COUNTIF(J$3:OFFSET(J133,-1,0),"Subtotal:")+15:1:98:45:=IF(OFFSET(B133,1,0)&lt;&gt;"",OFFSET(B133,1,0),"")8:0:8:0:0:0:8:11:BP2110&amp;21208:11:BP2110&amp;21208:13:=LEFT(F133,3)8:3:#068:33:#06 AP10,16 PrimerSand,RepairSand8:33:#06 AP10,16 PrimerSand,RepairSand8:12:Floor module8:12:Floor module8:0:0:0:8:102:=IF(J133&lt;&gt;"",J133 - ('Shipping Program'!$D$9 + 'Shipping Program'!$F$9 + 'Shipping Program'!$H$9), "")5:5:465128:5:465595:5:465598:39:=IF(SUM(M133:N133)=0,"",SUM(M133:N133))8:0:8:0:0:0:8:0:0:0:8:0:0:0:8:49:=VLOOKUP(I133,'Shipping Program'!$A$32:$B$78,2)-15:1:98:5:=O1335:1:98:7:=R133-75:5:464968:155:=IFERROR(XLOOKUP(P133,'Shipping Program'!$B$32:$B$78,'Shipping Program'!$A$32:$A$78),IFERROR(INDEX(_V7Batches!$B:$B,MATCH(P133&amp;"",_V7Batches!$A:$A,0)),""))5:5:465038:155:=IFERROR(XLOOKUP(P133,'Shipping Program'!$B$32:$B$78,'Shipping Program'!$E$32:$E$78),IFERROR(INDEX(_V7Batches!$D:$D,MATCH(P133&amp;"",_V7Batches!$A:$A,0)),""))5:5:465338:29:=S133+'Shipping Program'!$H$95:5:465408:42:=IFERROR(IF(J133*T133&lt;&gt;0,J133-T133,""),"")5:2:198:66:=IF(U133&lt;&gt;"",IF(U133&gt;28,"Too early",IF(U133&lt;14,"Too late","")),"")8:0:8:0:0:0:8:46:=IF(OFFSET(X133,1,0)="",R133,OFFSET(X133,1,0))5:5:465038:70:=IF(OFFSET(Y133,1,0)="",X133+'Shipping Program'!$F$9,OFFSET(Y133,1,0))5:5:465338:70:=IF(OFFSET(Z133,1,0)="",Y133+'Shipping Program'!$H$9,OFFSET(Z133,1,0))5:5:465408:42:=IFERROR(IF(J133*Z133&lt;&gt;0,J133-Z133,""),"")5:2:198:69:=IF(AA133&lt;&gt;"",IF(AA133&gt;28,"Too early",IF(AA133&lt;14,"Too late","")),"")8:0:8:0:0:0:8:0:0:0:8:4:Durr8:4:Durr8:3:CNF8:3:CNF8:2:NR8:2:NR8:49:=IF(AI133="","",AI133*AJ133*AK133/1000/1000/1000)8:0:8:0:0:0:8:0:0:0:8:0:0:0:</t>
  </si>
  <si>
    <t>8:45:=COUNTIF(J$3:OFFSET(J134,-1,0),"Subtotal:")+15:1:98:45:=IF(OFFSET(B134,1,0)&lt;&gt;"",OFFSET(B134,1,0),"")8:0:8:0:0:0:8:11:BP2110&amp;21208:11:BP2110&amp;21208:13:=LEFT(F134,3)8:3:#068:33:#06 AP10,16 PrimerSand,RepairSand8:33:#06 AP10,16 PrimerSand,RepairSand8:10:Floor pans8:10:Floor pans8:0:0:0:8:102:=IF(J134&lt;&gt;"",J134 - ('Shipping Program'!$D$9 + 'Shipping Program'!$F$9 + 'Shipping Program'!$H$9), "")5:5:465138:5:465605:5:465608:39:=IF(SUM(M134:N134)=0,"",SUM(M134:N134))8:0:8:0:0:0:8:0:0:0:8:0:0:0:8:49:=VLOOKUP(I134,'Shipping Program'!$A$32:$B$78,2)-15:1:98:5:=O1345:1:98:7:=R134-75:5:464968:155:=IFERROR(XLOOKUP(P134,'Shipping Program'!$B$32:$B$78,'Shipping Program'!$A$32:$A$78),IFERROR(INDEX(_V7Batches!$B:$B,MATCH(P134&amp;"",_V7Batches!$A:$A,0)),""))5:5:465038:155:=IFERROR(XLOOKUP(P134,'Shipping Program'!$B$32:$B$78,'Shipping Program'!$E$32:$E$78),IFERROR(INDEX(_V7Batches!$D:$D,MATCH(P134&amp;"",_V7Batches!$A:$A,0)),""))5:5:465338:29:=S134+'Shipping Program'!$H$95:5:465408:42:=IFERROR(IF(J134*T134&lt;&gt;0,J134-T134,""),"")5:2:208:66:=IF(U134&lt;&gt;"",IF(U134&gt;28,"Too early",IF(U134&lt;14,"Too late","")),"")8:0:8:0:0:0:8:46:=IF(OFFSET(X134,1,0)="",R134,OFFSET(X134,1,0))5:5:465038:70:=IF(OFFSET(Y134,1,0)="",X134+'Shipping Program'!$F$9,OFFSET(Y134,1,0))5:5:465338:70:=IF(OFFSET(Z134,1,0)="",Y134+'Shipping Program'!$H$9,OFFSET(Z134,1,0))5:5:465408:42:=IFERROR(IF(J134*Z134&lt;&gt;0,J134-Z134,""),"")5:2:208:69:=IF(AA134&lt;&gt;"",IF(AA134&gt;28,"Too early",IF(AA134&lt;14,"Too late","")),"")8:0:8:0:0:0:8:0:0:0:8:4:Durr8:4:Durr8:3:CNF8:3:CNF8:2:NR8:2:NR8:49:=IF(AI134="","",AI134*AJ134*AK134/1000/1000/1000)8:0:8:0:0:0:8:0:0:0:8:0:0:0:</t>
  </si>
  <si>
    <t>8:45:=COUNTIF(J$3:OFFSET(J135,-1,0),"Subtotal:")+15:1:98:45:=IF(OFFSET(B135,1,0)&lt;&gt;"",OFFSET(B135,1,0),"")8:0:8:0:0:0:8:11:BP2110&amp;21208:11:BP2110&amp;21208:13:=LEFT(F135,3)8:3:#068:49:#06 AP13-15,20 TCInsp&amp;Audit,SpotRepair+PartChange8:49:#06 AP13-15,20 TCInsp&amp;Audit,SpotRepair+PartChange8:12:Floor module8:12:Floor module8:0:0:0:8:102:=IF(J135&lt;&gt;"",J135 - ('Shipping Program'!$D$9 + 'Shipping Program'!$F$9 + 'Shipping Program'!$H$9), "")5:5:465168:5:465635:5:465638:39:=IF(SUM(M135:N135)=0,"",SUM(M135:N135))8:0:8:0:0:0:8:0:0:0:8:0:0:0:8:49:=VLOOKUP(I135,'Shipping Program'!$A$32:$B$78,2)-15:1:98:5:=O1355:1:98:7:=R135-75:5:464968:155:=IFERROR(XLOOKUP(P135,'Shipping Program'!$B$32:$B$78,'Shipping Program'!$A$32:$A$78),IFERROR(INDEX(_V7Batches!$B:$B,MATCH(P135&amp;"",_V7Batches!$A:$A,0)),""))5:5:465038:155:=IFERROR(XLOOKUP(P135,'Shipping Program'!$B$32:$B$78,'Shipping Program'!$E$32:$E$78),IFERROR(INDEX(_V7Batches!$D:$D,MATCH(P135&amp;"",_V7Batches!$A:$A,0)),""))5:5:465338:29:=S135+'Shipping Program'!$H$95:5:465408:42:=IFERROR(IF(J135*T135&lt;&gt;0,J135-T135,""),"")5:2:238:66:=IF(U135&lt;&gt;"",IF(U135&gt;28,"Too early",IF(U135&lt;14,"Too late","")),"")8:0:8:0:0:0:8:46:=IF(OFFSET(X135,1,0)="",R135,OFFSET(X135,1,0))5:5:465038:70:=IF(OFFSET(Y135,1,0)="",X135+'Shipping Program'!$F$9,OFFSET(Y135,1,0))5:5:465338:70:=IF(OFFSET(Z135,1,0)="",Y135+'Shipping Program'!$H$9,OFFSET(Z135,1,0))5:5:465408:42:=IFERROR(IF(J135*Z135&lt;&gt;0,J135-Z135,""),"")5:2:238:69:=IF(AA135&lt;&gt;"",IF(AA135&gt;28,"Too early",IF(AA135&lt;14,"Too late","")),"")8:0:8:0:0:0:8:0:0:0:8:4:Durr8:4:Durr8:3:CNF8:3:CNF8:2:NR8:2:NR8:49:=IF(AI135="","",AI135*AJ135*AK135/1000/1000/1000)8:0:8:0:0:0:8:0:0:0:8:0:0:0:</t>
  </si>
  <si>
    <t>8:45:=COUNTIF(J$3:OFFSET(J136,-1,0),"Subtotal:")+15:1:98:45:=IF(OFFSET(B136,1,0)&lt;&gt;"",OFFSET(B136,1,0),"")8:0:8:0:0:0:8:6:BP79308:6:BP79308:13:=LEFT(F136,3)8:3:#108:41:#10 CV01 DipSkid,Lock,Preclean,ECSand,UBS8:41:#10 CV01 DipSkid,Lock,Preclean,ECSand,UBS8:24:Turn and swivel table *28:24:Turn and swivel table *28:0:0:0:8:102:=IF(J136&lt;&gt;"",J136 - ('Shipping Program'!$D$9 + 'Shipping Program'!$F$9 + 'Shipping Program'!$H$9), "")5:5:465128:5:465595:5:465598:39:=IF(SUM(M136:N136)=0,"",SUM(M136:N136))8:0:8:0:0:0:8:0:0:0:8:0:0:0:8:49:=VLOOKUP(I136,'Shipping Program'!$A$32:$B$78,2)-15:1:98:5:=O1365:1:98:7:=R136-75:5:464968:155:=IFERROR(XLOOKUP(P136,'Shipping Program'!$B$32:$B$78,'Shipping Program'!$A$32:$A$78),IFERROR(INDEX(_V7Batches!$B:$B,MATCH(P136&amp;"",_V7Batches!$A:$A,0)),""))5:5:465038:155:=IFERROR(XLOOKUP(P136,'Shipping Program'!$B$32:$B$78,'Shipping Program'!$E$32:$E$78),IFERROR(INDEX(_V7Batches!$D:$D,MATCH(P136&amp;"",_V7Batches!$A:$A,0)),""))5:5:465338:29:=S136+'Shipping Program'!$H$95:5:465408:42:=IFERROR(IF(J136*T136&lt;&gt;0,J136-T136,""),"")5:2:198:66:=IF(U136&lt;&gt;"",IF(U136&gt;28,"Too early",IF(U136&lt;14,"Too late","")),"")8:0:8:0:0:0:8:46:=IF(OFFSET(X136,1,0)="",R136,OFFSET(X136,1,0))5:5:465038:70:=IF(OFFSET(Y136,1,0)="",X136+'Shipping Program'!$F$9,OFFSET(Y136,1,0))5:5:465338:70:=IF(OFFSET(Z136,1,0)="",Y136+'Shipping Program'!$H$9,OFFSET(Z136,1,0))5:5:465408:42:=IFERROR(IF(J136*Z136&lt;&gt;0,J136-Z136,""),"")5:2:198:69:=IF(AA136&lt;&gt;"",IF(AA136&gt;28,"Too early",IF(AA136&lt;14,"Too late","")),"")8:0:8:0:0:0:8:0:0:0:8:4:Durr8:4:Durr8:3:FOB8:3:FOB8:2:NR8:2:NR8:49:=IF(AI136="","",AI136*AJ136*AK136/1000/1000/1000)8:0:8:0:0:0:8:0:0:0:8:0:0:0:</t>
  </si>
  <si>
    <t>8:45:=COUNTIF(J$3:OFFSET(J137,-1,0),"Subtotal:")+15:1:98:45:=IF(OFFSET(B137,1,0)&lt;&gt;"",OFFSET(B137,1,0),"")8:0:8:0:0:0:8:6:BP79308:6:BP79308:13:=LEFT(F137,3)8:3:#108:41:#10 CV01 DipSkid,Lock,Preclean,ECSand,UBS8:41:#10 CV01 DipSkid,Lock,Preclean,ECSand,UBS8:21:Scissor lift table *28:21:Scissor lift table *28:0:0:0:8:102:=IF(J137&lt;&gt;"",J137 - ('Shipping Program'!$D$9 + 'Shipping Program'!$F$9 + 'Shipping Program'!$H$9), "")5:5:465128:5:465595:5:465598:39:=IF(SUM(M137:N137)=0,"",SUM(M137:N137))8:0:8:0:0:0:8:0:0:0:8:0:0:0:8:49:=VLOOKUP(I137,'Shipping Program'!$A$32:$B$78,2)-15:1:98:5:=O1375:1:98:7:=R137-75:5:464968:155:=IFERROR(XLOOKUP(P137,'Shipping Program'!$B$32:$B$78,'Shipping Program'!$A$32:$A$78),IFERROR(INDEX(_V7Batches!$B:$B,MATCH(P137&amp;"",_V7Batches!$A:$A,0)),""))5:5:465038:155:=IFERROR(XLOOKUP(P137,'Shipping Program'!$B$32:$B$78,'Shipping Program'!$E$32:$E$78),IFERROR(INDEX(_V7Batches!$D:$D,MATCH(P137&amp;"",_V7Batches!$A:$A,0)),""))5:5:465338:29:=S137+'Shipping Program'!$H$95:5:465408:42:=IFERROR(IF(J137*T137&lt;&gt;0,J137-T137,""),"")5:2:198:66:=IF(U137&lt;&gt;"",IF(U137&gt;28,"Too early",IF(U137&lt;14,"Too late","")),"")8:0:8:0:0:0:8:46:=IF(OFFSET(X137,1,0)="",R137,OFFSET(X137,1,0))5:5:465038:70:=IF(OFFSET(Y137,1,0)="",X137+'Shipping Program'!$F$9,OFFSET(Y137,1,0))5:5:465338:70:=IF(OFFSET(Z137,1,0)="",Y137+'Shipping Program'!$H$9,OFFSET(Z137,1,0))5:5:465408:42:=IFERROR(IF(J137*Z137&lt;&gt;0,J137-Z137,""),"")5:2:198:69:=IF(AA137&lt;&gt;"",IF(AA137&gt;28,"Too early",IF(AA137&lt;14,"Too late","")),"")8:0:8:0:0:0:8:0:0:0:8:4:Durr8:4:Durr8:3:FOB8:3:FOB8:2:NR8:2:NR8:49:=IF(AI137="","",AI137*AJ137*AK137/1000/1000/1000)8:0:8:0:0:0:8:0:0:0:8:0:0:0:</t>
  </si>
  <si>
    <t>8:45:=COUNTIF(J$3:OFFSET(J138,-1,0),"Subtotal:")+15:1:98:45:=IF(OFFSET(B138,1,0)&lt;&gt;"",OFFSET(B138,1,0),"")8:0:8:0:0:0:8:6:BP79308:6:BP79308:13:=LEFT(F138,3)8:3:#108:41:#10 CV01 DipSkid,Lock,Preclean,ECSand,UBS8:41:#10 CV01 DipSkid,Lock,Preclean,ECSand,UBS8:24:Body transfer station *18:24:Body transfer station *18:0:0:0:8:102:=IF(J138&lt;&gt;"",J138 - ('Shipping Program'!$D$9 + 'Shipping Program'!$F$9 + 'Shipping Program'!$H$9), "")5:5:465128:5:465595:5:465598:39:=IF(SUM(M138:N138)=0,"",SUM(M138:N138))8:0:8:0:0:0:8:0:0:0:8:0:0:0:8:49:=VLOOKUP(I138,'Shipping Program'!$A$32:$B$78,2)-15:1:98:5:=O1385:1:98:7:=R138-75:5:464968:155:=IFERROR(XLOOKUP(P138,'Shipping Program'!$B$32:$B$78,'Shipping Program'!$A$32:$A$78),IFERROR(INDEX(_V7Batches!$B:$B,MATCH(P138&amp;"",_V7Batches!$A:$A,0)),""))5:5:465038:155:=IFERROR(XLOOKUP(P138,'Shipping Program'!$B$32:$B$78,'Shipping Program'!$E$32:$E$78),IFERROR(INDEX(_V7Batches!$D:$D,MATCH(P138&amp;"",_V7Batches!$A:$A,0)),""))5:5:465338:29:=S138+'Shipping Program'!$H$95:5:465408:42:=IFERROR(IF(J138*T138&lt;&gt;0,J138-T138,""),"")5:2:198:66:=IF(U138&lt;&gt;"",IF(U138&gt;28,"Too early",IF(U138&lt;14,"Too late","")),"")8:0:8:0:0:0:8:46:=IF(OFFSET(X138,1,0)="",R138,OFFSET(X138,1,0))5:5:465038:70:=IF(OFFSET(Y138,1,0)="",X138+'Shipping Program'!$F$9,OFFSET(Y138,1,0))5:5:465338:70:=IF(OFFSET(Z138,1,0)="",Y138+'Shipping Program'!$H$9,OFFSET(Z138,1,0))5:5:465408:42:=IFERROR(IF(J138*Z138&lt;&gt;0,J138-Z138,""),"")5:2:198:69:=IF(AA138&lt;&gt;"",IF(AA138&gt;28,"Too early",IF(AA138&lt;14,"Too late","")),"")8:0:8:0:0:0:8:0:0:0:8:4:Durr8:4:Durr8:3:FOB8:3:FOB8:2:NR8:2:NR8:49:=IF(AI138="","",AI138*AJ138*AK138/1000/1000/1000)8:0:8:0:0:0:8:0:0:0:8:0:0:0:</t>
  </si>
  <si>
    <t>8:45:=COUNTIF(J$3:OFFSET(J139,-1,0),"Subtotal:")+15:1:98:45:=IF(OFFSET(B139,1,0)&lt;&gt;"",OFFSET(B139,1,0),"")8:0:8:0:0:0:8:6:BP79308:6:BP79308:13:=LEFT(F139,3)8:3:#108:41:#10 CV01 DipSkid,Lock,Preclean,ECSand,UBS8:41:#10 CV01 DipSkid,Lock,Preclean,ECSand,UBS8:22:Body locking device *28:22:Body locking device *28:0:0:0:8:102:=IF(J139&lt;&gt;"",J139 - ('Shipping Program'!$D$9 + 'Shipping Program'!$F$9 + 'Shipping Program'!$H$9), "")5:5:465128:5:465595:5:465598:39:=IF(SUM(M139:N139)=0,"",SUM(M139:N139))8:0:8:0:0:0:8:0:0:0:8:0:0:0:8:49:=VLOOKUP(I139,'Shipping Program'!$A$32:$B$78,2)-15:1:98:5:=O1395:1:98:7:=R139-75:5:464968:155:=IFERROR(XLOOKUP(P139,'Shipping Program'!$B$32:$B$78,'Shipping Program'!$A$32:$A$78),IFERROR(INDEX(_V7Batches!$B:$B,MATCH(P139&amp;"",_V7Batches!$A:$A,0)),""))5:5:465038:155:=IFERROR(XLOOKUP(P139,'Shipping Program'!$B$32:$B$78,'Shipping Program'!$E$32:$E$78),IFERROR(INDEX(_V7Batches!$D:$D,MATCH(P139&amp;"",_V7Batches!$A:$A,0)),""))5:5:465338:29:=S139+'Shipping Program'!$H$95:5:465408:42:=IFERROR(IF(J139*T139&lt;&gt;0,J139-T139,""),"")5:2:198:66:=IF(U139&lt;&gt;"",IF(U139&gt;28,"Too early",IF(U139&lt;14,"Too late","")),"")8:0:8:0:0:0:8:46:=IF(OFFSET(X139,1,0)="",R139,OFFSET(X139,1,0))5:5:465038:70:=IF(OFFSET(Y139,1,0)="",X139+'Shipping Program'!$F$9,OFFSET(Y139,1,0))5:5:465338:70:=IF(OFFSET(Z139,1,0)="",Y139+'Shipping Program'!$H$9,OFFSET(Z139,1,0))5:5:465408:42:=IFERROR(IF(J139*Z139&lt;&gt;0,J139-Z139,""),"")5:2:198:69:=IF(AA139&lt;&gt;"",IF(AA139&gt;28,"Too early",IF(AA139&lt;14,"Too late","")),"")8:0:8:0:0:0:8:0:0:0:8:4:Durr8:4:Durr8:3:FOB8:3:FOB8:2:NR8:2:NR8:49:=IF(AI139="","",AI139*AJ139*AK139/1000/1000/1000)8:0:8:0:0:0:8:0:0:0:8:0:0:0:</t>
  </si>
  <si>
    <t>8:45:=COUNTIF(J$3:OFFSET(J140,-1,0),"Subtotal:")+15:1:98:45:=IF(OFFSET(B140,1,0)&lt;&gt;"",OFFSET(B140,1,0),"")8:0:8:0:0:0:8:6:BP79308:6:BP79308:13:=LEFT(F140,3)8:3:#108:41:#10 CV01 DipSkid,Lock,Preclean,ECSand,UBS8:41:#10 CV01 DipSkid,Lock,Preclean,ECSand,UBS8:14:Skid fixing *68:14:Skid fixing *68:0:0:0:8:102:=IF(J140&lt;&gt;"",J140 - ('Shipping Program'!$D$9 + 'Shipping Program'!$F$9 + 'Shipping Program'!$H$9), "")5:5:465128:5:465595:5:465598:39:=IF(SUM(M140:N140)=0,"",SUM(M140:N140))8:0:8:0:0:0:8:0:0:0:8:0:0:0:8:49:=VLOOKUP(I140,'Shipping Program'!$A$32:$B$78,2)-15:1:98:5:=O1405:1:98:7:=R140-75:5:464968:155:=IFERROR(XLOOKUP(P140,'Shipping Program'!$B$32:$B$78,'Shipping Program'!$A$32:$A$78),IFERROR(INDEX(_V7Batches!$B:$B,MATCH(P140&amp;"",_V7Batches!$A:$A,0)),""))5:5:465038:155:=IFERROR(XLOOKUP(P140,'Shipping Program'!$B$32:$B$78,'Shipping Program'!$E$32:$E$78),IFERROR(INDEX(_V7Batches!$D:$D,MATCH(P140&amp;"",_V7Batches!$A:$A,0)),""))5:5:465338:29:=S140+'Shipping Program'!$H$95:5:465408:42:=IFERROR(IF(J140*T140&lt;&gt;0,J140-T140,""),"")5:2:198:66:=IF(U140&lt;&gt;"",IF(U140&gt;28,"Too early",IF(U140&lt;14,"Too late","")),"")8:0:8:0:0:0:8:46:=IF(OFFSET(X140,1,0)="",R140,OFFSET(X140,1,0))5:5:465038:70:=IF(OFFSET(Y140,1,0)="",X140+'Shipping Program'!$F$9,OFFSET(Y140,1,0))5:5:465338:70:=IF(OFFSET(Z140,1,0)="",Y140+'Shipping Program'!$H$9,OFFSET(Z140,1,0))5:5:465408:42:=IFERROR(IF(J140*Z140&lt;&gt;0,J140-Z140,""),"")5:2:198:69:=IF(AA140&lt;&gt;"",IF(AA140&gt;28,"Too early",IF(AA140&lt;14,"Too late","")),"")8:0:8:0:0:0:8:0:0:0:8:4:Durr8:4:Durr8:3:FOB8:3:FOB8:2:NR8:2:NR8:49:=IF(AI140="","",AI140*AJ140*AK140/1000/1000/1000)8:0:8:0:0:0:8:0:0:0:8:0:0:0:</t>
  </si>
  <si>
    <t>8:45:=COUNTIF(J$3:OFFSET(J141,-1,0),"Subtotal:")+15:1:98:45:=IF(OFFSET(B141,1,0)&lt;&gt;"",OFFSET(B141,1,0),"")8:0:8:0:0:0:8:6:BP79308:6:BP79308:13:=LEFT(F141,3)8:3:#108:41:#10 CV01 DipSkid,Lock,Preclean,ECSand,UBS8:41:#10 CV01 DipSkid,Lock,Preclean,ECSand,UBS8:15:Skid stacker *18:15:Skid stacker *18:0:0:0:8:102:=IF(J141&lt;&gt;"",J141 - ('Shipping Program'!$D$9 + 'Shipping Program'!$F$9 + 'Shipping Program'!$H$9), "")5:5:465128:5:465595:5:465598:39:=IF(SUM(M141:N141)=0,"",SUM(M141:N141))8:0:8:0:0:0:8:0:0:0:8:0:0:0:8:49:=VLOOKUP(I141,'Shipping Program'!$A$32:$B$78,2)-15:1:98:5:=O1415:1:98:7:=R141-75:5:464968:155:=IFERROR(XLOOKUP(P141,'Shipping Program'!$B$32:$B$78,'Shipping Program'!$A$32:$A$78),IFERROR(INDEX(_V7Batches!$B:$B,MATCH(P141&amp;"",_V7Batches!$A:$A,0)),""))5:5:465038:155:=IFERROR(XLOOKUP(P141,'Shipping Program'!$B$32:$B$78,'Shipping Program'!$E$32:$E$78),IFERROR(INDEX(_V7Batches!$D:$D,MATCH(P141&amp;"",_V7Batches!$A:$A,0)),""))5:5:465338:29:=S141+'Shipping Program'!$H$95:5:465408:42:=IFERROR(IF(J141*T141&lt;&gt;0,J141-T141,""),"")5:2:198:66:=IF(U141&lt;&gt;"",IF(U141&gt;28,"Too early",IF(U141&lt;14,"Too late","")),"")8:0:8:0:0:0:8:46:=IF(OFFSET(X141,1,0)="",R141,OFFSET(X141,1,0))5:5:465038:70:=IF(OFFSET(Y141,1,0)="",X141+'Shipping Program'!$F$9,OFFSET(Y141,1,0))5:5:465338:70:=IF(OFFSET(Z141,1,0)="",Y141+'Shipping Program'!$H$9,OFFSET(Z141,1,0))5:5:465408:42:=IFERROR(IF(J141*Z141&lt;&gt;0,J141-Z141,""),"")5:2:198:69:=IF(AA141&lt;&gt;"",IF(AA141&gt;28,"Too early",IF(AA141&lt;14,"Too late","")),"")8:0:8:0:0:0:8:0:0:0:8:4:Durr8:4:Durr8:3:FOB8:3:FOB8:2:NR8:2:NR8:49:=IF(AI141="","",AI141*AJ141*AK141/1000/1000/1000)8:0:8:0:0:0:8:0:0:0:8:0:0:0:</t>
  </si>
  <si>
    <t>8:45:=COUNTIF(J$3:OFFSET(J142,-1,0),"Subtotal:")+15:1:98:45:=IF(OFFSET(B142,1,0)&lt;&gt;"",OFFSET(B142,1,0),"")8:0:8:0:0:0:8:6:BP79308:6:BP79308:13:=LEFT(F142,3)8:3:#108:11:#10 RoDip E8:11:#10 RoDip E8:28:RoDip transfer station entry8:28:RoDip transfer station entry8:0:0:0:8:102:=IF(J142&lt;&gt;"",J142 - ('Shipping Program'!$D$9 + 'Shipping Program'!$F$9 + 'Shipping Program'!$H$9), "")5:5:465148:5:465615:5:465618:39:=IF(SUM(M142:N142)=0,"",SUM(M142:N142))8:0:8:0:0:0:8:0:0:0:8:0:0:0:8:49:=VLOOKUP(I142,'Shipping Program'!$A$32:$B$78,2)-15:1:98:5:=O1425:1:98:7:=R142-75:5:464968:155:=IFERROR(XLOOKUP(P142,'Shipping Program'!$B$32:$B$78,'Shipping Program'!$A$32:$A$78),IFERROR(INDEX(_V7Batches!$B:$B,MATCH(P142&amp;"",_V7Batches!$A:$A,0)),""))5:5:465038:155:=IFERROR(XLOOKUP(P142,'Shipping Program'!$B$32:$B$78,'Shipping Program'!$E$32:$E$78),IFERROR(INDEX(_V7Batches!$D:$D,MATCH(P142&amp;"",_V7Batches!$A:$A,0)),""))5:5:465338:29:=S142+'Shipping Program'!$H$95:5:465408:42:=IFERROR(IF(J142*T142&lt;&gt;0,J142-T142,""),"")5:2:218:66:=IF(U142&lt;&gt;"",IF(U142&gt;28,"Too early",IF(U142&lt;14,"Too late","")),"")8:0:8:0:0:0:8:46:=IF(OFFSET(X142,1,0)="",R142,OFFSET(X142,1,0))5:5:465038:70:=IF(OFFSET(Y142,1,0)="",X142+'Shipping Program'!$F$9,OFFSET(Y142,1,0))5:5:465338:70:=IF(OFFSET(Z142,1,0)="",Y142+'Shipping Program'!$H$9,OFFSET(Z142,1,0))5:5:465408:42:=IFERROR(IF(J142*Z142&lt;&gt;0,J142-Z142,""),"")5:2:218:69:=IF(AA142&lt;&gt;"",IF(AA142&gt;28,"Too early",IF(AA142&lt;14,"Too late","")),"")8:0:8:0:0:0:8:0:0:0:8:4:Durr8:4:Durr8:3:FOB8:3:FOB8:2:NR8:2:NR8:49:=IF(AI142="","",AI142*AJ142*AK142/1000/1000/1000)8:0:8:0:0:0:8:0:0:0:8:0:0:0:</t>
  </si>
  <si>
    <t>8:45:=COUNTIF(J$3:OFFSET(J143,-1,0),"Subtotal:")+15:1:98:45:=IF(OFFSET(B143,1,0)&lt;&gt;"",OFFSET(B143,1,0),"")8:0:8:0:0:0:8:6:BP79308:6:BP79308:13:=LEFT(F143,3)8:3:#108:25:#10 CV05 PrimerBooth&amp;Oven8:25:#10 CV05 PrimerBooth&amp;Oven8:21:Turn and swivel table8:21:Turn and swivel table8:0:0:0:8:102:=IF(J143&lt;&gt;"",J143 - ('Shipping Program'!$D$9 + 'Shipping Program'!$F$9 + 'Shipping Program'!$H$9), "")5:5:465118:5:465585:5:465588:39:=IF(SUM(M143:N143)=0,"",SUM(M143:N143))8:0:8:0:0:0:8:0:0:0:8:0:0:0:8:49:=VLOOKUP(I143,'Shipping Program'!$A$32:$B$78,2)-15:1:98:5:=O1435:1:98:7:=R143-75:5:464968:155:=IFERROR(XLOOKUP(P143,'Shipping Program'!$B$32:$B$78,'Shipping Program'!$A$32:$A$78),IFERROR(INDEX(_V7Batches!$B:$B,MATCH(P143&amp;"",_V7Batches!$A:$A,0)),""))5:5:465038:155:=IFERROR(XLOOKUP(P143,'Shipping Program'!$B$32:$B$78,'Shipping Program'!$E$32:$E$78),IFERROR(INDEX(_V7Batches!$D:$D,MATCH(P143&amp;"",_V7Batches!$A:$A,0)),""))5:5:465338:29:=S143+'Shipping Program'!$H$95:5:465408:42:=IFERROR(IF(J143*T143&lt;&gt;0,J143-T143,""),"")5:2:188:66:=IF(U143&lt;&gt;"",IF(U143&gt;28,"Too early",IF(U143&lt;14,"Too late","")),"")8:0:8:0:0:0:8:46:=IF(OFFSET(X143,1,0)="",R143,OFFSET(X143,1,0))5:5:465038:70:=IF(OFFSET(Y143,1,0)="",X143+'Shipping Program'!$F$9,OFFSET(Y143,1,0))5:5:465338:70:=IF(OFFSET(Z143,1,0)="",Y143+'Shipping Program'!$H$9,OFFSET(Z143,1,0))5:5:465408:42:=IFERROR(IF(J143*Z143&lt;&gt;0,J143-Z143,""),"")5:2:188:69:=IF(AA143&lt;&gt;"",IF(AA143&gt;28,"Too early",IF(AA143&lt;14,"Too late","")),"")8:0:8:0:0:0:8:0:0:0:8:4:Durr8:4:Durr8:3:FOB8:3:FOB8:2:NR8:2:NR8:49:=IF(AI143="","",AI143*AJ143*AK143/1000/1000/1000)8:0:8:0:0:0:8:0:0:0:8:0:0:0:</t>
  </si>
  <si>
    <t>8:45:=COUNTIF(J$3:OFFSET(J144,-1,0),"Subtotal:")+15:1:98:45:=IF(OFFSET(B144,1,0)&lt;&gt;"",OFFSET(B144,1,0),"")8:0:8:0:0:0:8:6:BP79308:6:BP79308:13:=LEFT(F144,3)8:3:#108:21:#10 CV07 TCBooth&amp;Oven8:21:#10 CV07 TCBooth&amp;Oven8:27:Suspension chain CV oven *18:27:Suspension chain CV oven *18:0:0:0:8:102:=IF(J144&lt;&gt;"",J144 - ('Shipping Program'!$D$9 + 'Shipping Program'!$F$9 + 'Shipping Program'!$H$9), "")5:5:465168:5:465635:5:465638:39:=IF(SUM(M144:N144)=0,"",SUM(M144:N144))8:0:8:0:0:0:8:0:0:0:8:0:0:0:8:49:=VLOOKUP(I144,'Shipping Program'!$A$32:$B$78,2)-15:1:98:5:=O1445:1:98:7:=R144-75:5:464968:155:=IFERROR(XLOOKUP(P144,'Shipping Program'!$B$32:$B$78,'Shipping Program'!$A$32:$A$78),IFERROR(INDEX(_V7Batches!$B:$B,MATCH(P144&amp;"",_V7Batches!$A:$A,0)),""))5:5:465038:155:=IFERROR(XLOOKUP(P144,'Shipping Program'!$B$32:$B$78,'Shipping Program'!$E$32:$E$78),IFERROR(INDEX(_V7Batches!$D:$D,MATCH(P144&amp;"",_V7Batches!$A:$A,0)),""))5:5:465338:29:=S144+'Shipping Program'!$H$95:5:465408:42:=IFERROR(IF(J144*T144&lt;&gt;0,J144-T144,""),"")5:2:238:66:=IF(U144&lt;&gt;"",IF(U144&gt;28,"Too early",IF(U144&lt;14,"Too late","")),"")8:0:8:0:0:0:8:46:=IF(OFFSET(X144,1,0)="",R144,OFFSET(X144,1,0))5:5:465038:70:=IF(OFFSET(Y144,1,0)="",X144+'Shipping Program'!$F$9,OFFSET(Y144,1,0))5:5:465338:70:=IF(OFFSET(Z144,1,0)="",Y144+'Shipping Program'!$H$9,OFFSET(Z144,1,0))5:5:465408:42:=IFERROR(IF(J144*Z144&lt;&gt;0,J144-Z144,""),"")5:2:238:69:=IF(AA144&lt;&gt;"",IF(AA144&gt;28,"Too early",IF(AA144&lt;14,"Too late","")),"")8:0:8:0:0:0:8:0:0:0:8:4:Durr8:4:Durr8:3:FOB8:3:FOB8:2:NR8:2:NR8:49:=IF(AI144="","",AI144*AJ144*AK144/1000/1000/1000)8:0:8:0:0:0:8:0:0:0:8:0:0:0:</t>
  </si>
  <si>
    <t>8:45:=COUNTIF(J$3:OFFSET(J145,-1,0),"Subtotal:")+15:1:98:45:=IF(OFFSET(B145,1,0)&lt;&gt;"",OFFSET(B145,1,0),"")8:0:8:0:0:0:8:6:BP79308:6:BP79308:13:=LEFT(F145,3)8:3:#108:21:#10 CV07 TCBooth&amp;Oven8:21:#10 CV07 TCBooth&amp;Oven8:28:Suspension chain CV booth *18:28:Suspension chain CV booth *18:0:0:0:8:102:=IF(J145&lt;&gt;"",J145 - ('Shipping Program'!$D$9 + 'Shipping Program'!$F$9 + 'Shipping Program'!$H$9), "")5:5:465158:5:465625:5:465628:39:=IF(SUM(M145:N145)=0,"",SUM(M145:N145))8:0:8:0:0:0:8:0:0:0:8:0:0:0:8:49:=VLOOKUP(I145,'Shipping Program'!$A$32:$B$78,2)-15:1:98:5:=O1455:1:98:7:=R145-75:5:464968:155:=IFERROR(XLOOKUP(P145,'Shipping Program'!$B$32:$B$78,'Shipping Program'!$A$32:$A$78),IFERROR(INDEX(_V7Batches!$B:$B,MATCH(P145&amp;"",_V7Batches!$A:$A,0)),""))5:5:465038:155:=IFERROR(XLOOKUP(P145,'Shipping Program'!$B$32:$B$78,'Shipping Program'!$E$32:$E$78),IFERROR(INDEX(_V7Batches!$D:$D,MATCH(P145&amp;"",_V7Batches!$A:$A,0)),""))5:5:465338:29:=S145+'Shipping Program'!$H$95:5:465408:42:=IFERROR(IF(J145*T145&lt;&gt;0,J145-T145,""),"")5:2:228:66:=IF(U145&lt;&gt;"",IF(U145&gt;28,"Too early",IF(U145&lt;14,"Too late","")),"")8:0:8:0:0:0:8:46:=IF(OFFSET(X145,1,0)="",R145,OFFSET(X145,1,0))5:5:465038:70:=IF(OFFSET(Y145,1,0)="",X145+'Shipping Program'!$F$9,OFFSET(Y145,1,0))5:5:465338:70:=IF(OFFSET(Z145,1,0)="",Y145+'Shipping Program'!$H$9,OFFSET(Z145,1,0))5:5:465408:42:=IFERROR(IF(J145*Z145&lt;&gt;0,J145-Z145,""),"")5:2:228:69:=IF(AA145&lt;&gt;"",IF(AA145&gt;28,"Too early",IF(AA145&lt;14,"Too late","")),"")8:0:8:0:0:0:8:0:0:0:8:4:Durr8:4:Durr8:3:FOB8:3:FOB8:2:NR8:2:NR8:49:=IF(AI145="","",AI145*AJ145*AK145/1000/1000/1000)8:0:8:0:0:0:8:0:0:0:8:0:0:0:</t>
  </si>
  <si>
    <t>8:45:=COUNTIF(J$3:OFFSET(J146,-1,0),"Subtotal:")+15:1:98:45:=IF(OFFSET(B146,1,0)&lt;&gt;"",OFFSET(B146,1,0),"")8:0:8:0:0:0:8:6:BP13328:6:BP13328:13:=LEFT(F146,3)8:3:#208:22:#20 CS Work Zone + ASU8:22:#20 CS Work Zone + ASU8:23:Control cabinets set up8:23:Control cabinets set up8:0:0:0:8:102:=IF(J146&lt;&gt;"",J146 - ('Shipping Program'!$D$9 + 'Shipping Program'!$F$9 + 'Shipping Program'!$H$9), "")5:5:465138:5:465605:5:465608:39:=IF(SUM(M146:N146)=0,"",SUM(M146:N146))8:0:8:0:0:0:8:0:0:0:8:0:0:0:8:49:=VLOOKUP(I146,'Shipping Program'!$A$32:$B$78,2)-15:1:98:5:=O1465:1:98:7:=R146-75:5:464968:155:=IFERROR(XLOOKUP(P146,'Shipping Program'!$B$32:$B$78,'Shipping Program'!$A$32:$A$78),IFERROR(INDEX(_V7Batches!$B:$B,MATCH(P146&amp;"",_V7Batches!$A:$A,0)),""))5:5:465038:155:=IFERROR(XLOOKUP(P146,'Shipping Program'!$B$32:$B$78,'Shipping Program'!$E$32:$E$78),IFERROR(INDEX(_V7Batches!$D:$D,MATCH(P146&amp;"",_V7Batches!$A:$A,0)),""))5:5:465338:29:=S146+'Shipping Program'!$H$95:5:465408:42:=IFERROR(IF(J146*T146&lt;&gt;0,J146-T146,""),"")5:2:208:66:=IF(U146&lt;&gt;"",IF(U146&gt;28,"Too early",IF(U146&lt;14,"Too late","")),"")8:0:8:0:0:0:8:46:=IF(OFFSET(X146,1,0)="",R146,OFFSET(X146,1,0))5:5:465038:70:=IF(OFFSET(Y146,1,0)="",X146+'Shipping Program'!$F$9,OFFSET(Y146,1,0))5:5:465338:70:=IF(OFFSET(Z146,1,0)="",Y146+'Shipping Program'!$H$9,OFFSET(Z146,1,0))5:5:465408:42:=IFERROR(IF(J146*Z146&lt;&gt;0,J146-Z146,""),"")5:2:208:69:=IF(AA146&lt;&gt;"",IF(AA146&gt;28,"Too early",IF(AA146&lt;14,"Too late","")),"")8:0:8:0:0:0:8:0:0:0:8:4:Durr8:4:Durr8:3:CNF8:3:CNF8:2:NR8:2:NR8:49:=IF(AI146="","",AI146*AJ146*AK146/1000/1000/1000)8:0:8:0:0:0:8:0:0:0:8:0:0:0:</t>
  </si>
  <si>
    <t>8:45:=COUNTIF(J$3:OFFSET(J147,-1,0),"Subtotal:")+15:1:98:0:0:0:8:0:0:0:8:0:0:0:8:0:0:0:8:0:0:0:8:0:0:0:8:0:0:0:8:0:0:0:8:9:Subtotal:8:9:Subtotal:8:56:=SUMIF(A$3:OFFSET(A147,-1,0),A147,K$3:OFFSET(K147,-1,0))5:1:08:56:=SUMIF(A$3:OFFSET(A147,-1,0),A147,L$3:OFFSET(L147,-1,0))5:1:08:0:0:0:8:0:0:0:8:0:0:0:8:0:0:0:8:7:=R147-75:5:464968:42:=IF(J147="Subtotal:",OFFSET(R147,-1,0),"")5:5:465038:42:=IF(J147="Subtotal:",OFFSET(S147,-1,0),"")5:5:465338:42:=IF(J147="Subtotal:",OFFSET(T147,-1,0),"")5:5:465408:42:=IFERROR(IF(J147*T147&lt;&gt;0,J147-T147,""),"")8:0:8:66:=IF(U147&lt;&gt;"",IF(U147&gt;28,"Too early",IF(U147&lt;14,"Too late","")),"")8:0:8:147:=(SUMIFS($K:$K,$J:$J,"&lt;&gt;Subtotal:",$J:$J,"&gt;"&amp;S147,$S:$S,"&lt;="&amp;S147))*24*1.3+(SUMIFS($L:$L,$J:$J,"&lt;&gt;Subtotal:",$J:$J,"&gt;"&amp;S147,$S:$S,"&lt;="&amp;S147))/3*1.35:1:08:0:0:0:8:0:0:0:8:0:0:0:8:42:=IFERROR(IF(J147*Z147&lt;&gt;0,J147-Z147,""),"")8:0:8:69:=IF(AA147&lt;&gt;"",IF(AA147&gt;28,"Too early",IF(AA147&lt;14,"Too late","")),"")8:0:8:147:=(SUMIFS($K:$K,$J:$J,"&lt;&gt;Subtotal:",$J:$J,"&gt;"&amp;Y147,$Y:$Y,"&lt;="&amp;Y147))*24*1.3+(SUMIFS($L:$L,$J:$J,"&lt;&gt;Subtotal:",$J:$J,"&gt;"&amp;Y147,$Y:$Y,"&lt;="&amp;Y147))/3*1.35:1:08:0:0:0:8:0:0:0:8:0:0:0:8:0:0:0:8:0:0:0:8:0:0:0:8:0:0:0:8:0:0:0:</t>
  </si>
  <si>
    <t>8:45:=COUNTIF(J$3:OFFSET(J148,-1,0),"Subtotal:")+15:2:108:45:=IF(OFFSET(B148,1,0)&lt;&gt;"",OFFSET(B148,1,0),"")8:0:8:0:0:0:8:6:BP15308:6:BP15308:13:=LEFT(F148,3)8:3:#018:16:#01 Primer Booth8:16:#01 Primer Booth8:18:Insulation package8:18:Insulation package8:0:0:0:8:102:=IF(J148&lt;&gt;"",J148 - ('Shipping Program'!$D$9 + 'Shipping Program'!$F$9 + 'Shipping Program'!$H$9), "")5:5:465208:5:465675:5:465678:39:=IF(SUM(M148:N148)=0,"",SUM(M148:N148))8:0:8:0:0:0:8:0:0:0:8:0:0:0:8:49:=VLOOKUP(I148,'Shipping Program'!$A$32:$B$78,2)-15:2:108:5:=O1485:2:108:7:=R148-75:5:465038:155:=IFERROR(XLOOKUP(P148,'Shipping Program'!$B$32:$B$78,'Shipping Program'!$A$32:$A$78),IFERROR(INDEX(_V7Batches!$B:$B,MATCH(P148&amp;"",_V7Batches!$A:$A,0)),""))5:5:465108:155:=IFERROR(XLOOKUP(P148,'Shipping Program'!$B$32:$B$78,'Shipping Program'!$E$32:$E$78),IFERROR(INDEX(_V7Batches!$D:$D,MATCH(P148&amp;"",_V7Batches!$A:$A,0)),""))5:5:465408:29:=S148+'Shipping Program'!$H$95:5:465478:42:=IFERROR(IF(J148*T148&lt;&gt;0,J148-T148,""),"")5:2:208:66:=IF(U148&lt;&gt;"",IF(U148&gt;28,"Too early",IF(U148&lt;14,"Too late","")),"")8:0:8:0:0:0:8:46:=IF(OFFSET(X148,1,0)="",R148,OFFSET(X148,1,0))5:5:465108:70:=IF(OFFSET(Y148,1,0)="",X148+'Shipping Program'!$F$9,OFFSET(Y148,1,0))5:5:465408:70:=IF(OFFSET(Z148,1,0)="",Y148+'Shipping Program'!$H$9,OFFSET(Z148,1,0))5:5:465478:42:=IFERROR(IF(J148*Z148&lt;&gt;0,J148-Z148,""),"")5:2:208:69:=IF(AA148&lt;&gt;"",IF(AA148&gt;28,"Too early",IF(AA148&lt;14,"Too late","")),"")8:0:8:0:0:0:8:0:0:0:8:3:AES8:3:AES8:0:0:0:8:0:0:0:8:49:=IF(AI148="","",AI148*AJ148*AK148/1000/1000/1000)8:0:8:0:0:0:8:0:0:0:8:0:0:0:</t>
  </si>
  <si>
    <t>8:45:=COUNTIF(J$3:OFFSET(J149,-1,0),"Subtotal:")+15:2:108:45:=IF(OFFSET(B149,1,0)&lt;&gt;"",OFFSET(B149,1,0),"")8:0:8:0:0:0:8:6:BP17008:6:BP17008:13:=LEFT(F149,3)8:3:#138:25:#13 WD ASU+2 Filter Boxes8:25:#13 WD ASU+2 Filter Boxes8:15:Humidifier unit8:15:Humidifier unit8:17:ASU+WD_filter box8:17:ASU+WD_filter box8:102:=IF(J149&lt;&gt;"",J149 - ('Shipping Program'!$D$9 + 'Shipping Program'!$F$9 + 'Shipping Program'!$H$9), "")5:5:465198:5:465665:5:465668:39:=IF(SUM(M149:N149)=0,"",SUM(M149:N149))8:0:8:0:0:0:8:0:0:0:8:0:0:0:8:49:=VLOOKUP(I149,'Shipping Program'!$A$32:$B$78,2)-15:2:108:5:=O1495:2:108:7:=R149-75:5:465038:155:=IFERROR(XLOOKUP(P149,'Shipping Program'!$B$32:$B$78,'Shipping Program'!$A$32:$A$78),IFERROR(INDEX(_V7Batches!$B:$B,MATCH(P149&amp;"",_V7Batches!$A:$A,0)),""))5:5:465108:155:=IFERROR(XLOOKUP(P149,'Shipping Program'!$B$32:$B$78,'Shipping Program'!$E$32:$E$78),IFERROR(INDEX(_V7Batches!$D:$D,MATCH(P149&amp;"",_V7Batches!$A:$A,0)),""))5:5:465408:29:=S149+'Shipping Program'!$H$95:5:465478:42:=IFERROR(IF(J149*T149&lt;&gt;0,J149-T149,""),"")5:2:198:66:=IF(U149&lt;&gt;"",IF(U149&gt;28,"Too early",IF(U149&lt;14,"Too late","")),"")8:0:8:0:0:0:8:46:=IF(OFFSET(X149,1,0)="",R149,OFFSET(X149,1,0))5:5:465108:70:=IF(OFFSET(Y149,1,0)="",X149+'Shipping Program'!$F$9,OFFSET(Y149,1,0))5:5:465408:70:=IF(OFFSET(Z149,1,0)="",Y149+'Shipping Program'!$H$9,OFFSET(Z149,1,0))5:5:465478:42:=IFERROR(IF(J149*Z149&lt;&gt;0,J149-Z149,""),"")5:2:198:69:=IF(AA149&lt;&gt;"",IF(AA149&gt;28,"Too early",IF(AA149&lt;14,"Too late","")),"")8:0:8:0:0:0:8:0:0:0:8:3:AES8:3:AES8:0:0:0:8:0:0:0:8:49:=IF(AI149="","",AI149*AJ149*AK149/1000/1000/1000)8:0:8:0:0:0:8:0:0:0:8:0:0:0:</t>
  </si>
  <si>
    <t>8:45:=COUNTIF(J$3:OFFSET(J150,-1,0),"Subtotal:")+15:2:108:45:=IF(OFFSET(B150,1,0)&lt;&gt;"",OFFSET(B150,1,0),"")8:0:8:0:0:0:8:6:BP10008:6:BP10008:13:=LEFT(F150,3)8:3:#138:16:#13 TC Booth RAU8:16:#13 TC Booth RAU8:15:Air supply unit8:15:Air supply unit8:3:RAU8:3:RAU8:102:=IF(J150&lt;&gt;"",J150 - ('Shipping Program'!$D$9 + 'Shipping Program'!$F$9 + 'Shipping Program'!$H$9), "")5:5:465198:5:465665:5:465668:39:=IF(SUM(M150:N150)=0,"",SUM(M150:N150))8:0:8:0:0:0:8:0:0:0:8:0:0:0:8:49:=VLOOKUP(I150,'Shipping Program'!$A$32:$B$78,2)-15:2:108:5:=O1505:2:108:7:=R150-75:5:465038:155:=IFERROR(XLOOKUP(P150,'Shipping Program'!$B$32:$B$78,'Shipping Program'!$A$32:$A$78),IFERROR(INDEX(_V7Batches!$B:$B,MATCH(P150&amp;"",_V7Batches!$A:$A,0)),""))5:5:465108:155:=IFERROR(XLOOKUP(P150,'Shipping Program'!$B$32:$B$78,'Shipping Program'!$E$32:$E$78),IFERROR(INDEX(_V7Batches!$D:$D,MATCH(P150&amp;"",_V7Batches!$A:$A,0)),""))5:5:465408:29:=S150+'Shipping Program'!$H$95:5:465478:42:=IFERROR(IF(J150*T150&lt;&gt;0,J150-T150,""),"")5:2:198:66:=IF(U150&lt;&gt;"",IF(U150&gt;28,"Too early",IF(U150&lt;14,"Too late","")),"")8:0:8:0:0:0:8:46:=IF(OFFSET(X150,1,0)="",R150,OFFSET(X150,1,0))5:5:465108:70:=IF(OFFSET(Y150,1,0)="",X150+'Shipping Program'!$F$9,OFFSET(Y150,1,0))5:5:465408:70:=IF(OFFSET(Z150,1,0)="",Y150+'Shipping Program'!$H$9,OFFSET(Z150,1,0))5:5:465478:42:=IFERROR(IF(J150*Z150&lt;&gt;0,J150-Z150,""),"")5:2:198:69:=IF(AA150&lt;&gt;"",IF(AA150&gt;28,"Too early",IF(AA150&lt;14,"Too late","")),"")8:0:8:0:0:0:8:0:0:0:8:4:Durr8:4:Durr8:3:CNF8:3:CNF8:3:F+N8:3:F+N8:49:=IF(AI150="","",AI150*AJ150*AK150/1000/1000/1000)8:0:8:0:0:0:8:0:0:0:8:0:0:0:</t>
  </si>
  <si>
    <t>8:45:=COUNTIF(J$3:OFFSET(J151,-1,0),"Subtotal:")+15:2:108:45:=IF(OFFSET(B151,1,0)&lt;&gt;"",OFFSET(B151,1,0),"")8:0:8:0:0:0:8:6:BP17008:6:BP17008:13:=LEFT(F151,3)8:3:#138:16:#13 TC Booth RAU8:16:#13 TC Booth RAU8:15:Humidifier unit8:15:Humidifier unit8:3:RAU8:3:RAU8:102:=IF(J151&lt;&gt;"",J151 - ('Shipping Program'!$D$9 + 'Shipping Program'!$F$9 + 'Shipping Program'!$H$9), "")5:5:465208:5:465675:5:465678:39:=IF(SUM(M151:N151)=0,"",SUM(M151:N151))8:0:8:0:0:0:8:0:0:0:8:0:0:0:8:49:=VLOOKUP(I151,'Shipping Program'!$A$32:$B$78,2)-15:2:108:5:=O1515:2:108:7:=R151-75:5:465038:155:=IFERROR(XLOOKUP(P151,'Shipping Program'!$B$32:$B$78,'Shipping Program'!$A$32:$A$78),IFERROR(INDEX(_V7Batches!$B:$B,MATCH(P151&amp;"",_V7Batches!$A:$A,0)),""))5:5:465108:155:=IFERROR(XLOOKUP(P151,'Shipping Program'!$B$32:$B$78,'Shipping Program'!$E$32:$E$78),IFERROR(INDEX(_V7Batches!$D:$D,MATCH(P151&amp;"",_V7Batches!$A:$A,0)),""))5:5:465408:29:=S151+'Shipping Program'!$H$95:5:465478:42:=IFERROR(IF(J151*T151&lt;&gt;0,J151-T151,""),"")5:2:208:66:=IF(U151&lt;&gt;"",IF(U151&gt;28,"Too early",IF(U151&lt;14,"Too late","")),"")8:0:8:0:0:0:8:46:=IF(OFFSET(X151,1,0)="",R151,OFFSET(X151,1,0))5:5:465108:70:=IF(OFFSET(Y151,1,0)="",X151+'Shipping Program'!$F$9,OFFSET(Y151,1,0))5:5:465408:70:=IF(OFFSET(Z151,1,0)="",Y151+'Shipping Program'!$H$9,OFFSET(Z151,1,0))5:5:465478:42:=IFERROR(IF(J151*Z151&lt;&gt;0,J151-Z151,""),"")5:2:208:69:=IF(AA151&lt;&gt;"",IF(AA151&gt;28,"Too early",IF(AA151&lt;14,"Too late","")),"")8:0:8:0:0:0:8:0:0:0:8:3:AES8:3:AES8:0:0:0:8:0:0:0:8:49:=IF(AI151="","",AI151*AJ151*AK151/1000/1000/1000)8:0:8:0:0:0:8:0:0:0:8:0:0:0:</t>
  </si>
  <si>
    <t>8:45:=COUNTIF(J$3:OFFSET(J152,-1,0),"Subtotal:")+15:2:108:45:=IF(OFFSET(B152,1,0)&lt;&gt;"",OFFSET(B152,1,0),"")8:0:8:0:0:0:8:11:BP2110&amp;21208:11:BP2110&amp;21208:13:=LEFT(F152,3)8:3:#068:33:#06 AP10,16 PrimerSand,RepairSand8:33:#06 AP10,16 PrimerSand,RepairSand8:13:Booth housing8:13:Booth housing8:0:0:0:8:102:=IF(J152&lt;&gt;"",J152 - ('Shipping Program'!$D$9 + 'Shipping Program'!$F$9 + 'Shipping Program'!$H$9), "")5:5:465228:5:465695:5:465698:39:=IF(SUM(M152:N152)=0,"",SUM(M152:N152))8:0:8:0:0:0:8:0:0:0:8:0:0:0:8:49:=VLOOKUP(I152,'Shipping Program'!$A$32:$B$78,2)-15:2:108:5:=O1525:2:108:7:=R152-75:5:465038:155:=IFERROR(XLOOKUP(P152,'Shipping Program'!$B$32:$B$78,'Shipping Program'!$A$32:$A$78),IFERROR(INDEX(_V7Batches!$B:$B,MATCH(P152&amp;"",_V7Batches!$A:$A,0)),""))5:5:465108:155:=IFERROR(XLOOKUP(P152,'Shipping Program'!$B$32:$B$78,'Shipping Program'!$E$32:$E$78),IFERROR(INDEX(_V7Batches!$D:$D,MATCH(P152&amp;"",_V7Batches!$A:$A,0)),""))5:5:465408:29:=S152+'Shipping Program'!$H$95:5:465478:42:=IFERROR(IF(J152*T152&lt;&gt;0,J152-T152,""),"")5:2:228:66:=IF(U152&lt;&gt;"",IF(U152&gt;28,"Too early",IF(U152&lt;14,"Too late","")),"")8:0:8:0:0:0:8:46:=IF(OFFSET(X152,1,0)="",R152,OFFSET(X152,1,0))5:5:465108:70:=IF(OFFSET(Y152,1,0)="",X152+'Shipping Program'!$F$9,OFFSET(Y152,1,0))5:5:465408:70:=IF(OFFSET(Z152,1,0)="",Y152+'Shipping Program'!$H$9,OFFSET(Z152,1,0))5:5:465478:42:=IFERROR(IF(J152*Z152&lt;&gt;0,J152-Z152,""),"")5:2:228:69:=IF(AA152&lt;&gt;"",IF(AA152&gt;28,"Too early",IF(AA152&lt;14,"Too late","")),"")8:0:8:0:0:0:8:0:0:0:8:4:Durr8:4:Durr8:3:CNF8:3:CNF8:2:NR8:2:NR8:49:=IF(AI152="","",AI152*AJ152*AK152/1000/1000/1000)8:0:8:0:0:0:8:0:0:0:8:0:0:0:</t>
  </si>
  <si>
    <t>8:45:=COUNTIF(J$3:OFFSET(J153,-1,0),"Subtotal:")+15:2:108:45:=IF(OFFSET(B153,1,0)&lt;&gt;"",OFFSET(B153,1,0),"")8:0:8:0:0:0:8:11:BP2110&amp;21208:11:BP2110&amp;21208:13:=LEFT(F153,3)8:3:#068:49:#06 AP13-15,20 TCInsp&amp;Audit,SpotRepair+PartChange8:49:#06 AP13-15,20 TCInsp&amp;Audit,SpotRepair+PartChange8:10:Floor pans8:10:Floor pans8:0:0:0:8:102:=IF(J153&lt;&gt;"",J153 - ('Shipping Program'!$D$9 + 'Shipping Program'!$F$9 + 'Shipping Program'!$H$9), "")5:5:465198:5:465665:5:465668:39:=IF(SUM(M153:N153)=0,"",SUM(M153:N153))8:0:8:0:0:0:8:0:0:0:8:0:0:0:8:49:=VLOOKUP(I153,'Shipping Program'!$A$32:$B$78,2)-15:2:108:5:=O1535:2:108:7:=R153-75:5:465038:155:=IFERROR(XLOOKUP(P153,'Shipping Program'!$B$32:$B$78,'Shipping Program'!$A$32:$A$78),IFERROR(INDEX(_V7Batches!$B:$B,MATCH(P153&amp;"",_V7Batches!$A:$A,0)),""))5:5:465108:155:=IFERROR(XLOOKUP(P153,'Shipping Program'!$B$32:$B$78,'Shipping Program'!$E$32:$E$78),IFERROR(INDEX(_V7Batches!$D:$D,MATCH(P153&amp;"",_V7Batches!$A:$A,0)),""))5:5:465408:29:=S153+'Shipping Program'!$H$95:5:465478:42:=IFERROR(IF(J153*T153&lt;&gt;0,J153-T153,""),"")5:2:198:66:=IF(U153&lt;&gt;"",IF(U153&gt;28,"Too early",IF(U153&lt;14,"Too late","")),"")8:0:8:0:0:0:8:46:=IF(OFFSET(X153,1,0)="",R153,OFFSET(X153,1,0))5:5:465108:70:=IF(OFFSET(Y153,1,0)="",X153+'Shipping Program'!$F$9,OFFSET(Y153,1,0))5:5:465408:70:=IF(OFFSET(Z153,1,0)="",Y153+'Shipping Program'!$H$9,OFFSET(Z153,1,0))5:5:465478:42:=IFERROR(IF(J153*Z153&lt;&gt;0,J153-Z153,""),"")5:2:198:69:=IF(AA153&lt;&gt;"",IF(AA153&gt;28,"Too early",IF(AA153&lt;14,"Too late","")),"")8:0:8:0:0:0:8:0:0:0:8:4:Durr8:4:Durr8:3:CNF8:3:CNF8:2:NR8:2:NR8:49:=IF(AI153="","",AI153*AJ153*AK153/1000/1000/1000)8:0:8:0:0:0:8:0:0:0:8:0:0:0:</t>
  </si>
  <si>
    <t>8:45:=COUNTIF(J$3:OFFSET(J154,-1,0),"Subtotal:")+15:2:108:0:0:0:8:0:0:0:8:0:0:0:8:0:0:0:8:0:0:0:8:0:0:0:8:0:0:0:8:0:0:0:8:9:Subtotal:8:9:Subtotal:8:56:=SUMIF(A$3:OFFSET(A154,-1,0),A154,K$3:OFFSET(K154,-1,0))5:1:08:56:=SUMIF(A$3:OFFSET(A154,-1,0),A154,L$3:OFFSET(L154,-1,0))5:1:08:0:0:0:8:0:0:0:8:0:0:0:8:0:0:0:8:7:=R154-75:5:465038:42:=IF(J154="Subtotal:",OFFSET(R154,-1,0),"")5:5:465108:42:=IF(J154="Subtotal:",OFFSET(S154,-1,0),"")5:5:465408:42:=IF(J154="Subtotal:",OFFSET(T154,-1,0),"")5:5:465478:42:=IFERROR(IF(J154*T154&lt;&gt;0,J154-T154,""),"")8:0:8:66:=IF(U154&lt;&gt;"",IF(U154&gt;28,"Too early",IF(U154&lt;14,"Too late","")),"")8:0:8:147:=(SUMIFS($K:$K,$J:$J,"&lt;&gt;Subtotal:",$J:$J,"&gt;"&amp;S154,$S:$S,"&lt;="&amp;S154))*24*1.3+(SUMIFS($L:$L,$J:$J,"&lt;&gt;Subtotal:",$J:$J,"&gt;"&amp;S154,$S:$S,"&lt;="&amp;S154))/3*1.35:1:08:0:0:0:8:0:0:0:8:0:0:0:8:42:=IFERROR(IF(J154*Z154&lt;&gt;0,J154-Z154,""),"")8:0:8:69:=IF(AA154&lt;&gt;"",IF(AA154&gt;28,"Too early",IF(AA154&lt;14,"Too late","")),"")8:0:8:147:=(SUMIFS($K:$K,$J:$J,"&lt;&gt;Subtotal:",$J:$J,"&gt;"&amp;Y154,$Y:$Y,"&lt;="&amp;Y154))*24*1.3+(SUMIFS($L:$L,$J:$J,"&lt;&gt;Subtotal:",$J:$J,"&gt;"&amp;Y154,$Y:$Y,"&lt;="&amp;Y154))/3*1.35:1:08:0:0:0:8:0:0:0:8:0:0:0:8:0:0:0:8:0:0:0:8:0:0:0:8:0:0:0:8:0:0:0:</t>
  </si>
  <si>
    <t>8:45:=COUNTIF(J$3:OFFSET(J155,-1,0),"Subtotal:")+15:2:118:45:=IF(OFFSET(B155,1,0)&lt;&gt;"",OFFSET(B155,1,0),"")8:0:8:0:0:0:8:6:BP15208:6:BP15208:13:=LEFT(F155,3)8:3:#048:15:#04 Primer Oven8:15:#04 Primer Oven8:18:Insulation package8:18:Insulation package8:0:0:0:8:102:=IF(J155&lt;&gt;"",J155 - ('Shipping Program'!$D$9 + 'Shipping Program'!$F$9 + 'Shipping Program'!$H$9), "")5:5:465268:5:465735:5:465738:39:=IF(SUM(M155:N155)=0,"",SUM(M155:N155))8:0:8:0:0:0:8:0:0:0:8:0:0:0:8:49:=VLOOKUP(I155,'Shipping Program'!$A$32:$B$78,2)-15:2:118:5:=O1555:2:118:7:=R155-75:5:465108:155:=IFERROR(XLOOKUP(P155,'Shipping Program'!$B$32:$B$78,'Shipping Program'!$A$32:$A$78),IFERROR(INDEX(_V7Batches!$B:$B,MATCH(P155&amp;"",_V7Batches!$A:$A,0)),""))5:5:465178:155:=IFERROR(XLOOKUP(P155,'Shipping Program'!$B$32:$B$78,'Shipping Program'!$E$32:$E$78),IFERROR(INDEX(_V7Batches!$D:$D,MATCH(P155&amp;"",_V7Batches!$A:$A,0)),""))5:5:465478:29:=S155+'Shipping Program'!$H$95:5:465548:42:=IFERROR(IF(J155*T155&lt;&gt;0,J155-T155,""),"")5:2:198:66:=IF(U155&lt;&gt;"",IF(U155&gt;28,"Too early",IF(U155&lt;14,"Too late","")),"")8:0:8:0:0:0:8:46:=IF(OFFSET(X155,1,0)="",R155,OFFSET(X155,1,0))5:5:465178:70:=IF(OFFSET(Y155,1,0)="",X155+'Shipping Program'!$F$9,OFFSET(Y155,1,0))5:5:465478:70:=IF(OFFSET(Z155,1,0)="",Y155+'Shipping Program'!$H$9,OFFSET(Z155,1,0))5:5:465548:42:=IFERROR(IF(J155*Z155&lt;&gt;0,J155-Z155,""),"")5:2:198:69:=IF(AA155&lt;&gt;"",IF(AA155&gt;28,"Too early",IF(AA155&lt;14,"Too late","")),"")8:0:8:0:0:0:8:0:0:0:8:3:AES8:3:AES8:0:0:0:8:0:0:0:8:49:=IF(AI155="","",AI155*AJ155*AK155/1000/1000/1000)8:0:8:0:0:0:8:0:0:0:8:0:0:0:</t>
  </si>
  <si>
    <t>8:45:=COUNTIF(J$3:OFFSET(J156,-1,0),"Subtotal:")+15:2:118:45:=IF(OFFSET(B156,1,0)&lt;&gt;"",OFFSET(B156,1,0),"")8:0:8:0:0:0:8:6:BP19508:6:BP19508:13:=LEFT(F156,3)8:3:#098:13:#09 Steelwork8:13:#09 Steelwork8:18:Plenum line CP3.208:18:Plenum line CP3.208:3:CP38:3:CP38:102:=IF(J156&lt;&gt;"",J156 - ('Shipping Program'!$D$9 + 'Shipping Program'!$F$9 + 'Shipping Program'!$H$9), "")5:5:465258:5:465725:5:465728:39:=IF(SUM(M156:N156)=0,"",SUM(M156:N156))8:0:8:0:0:0:8:0:0:0:8:0:0:0:8:49:=VLOOKUP(I156,'Shipping Program'!$A$32:$B$78,2)-15:2:118:5:=O1565:2:118:7:=R156-75:5:465108:155:=IFERROR(XLOOKUP(P156,'Shipping Program'!$B$32:$B$78,'Shipping Program'!$A$32:$A$78),IFERROR(INDEX(_V7Batches!$B:$B,MATCH(P156&amp;"",_V7Batches!$A:$A,0)),""))5:5:465178:155:=IFERROR(XLOOKUP(P156,'Shipping Program'!$B$32:$B$78,'Shipping Program'!$E$32:$E$78),IFERROR(INDEX(_V7Batches!$D:$D,MATCH(P156&amp;"",_V7Batches!$A:$A,0)),""))5:5:465478:29:=S156+'Shipping Program'!$H$95:5:465548:42:=IFERROR(IF(J156*T156&lt;&gt;0,J156-T156,""),"")5:2:188:66:=IF(U156&lt;&gt;"",IF(U156&gt;28,"Too early",IF(U156&lt;14,"Too late","")),"")8:0:8:0:0:0:8:46:=IF(OFFSET(X156,1,0)="",R156,OFFSET(X156,1,0))5:5:465178:70:=IF(OFFSET(Y156,1,0)="",X156+'Shipping Program'!$F$9,OFFSET(Y156,1,0))5:5:465478:70:=IF(OFFSET(Z156,1,0)="",Y156+'Shipping Program'!$H$9,OFFSET(Z156,1,0))5:5:465548:42:=IFERROR(IF(J156*Z156&lt;&gt;0,J156-Z156,""),"")5:2:188:69:=IF(AA156&lt;&gt;"",IF(AA156&gt;28,"Too early",IF(AA156&lt;14,"Too late","")),"")8:0:8:0:0:0:8:0:0:0:8:3:AES8:3:AES8:0:0:0:8:0:0:0:8:49:=IF(AI156="","",AI156*AJ156*AK156/1000/1000/1000)8:0:8:0:0:0:8:0:0:0:8:0:0:0:</t>
  </si>
  <si>
    <t>8:45:=COUNTIF(J$3:OFFSET(J157,-1,0),"Subtotal:")+15:2:118:45:=IF(OFFSET(B157,1,0)&lt;&gt;"",OFFSET(B157,1,0),"")8:0:8:0:0:0:8:6:BP10008:6:BP10008:13:=LEFT(F157,3)8:3:#138:20:#13 Primer Booth ASU8:20:#13 Primer Booth ASU8:15:Air supply unit8:15:Air supply unit8:3:ASU8:3:ASU8:102:=IF(J157&lt;&gt;"",J157 - ('Shipping Program'!$D$9 + 'Shipping Program'!$F$9 + 'Shipping Program'!$H$9), "")5:5:465288:5:465755:5:465758:39:=IF(SUM(M157:N157)=0,"",SUM(M157:N157))8:0:8:0:0:0:8:0:0:0:8:0:0:0:8:49:=VLOOKUP(I157,'Shipping Program'!$A$32:$B$78,2)-15:2:118:5:=O1575:2:118:7:=R157-75:5:465108:155:=IFERROR(XLOOKUP(P157,'Shipping Program'!$B$32:$B$78,'Shipping Program'!$A$32:$A$78),IFERROR(INDEX(_V7Batches!$B:$B,MATCH(P157&amp;"",_V7Batches!$A:$A,0)),""))5:5:465178:155:=IFERROR(XLOOKUP(P157,'Shipping Program'!$B$32:$B$78,'Shipping Program'!$E$32:$E$78),IFERROR(INDEX(_V7Batches!$D:$D,MATCH(P157&amp;"",_V7Batches!$A:$A,0)),""))5:5:465478:29:=S157+'Shipping Program'!$H$95:5:465548:42:=IFERROR(IF(J157*T157&lt;&gt;0,J157-T157,""),"")5:2:218:66:=IF(U157&lt;&gt;"",IF(U157&gt;28,"Too early",IF(U157&lt;14,"Too late","")),"")8:0:8:0:0:0:8:46:=IF(OFFSET(X157,1,0)="",R157,OFFSET(X157,1,0))5:5:465178:70:=IF(OFFSET(Y157,1,0)="",X157+'Shipping Program'!$F$9,OFFSET(Y157,1,0))5:5:465478:70:=IF(OFFSET(Z157,1,0)="",Y157+'Shipping Program'!$H$9,OFFSET(Z157,1,0))5:5:465548:42:=IFERROR(IF(J157*Z157&lt;&gt;0,J157-Z157,""),"")5:2:218:69:=IF(AA157&lt;&gt;"",IF(AA157&gt;28,"Too early",IF(AA157&lt;14,"Too late","")),"")8:0:8:0:0:0:8:0:0:0:8:4:Durr8:4:Durr8:3:CNF8:3:CNF8:3:F+N8:3:F+N8:49:=IF(AI157="","",AI157*AJ157*AK157/1000/1000/1000)8:0:8:0:0:0:8:0:0:0:8:0:0:0:</t>
  </si>
  <si>
    <t>8:45:=COUNTIF(J$3:OFFSET(J158,-1,0),"Subtotal:")+15:2:118:45:=IF(OFFSET(B158,1,0)&lt;&gt;"",OFFSET(B158,1,0),"")8:0:8:0:0:0:8:6:BP17008:6:BP17008:13:=LEFT(F158,3)8:3:#138:20:#13 Primer Booth ASU8:20:#13 Primer Booth ASU8:15:Humidifier unit8:15:Humidifier unit8:3:ASU8:3:ASU8:102:=IF(J158&lt;&gt;"",J158 - ('Shipping Program'!$D$9 + 'Shipping Program'!$F$9 + 'Shipping Program'!$H$9), "")5:5:465298:5:465765:5:465768:39:=IF(SUM(M158:N158)=0,"",SUM(M158:N158))8:0:8:0:0:0:8:0:0:0:8:0:0:0:8:49:=VLOOKUP(I158,'Shipping Program'!$A$32:$B$78,2)-15:2:118:5:=O1585:2:118:7:=R158-75:5:465108:155:=IFERROR(XLOOKUP(P158,'Shipping Program'!$B$32:$B$78,'Shipping Program'!$A$32:$A$78),IFERROR(INDEX(_V7Batches!$B:$B,MATCH(P158&amp;"",_V7Batches!$A:$A,0)),""))5:5:465178:155:=IFERROR(XLOOKUP(P158,'Shipping Program'!$B$32:$B$78,'Shipping Program'!$E$32:$E$78),IFERROR(INDEX(_V7Batches!$D:$D,MATCH(P158&amp;"",_V7Batches!$A:$A,0)),""))5:5:465478:29:=S158+'Shipping Program'!$H$95:5:465548:42:=IFERROR(IF(J158*T158&lt;&gt;0,J158-T158,""),"")5:2:228:66:=IF(U158&lt;&gt;"",IF(U158&gt;28,"Too early",IF(U158&lt;14,"Too late","")),"")8:0:8:0:0:0:8:46:=IF(OFFSET(X158,1,0)="",R158,OFFSET(X158,1,0))5:5:465178:70:=IF(OFFSET(Y158,1,0)="",X158+'Shipping Program'!$F$9,OFFSET(Y158,1,0))5:5:465478:70:=IF(OFFSET(Z158,1,0)="",Y158+'Shipping Program'!$H$9,OFFSET(Z158,1,0))5:5:465548:42:=IFERROR(IF(J158*Z158&lt;&gt;0,J158-Z158,""),"")5:2:228:69:=IF(AA158&lt;&gt;"",IF(AA158&gt;28,"Too early",IF(AA158&lt;14,"Too late","")),"")8:0:8:0:0:0:8:0:0:0:8:3:AES8:3:AES8:0:0:0:8:0:0:0:8:49:=IF(AI158="","",AI158*AJ158*AK158/1000/1000/1000)8:0:8:0:0:0:8:0:0:0:8:0:0:0:</t>
  </si>
  <si>
    <t>8:45:=COUNTIF(J$3:OFFSET(J159,-1,0),"Subtotal:")+15:2:118:45:=IF(OFFSET(B159,1,0)&lt;&gt;"",OFFSET(B159,1,0),"")8:0:8:0:0:0:8:6:BP17008:6:BP17008:13:=LEFT(F159,3)8:3:#138:16:#13 TC Booth RAU8:16:#13 TC Booth RAU8:16:Regulation train8:16:Regulation train8:3:RAU8:3:RAU8:102:=IF(J159&lt;&gt;"",J159 - ('Shipping Program'!$D$9 + 'Shipping Program'!$F$9 + 'Shipping Program'!$H$9), "")5:5:465278:5:465745:5:465748:39:=IF(SUM(M159:N159)=0,"",SUM(M159:N159))8:0:8:0:0:0:8:0:0:0:8:0:0:0:8:49:=VLOOKUP(I159,'Shipping Program'!$A$32:$B$78,2)-15:2:118:5:=O1595:2:118:7:=R159-75:5:465108:155:=IFERROR(XLOOKUP(P159,'Shipping Program'!$B$32:$B$78,'Shipping Program'!$A$32:$A$78),IFERROR(INDEX(_V7Batches!$B:$B,MATCH(P159&amp;"",_V7Batches!$A:$A,0)),""))5:5:465178:155:=IFERROR(XLOOKUP(P159,'Shipping Program'!$B$32:$B$78,'Shipping Program'!$E$32:$E$78),IFERROR(INDEX(_V7Batches!$D:$D,MATCH(P159&amp;"",_V7Batches!$A:$A,0)),""))5:5:465478:29:=S159+'Shipping Program'!$H$95:5:465548:42:=IFERROR(IF(J159*T159&lt;&gt;0,J159-T159,""),"")5:2:208:66:=IF(U159&lt;&gt;"",IF(U159&gt;28,"Too early",IF(U159&lt;14,"Too late","")),"")8:0:8:0:0:0:8:46:=IF(OFFSET(X159,1,0)="",R159,OFFSET(X159,1,0))5:5:465178:70:=IF(OFFSET(Y159,1,0)="",X159+'Shipping Program'!$F$9,OFFSET(Y159,1,0))5:5:465478:70:=IF(OFFSET(Z159,1,0)="",Y159+'Shipping Program'!$H$9,OFFSET(Z159,1,0))5:5:465548:42:=IFERROR(IF(J159*Z159&lt;&gt;0,J159-Z159,""),"")5:2:208:69:=IF(AA159&lt;&gt;"",IF(AA159&gt;28,"Too early",IF(AA159&lt;14,"Too late","")),"")8:0:8:0:0:0:8:0:0:0:8:4:Durr8:4:Durr8:3:CNF8:3:CNF8:2:NR8:2:NR8:49:=IF(AI159="","",AI159*AJ159*AK159/1000/1000/1000)8:0:8:0:0:0:8:0:0:0:8:0:0:0:</t>
  </si>
  <si>
    <t>8:45:=COUNTIF(J$3:OFFSET(J160,-1,0),"Subtotal:")+15:2:118:45:=IF(OFFSET(B160,1,0)&lt;&gt;"",OFFSET(B160,1,0),"")8:0:8:0:0:0:8:6:BP23108:6:BP23108:13:=LEFT(F160,3)8:3:#118:24:#11 Utility distribution8:24:#11 Utility distribution8:10:Insulation8:10:Insulation8:0:0:0:8:102:=IF(J160&lt;&gt;"",J160 - ('Shipping Program'!$D$9 + 'Shipping Program'!$F$9 + 'Shipping Program'!$H$9), "")5:5:465288:5:465755:5:465758:39:=IF(SUM(M160:N160)=0,"",SUM(M160:N160))8:0:8:0:0:0:8:0:0:0:8:0:0:0:8:49:=VLOOKUP(I160,'Shipping Program'!$A$32:$B$78,2)-15:2:118:5:=O1605:2:118:7:=R160-75:5:465108:155:=IFERROR(XLOOKUP(P160,'Shipping Program'!$B$32:$B$78,'Shipping Program'!$A$32:$A$78),IFERROR(INDEX(_V7Batches!$B:$B,MATCH(P160&amp;"",_V7Batches!$A:$A,0)),""))5:5:465178:155:=IFERROR(XLOOKUP(P160,'Shipping Program'!$B$32:$B$78,'Shipping Program'!$E$32:$E$78),IFERROR(INDEX(_V7Batches!$D:$D,MATCH(P160&amp;"",_V7Batches!$A:$A,0)),""))5:5:465478:29:=S160+'Shipping Program'!$H$95:5:465548:42:=IFERROR(IF(J160*T160&lt;&gt;0,J160-T160,""),"")5:2:218:66:=IF(U160&lt;&gt;"",IF(U160&gt;28,"Too early",IF(U160&lt;14,"Too late","")),"")8:0:8:0:0:0:8:46:=IF(OFFSET(X160,1,0)="",R160,OFFSET(X160,1,0))5:5:465178:70:=IF(OFFSET(Y160,1,0)="",X160+'Shipping Program'!$F$9,OFFSET(Y160,1,0))5:5:465478:70:=IF(OFFSET(Z160,1,0)="",Y160+'Shipping Program'!$H$9,OFFSET(Z160,1,0))5:5:465548:42:=IFERROR(IF(J160*Z160&lt;&gt;0,J160-Z160,""),"")5:2:218:69:=IF(AA160&lt;&gt;"",IF(AA160&gt;28,"Too early",IF(AA160&lt;14,"Too late","")),"")8:0:8:0:0:0:8:0:0:0:8:3:AES8:3:AES8:0:0:0:8:0:0:0:8:49:=IF(AI160="","",AI160*AJ160*AK160/1000/1000/1000)8:0:8:0:0:0:8:0:0:0:8:0:0:0:</t>
  </si>
  <si>
    <t>8:45:=COUNTIF(J$3:OFFSET(J161,-1,0),"Subtotal:")+15:2:118:45:=IF(OFFSET(B161,1,0)&lt;&gt;"",OFFSET(B161,1,0),"")8:0:8:0:0:0:8:11:BP2110&amp;21208:11:BP2110&amp;21208:13:=LEFT(F161,3)8:3:#068:33:#06 AP10,16 PrimerSand,RepairSand8:33:#06 AP10,16 PrimerSand,RepairSand8:32:Internal ducting incl. Equipment8:32:Internal ducting incl. Equipment8:0:0:0:8:102:=IF(J161&lt;&gt;"",J161 - ('Shipping Program'!$D$9 + 'Shipping Program'!$F$9 + 'Shipping Program'!$H$9), "")5:5:465248:5:465715:5:465718:39:=IF(SUM(M161:N161)=0,"",SUM(M161:N161))8:0:8:0:0:0:8:0:0:0:8:0:0:0:8:49:=VLOOKUP(I161,'Shipping Program'!$A$32:$B$78,2)-15:2:118:5:=O1615:2:118:7:=R161-75:5:465108:155:=IFERROR(XLOOKUP(P161,'Shipping Program'!$B$32:$B$78,'Shipping Program'!$A$32:$A$78),IFERROR(INDEX(_V7Batches!$B:$B,MATCH(P161&amp;"",_V7Batches!$A:$A,0)),""))5:5:465178:155:=IFERROR(XLOOKUP(P161,'Shipping Program'!$B$32:$B$78,'Shipping Program'!$E$32:$E$78),IFERROR(INDEX(_V7Batches!$D:$D,MATCH(P161&amp;"",_V7Batches!$A:$A,0)),""))5:5:465478:29:=S161+'Shipping Program'!$H$95:5:465548:42:=IFERROR(IF(J161*T161&lt;&gt;0,J161-T161,""),"")5:2:178:66:=IF(U161&lt;&gt;"",IF(U161&gt;28,"Too early",IF(U161&lt;14,"Too late","")),"")8:0:8:0:0:0:8:46:=IF(OFFSET(X161,1,0)="",R161,OFFSET(X161,1,0))5:5:465178:70:=IF(OFFSET(Y161,1,0)="",X161+'Shipping Program'!$F$9,OFFSET(Y161,1,0))5:5:465478:70:=IF(OFFSET(Z161,1,0)="",Y161+'Shipping Program'!$H$9,OFFSET(Z161,1,0))5:5:465548:42:=IFERROR(IF(J161*Z161&lt;&gt;0,J161-Z161,""),"")5:2:178:69:=IF(AA161&lt;&gt;"",IF(AA161&gt;28,"Too early",IF(AA161&lt;14,"Too late","")),"")8:0:8:0:0:0:8:0:0:0:8:4:Durr8:4:Durr8:3:CNF8:3:CNF8:2:NR8:2:NR8:49:=IF(AI161="","",AI161*AJ161*AK161/1000/1000/1000)8:0:8:0:0:0:8:0:0:0:8:0:0:0:</t>
  </si>
  <si>
    <t>8:45:=COUNTIF(J$3:OFFSET(J162,-1,0),"Subtotal:")+15:2:118:45:=IF(OFFSET(B162,1,0)&lt;&gt;"",OFFSET(B162,1,0),"")8:0:8:0:0:0:8:11:BP2110&amp;21208:11:BP2110&amp;21208:13:=LEFT(F162,3)8:3:#068:49:#06 AP13-15,20 TCInsp&amp;Audit,SpotRepair+PartChange8:49:#06 AP13-15,20 TCInsp&amp;Audit,SpotRepair+PartChange8:13:Booth housing8:13:Booth housing8:0:0:0:8:102:=IF(J162&lt;&gt;"",J162 - ('Shipping Program'!$D$9 + 'Shipping Program'!$F$9 + 'Shipping Program'!$H$9), "")5:5:465268:5:465735:5:465738:39:=IF(SUM(M162:N162)=0,"",SUM(M162:N162))8:0:8:0:0:0:8:0:0:0:8:0:0:0:8:49:=VLOOKUP(I162,'Shipping Program'!$A$32:$B$78,2)-15:2:118:5:=O1625:2:118:7:=R162-75:5:465108:155:=IFERROR(XLOOKUP(P162,'Shipping Program'!$B$32:$B$78,'Shipping Program'!$A$32:$A$78),IFERROR(INDEX(_V7Batches!$B:$B,MATCH(P162&amp;"",_V7Batches!$A:$A,0)),""))5:5:465178:155:=IFERROR(XLOOKUP(P162,'Shipping Program'!$B$32:$B$78,'Shipping Program'!$E$32:$E$78),IFERROR(INDEX(_V7Batches!$D:$D,MATCH(P162&amp;"",_V7Batches!$A:$A,0)),""))5:5:465478:29:=S162+'Shipping Program'!$H$95:5:465548:42:=IFERROR(IF(J162*T162&lt;&gt;0,J162-T162,""),"")5:2:198:66:=IF(U162&lt;&gt;"",IF(U162&gt;28,"Too early",IF(U162&lt;14,"Too late","")),"")8:0:8:0:0:0:8:46:=IF(OFFSET(X162,1,0)="",R162,OFFSET(X162,1,0))5:5:465178:70:=IF(OFFSET(Y162,1,0)="",X162+'Shipping Program'!$F$9,OFFSET(Y162,1,0))5:5:465478:70:=IF(OFFSET(Z162,1,0)="",Y162+'Shipping Program'!$H$9,OFFSET(Z162,1,0))5:5:465548:42:=IFERROR(IF(J162*Z162&lt;&gt;0,J162-Z162,""),"")5:2:198:69:=IF(AA162&lt;&gt;"",IF(AA162&gt;28,"Too early",IF(AA162&lt;14,"Too late","")),"")8:0:8:0:0:0:8:0:0:0:8:4:Durr8:4:Durr8:3:CNF8:3:CNF8:2:NR8:2:NR8:49:=IF(AI162="","",AI162*AJ162*AK162/1000/1000/1000)8:0:8:0:0:0:8:0:0:0:8:0:0:0:</t>
  </si>
  <si>
    <t>8:45:=COUNTIF(J$3:OFFSET(J163,-1,0),"Subtotal:")+15:2:118:45:=IF(OFFSET(B163,1,0)&lt;&gt;"",OFFSET(B163,1,0),"")8:0:8:0:0:0:8:11:BP2110&amp;21208:11:BP2110&amp;21208:13:=LEFT(F163,3)8:3:#068:49:#06 AP13-15,20 TCInsp&amp;Audit,SpotRepair+PartChange8:49:#06 AP13-15,20 TCInsp&amp;Audit,SpotRepair+PartChange8:32:Internal ducting incl. Equipment8:32:Internal ducting incl. Equipment8:0:0:0:8:102:=IF(J163&lt;&gt;"",J163 - ('Shipping Program'!$D$9 + 'Shipping Program'!$F$9 + 'Shipping Program'!$H$9), "")5:5:465298:5:465765:5:465768:39:=IF(SUM(M163:N163)=0,"",SUM(M163:N163))8:0:8:0:0:0:8:0:0:0:8:0:0:0:8:49:=VLOOKUP(I163,'Shipping Program'!$A$32:$B$78,2)-15:2:118:5:=O1635:2:118:7:=R163-75:5:465108:155:=IFERROR(XLOOKUP(P163,'Shipping Program'!$B$32:$B$78,'Shipping Program'!$A$32:$A$78),IFERROR(INDEX(_V7Batches!$B:$B,MATCH(P163&amp;"",_V7Batches!$A:$A,0)),""))5:5:465178:155:=IFERROR(XLOOKUP(P163,'Shipping Program'!$B$32:$B$78,'Shipping Program'!$E$32:$E$78),IFERROR(INDEX(_V7Batches!$D:$D,MATCH(P163&amp;"",_V7Batches!$A:$A,0)),""))5:5:465478:29:=S163+'Shipping Program'!$H$95:5:465548:42:=IFERROR(IF(J163*T163&lt;&gt;0,J163-T163,""),"")5:2:228:66:=IF(U163&lt;&gt;"",IF(U163&gt;28,"Too early",IF(U163&lt;14,"Too late","")),"")8:0:8:0:0:0:8:46:=IF(OFFSET(X163,1,0)="",R163,OFFSET(X163,1,0))5:5:465178:70:=IF(OFFSET(Y163,1,0)="",X163+'Shipping Program'!$F$9,OFFSET(Y163,1,0))5:5:465478:70:=IF(OFFSET(Z163,1,0)="",Y163+'Shipping Program'!$H$9,OFFSET(Z163,1,0))5:5:465548:42:=IFERROR(IF(J163*Z163&lt;&gt;0,J163-Z163,""),"")5:2:228:69:=IF(AA163&lt;&gt;"",IF(AA163&gt;28,"Too early",IF(AA163&lt;14,"Too late","")),"")8:0:8:0:0:0:8:0:0:0:8:4:Durr8:4:Durr8:3:CNF8:3:CNF8:2:NR8:2:NR8:49:=IF(AI163="","",AI163*AJ163*AK163/1000/1000/1000)8:0:8:0:0:0:8:0:0:0:8:0:0:0:</t>
  </si>
  <si>
    <t>8:45:=COUNTIF(J$3:OFFSET(J164,-1,0),"Subtotal:")+15:2:118:45:=IF(OFFSET(B164,1,0)&lt;&gt;"",OFFSET(B164,1,0),"")8:0:8:0:0:0:8:11:BP2110&amp;21208:11:BP2110&amp;21208:13:=LEFT(F164,3)8:3:#068:39:#06 AP17-19,21-23 SprDryPol,InsWaxBlack8:39:#06 AP17-19,21-23 SprDryPol,InsWaxBlack8:12:Floor module8:12:Floor module8:0:0:0:8:102:=IF(J164&lt;&gt;"",J164 - ('Shipping Program'!$D$9 + 'Shipping Program'!$F$9 + 'Shipping Program'!$H$9), "")5:5:465298:5:465765:5:465768:39:=IF(SUM(M164:N164)=0,"",SUM(M164:N164))8:0:8:0:0:0:8:0:0:0:8:0:0:0:8:49:=VLOOKUP(I164,'Shipping Program'!$A$32:$B$78,2)-15:2:118:5:=O1645:2:118:7:=R164-75:5:465108:155:=IFERROR(XLOOKUP(P164,'Shipping Program'!$B$32:$B$78,'Shipping Program'!$A$32:$A$78),IFERROR(INDEX(_V7Batches!$B:$B,MATCH(P164&amp;"",_V7Batches!$A:$A,0)),""))5:5:465178:155:=IFERROR(XLOOKUP(P164,'Shipping Program'!$B$32:$B$78,'Shipping Program'!$E$32:$E$78),IFERROR(INDEX(_V7Batches!$D:$D,MATCH(P164&amp;"",_V7Batches!$A:$A,0)),""))5:5:465478:29:=S164+'Shipping Program'!$H$95:5:465548:42:=IFERROR(IF(J164*T164&lt;&gt;0,J164-T164,""),"")5:2:228:66:=IF(U164&lt;&gt;"",IF(U164&gt;28,"Too early",IF(U164&lt;14,"Too late","")),"")8:0:8:0:0:0:8:46:=IF(OFFSET(X164,1,0)="",R164,OFFSET(X164,1,0))5:5:465178:70:=IF(OFFSET(Y164,1,0)="",X164+'Shipping Program'!$F$9,OFFSET(Y164,1,0))5:5:465478:70:=IF(OFFSET(Z164,1,0)="",Y164+'Shipping Program'!$H$9,OFFSET(Z164,1,0))5:5:465548:42:=IFERROR(IF(J164*Z164&lt;&gt;0,J164-Z164,""),"")5:2:228:69:=IF(AA164&lt;&gt;"",IF(AA164&gt;28,"Too early",IF(AA164&lt;14,"Too late","")),"")8:0:8:0:0:0:8:0:0:0:8:4:Durr8:4:Durr8:3:CNF8:3:CNF8:2:NR8:2:NR8:49:=IF(AI164="","",AI164*AJ164*AK164/1000/1000/1000)8:0:8:0:0:0:8:0:0:0:8:0:0:0:</t>
  </si>
  <si>
    <t>8:45:=COUNTIF(J$3:OFFSET(J165,-1,0),"Subtotal:")+15:2:118:45:=IF(OFFSET(B165,1,0)&lt;&gt;"",OFFSET(B165,1,0),"")8:0:8:0:0:0:8:11:BP2110&amp;21208:11:BP2110&amp;21208:13:=LEFT(F165,3)8:3:#068:39:#06 AP17-19,21-23 SprDryPol,InsWaxBlack8:39:#06 AP17-19,21-23 SprDryPol,InsWaxBlack8:10:Floor pans8:10:Floor pans8:0:0:0:8:102:=IF(J165&lt;&gt;"",J165 - ('Shipping Program'!$D$9 + 'Shipping Program'!$F$9 + 'Shipping Program'!$H$9), "")5:5:465308:5:465775:5:465778:39:=IF(SUM(M165:N165)=0,"",SUM(M165:N165))8:0:8:0:0:0:8:0:0:0:8:0:0:0:8:49:=VLOOKUP(I165,'Shipping Program'!$A$32:$B$78,2)-15:2:118:5:=O1655:2:118:7:=R165-75:5:465108:155:=IFERROR(XLOOKUP(P165,'Shipping Program'!$B$32:$B$78,'Shipping Program'!$A$32:$A$78),IFERROR(INDEX(_V7Batches!$B:$B,MATCH(P165&amp;"",_V7Batches!$A:$A,0)),""))5:5:465178:155:=IFERROR(XLOOKUP(P165,'Shipping Program'!$B$32:$B$78,'Shipping Program'!$E$32:$E$78),IFERROR(INDEX(_V7Batches!$D:$D,MATCH(P165&amp;"",_V7Batches!$A:$A,0)),""))5:5:465478:29:=S165+'Shipping Program'!$H$95:5:465548:42:=IFERROR(IF(J165*T165&lt;&gt;0,J165-T165,""),"")5:2:238:66:=IF(U165&lt;&gt;"",IF(U165&gt;28,"Too early",IF(U165&lt;14,"Too late","")),"")8:0:8:0:0:0:8:46:=IF(OFFSET(X165,1,0)="",R165,OFFSET(X165,1,0))5:5:465178:70:=IF(OFFSET(Y165,1,0)="",X165+'Shipping Program'!$F$9,OFFSET(Y165,1,0))5:5:465478:70:=IF(OFFSET(Z165,1,0)="",Y165+'Shipping Program'!$H$9,OFFSET(Z165,1,0))5:5:465548:42:=IFERROR(IF(J165*Z165&lt;&gt;0,J165-Z165,""),"")5:2:238:69:=IF(AA165&lt;&gt;"",IF(AA165&gt;28,"Too early",IF(AA165&lt;14,"Too late","")),"")8:0:8:0:0:0:8:0:0:0:8:4:Durr8:4:Durr8:3:CNF8:3:CNF8:2:NR8:2:NR8:49:=IF(AI165="","",AI165*AJ165*AK165/1000/1000/1000)8:0:8:0:0:0:8:0:0:0:8:0:0:0:</t>
  </si>
  <si>
    <t>8:45:=COUNTIF(J$3:OFFSET(J166,-1,0),"Subtotal:")+15:2:118:45:=IF(OFFSET(B166,1,0)&lt;&gt;"",OFFSET(B166,1,0),"")8:0:8:0:0:0:8:6:BP79308:6:BP79308:13:=LEFT(F166,3)8:3:#108:11:#10 RoDip E8:11:#10 RoDip E8:26:RoDip locking with control8:26:RoDip locking with control8:0:0:0:8:102:=IF(J166&lt;&gt;"",J166 - ('Shipping Program'!$D$9 + 'Shipping Program'!$F$9 + 'Shipping Program'!$H$9), "")5:5:465288:5:465755:5:465758:39:=IF(SUM(M166:N166)=0,"",SUM(M166:N166))8:0:8:0:0:0:8:0:0:0:8:0:0:0:8:49:=VLOOKUP(I166,'Shipping Program'!$A$32:$B$78,2)-15:2:118:5:=O1665:2:118:7:=R166-75:5:465108:155:=IFERROR(XLOOKUP(P166,'Shipping Program'!$B$32:$B$78,'Shipping Program'!$A$32:$A$78),IFERROR(INDEX(_V7Batches!$B:$B,MATCH(P166&amp;"",_V7Batches!$A:$A,0)),""))5:5:465178:155:=IFERROR(XLOOKUP(P166,'Shipping Program'!$B$32:$B$78,'Shipping Program'!$E$32:$E$78),IFERROR(INDEX(_V7Batches!$D:$D,MATCH(P166&amp;"",_V7Batches!$A:$A,0)),""))5:5:465478:29:=S166+'Shipping Program'!$H$95:5:465548:42:=IFERROR(IF(J166*T166&lt;&gt;0,J166-T166,""),"")5:2:218:66:=IF(U166&lt;&gt;"",IF(U166&gt;28,"Too early",IF(U166&lt;14,"Too late","")),"")8:0:8:0:0:0:8:46:=IF(OFFSET(X166,1,0)="",R166,OFFSET(X166,1,0))5:5:465178:70:=IF(OFFSET(Y166,1,0)="",X166+'Shipping Program'!$F$9,OFFSET(Y166,1,0))5:5:465478:70:=IF(OFFSET(Z166,1,0)="",Y166+'Shipping Program'!$H$9,OFFSET(Z166,1,0))5:5:465548:42:=IFERROR(IF(J166*Z166&lt;&gt;0,J166-Z166,""),"")5:2:218:69:=IF(AA166&lt;&gt;"",IF(AA166&gt;28,"Too early",IF(AA166&lt;14,"Too late","")),"")8:0:8:0:0:0:8:0:0:0:8:4:Durr8:4:Durr8:3:FOB8:3:FOB8:2:NR8:2:NR8:49:=IF(AI166="","",AI166*AJ166*AK166/1000/1000/1000)8:0:8:0:0:0:8:0:0:0:8:0:0:0:</t>
  </si>
  <si>
    <t>8:45:=COUNTIF(J$3:OFFSET(J167,-1,0),"Subtotal:")+15:2:118:45:=IF(OFFSET(B167,1,0)&lt;&gt;"",OFFSET(B167,1,0),"")8:0:8:0:0:0:8:6:BP79308:6:BP79308:13:=LEFT(F167,3)8:3:#108:21:#10 CV07 TCBooth&amp;Oven8:21:#10 CV07 TCBooth&amp;Oven8:13:Rollerbed *108:13:Rollerbed *108:0:0:0:8:102:=IF(J167&lt;&gt;"",J167 - ('Shipping Program'!$D$9 + 'Shipping Program'!$F$9 + 'Shipping Program'!$H$9), "")5:5:465268:5:465735:5:465738:39:=IF(SUM(M167:N167)=0,"",SUM(M167:N167))8:0:8:0:0:0:8:0:0:0:8:0:0:0:8:49:=VLOOKUP(I167,'Shipping Program'!$A$32:$B$78,2)-15:2:118:5:=O1675:2:118:7:=R167-75:5:465108:155:=IFERROR(XLOOKUP(P167,'Shipping Program'!$B$32:$B$78,'Shipping Program'!$A$32:$A$78),IFERROR(INDEX(_V7Batches!$B:$B,MATCH(P167&amp;"",_V7Batches!$A:$A,0)),""))5:5:465178:155:=IFERROR(XLOOKUP(P167,'Shipping Program'!$B$32:$B$78,'Shipping Program'!$E$32:$E$78),IFERROR(INDEX(_V7Batches!$D:$D,MATCH(P167&amp;"",_V7Batches!$A:$A,0)),""))5:5:465478:29:=S167+'Shipping Program'!$H$95:5:465548:42:=IFERROR(IF(J167*T167&lt;&gt;0,J167-T167,""),"")5:2:198:66:=IF(U167&lt;&gt;"",IF(U167&gt;28,"Too early",IF(U167&lt;14,"Too late","")),"")8:0:8:0:0:0:8:46:=IF(OFFSET(X167,1,0)="",R167,OFFSET(X167,1,0))5:5:465178:70:=IF(OFFSET(Y167,1,0)="",X167+'Shipping Program'!$F$9,OFFSET(Y167,1,0))5:5:465478:70:=IF(OFFSET(Z167,1,0)="",Y167+'Shipping Program'!$H$9,OFFSET(Z167,1,0))5:5:465548:42:=IFERROR(IF(J167*Z167&lt;&gt;0,J167-Z167,""),"")5:2:198:69:=IF(AA167&lt;&gt;"",IF(AA167&gt;28,"Too early",IF(AA167&lt;14,"Too late","")),"")8:0:8:0:0:0:8:0:0:0:8:4:Durr8:4:Durr8:3:FOB8:3:FOB8:2:NR8:2:NR8:49:=IF(AI167="","",AI167*AJ167*AK167/1000/1000/1000)8:0:8:0:0:0:8:0:0:0:8:0:0:0:</t>
  </si>
  <si>
    <t>8:45:=COUNTIF(J$3:OFFSET(J168,-1,0),"Subtotal:")+15:2:118:45:=IF(OFFSET(B168,1,0)&lt;&gt;"",OFFSET(B168,1,0),"")8:0:8:0:0:0:8:6:BP13328:6:BP13328:13:=LEFT(F168,3)8:3:#208:15:#20 CS EC Plant8:15:#20 CS EC Plant8:23:Control cabinets set up8:23:Control cabinets set up8:0:0:0:8:102:=IF(J168&lt;&gt;"",J168 - ('Shipping Program'!$D$9 + 'Shipping Program'!$F$9 + 'Shipping Program'!$H$9), "")5:5:465288:5:465755:5:465758:39:=IF(SUM(M168:N168)=0,"",SUM(M168:N168))8:0:8:0:0:0:8:0:0:0:8:0:0:0:8:49:=VLOOKUP(I168,'Shipping Program'!$A$32:$B$78,2)-15:2:118:5:=O1685:2:118:7:=R168-75:5:465108:155:=IFERROR(XLOOKUP(P168,'Shipping Program'!$B$32:$B$78,'Shipping Program'!$A$32:$A$78),IFERROR(INDEX(_V7Batches!$B:$B,MATCH(P168&amp;"",_V7Batches!$A:$A,0)),""))5:5:465178:155:=IFERROR(XLOOKUP(P168,'Shipping Program'!$B$32:$B$78,'Shipping Program'!$E$32:$E$78),IFERROR(INDEX(_V7Batches!$D:$D,MATCH(P168&amp;"",_V7Batches!$A:$A,0)),""))5:5:465478:29:=S168+'Shipping Program'!$H$95:5:465548:42:=IFERROR(IF(J168*T168&lt;&gt;0,J168-T168,""),"")5:2:218:66:=IF(U168&lt;&gt;"",IF(U168&gt;28,"Too early",IF(U168&lt;14,"Too late","")),"")8:0:8:0:0:0:8:46:=IF(OFFSET(X168,1,0)="",R168,OFFSET(X168,1,0))5:5:465178:70:=IF(OFFSET(Y168,1,0)="",X168+'Shipping Program'!$F$9,OFFSET(Y168,1,0))5:5:465478:70:=IF(OFFSET(Z168,1,0)="",Y168+'Shipping Program'!$H$9,OFFSET(Z168,1,0))5:5:465548:42:=IFERROR(IF(J168*Z168&lt;&gt;0,J168-Z168,""),"")5:2:218:69:=IF(AA168&lt;&gt;"",IF(AA168&gt;28,"Too early",IF(AA168&lt;14,"Too late","")),"")8:0:8:0:0:0:8:0:0:0:8:4:Durr8:4:Durr8:3:CNF8:3:CNF8:2:NR8:2:NR8:49:=IF(AI168="","",AI168*AJ168*AK168/1000/1000/1000)8:0:8:0:0:0:8:0:0:0:8:0:0:0:</t>
  </si>
  <si>
    <t>8:45:=COUNTIF(J$3:OFFSET(J169,-1,0),"Subtotal:")+15:2:118:45:=IF(OFFSET(B169,1,0)&lt;&gt;"",OFFSET(B169,1,0),"")8:0:8:0:0:0:8:6:BP13328:6:BP13328:13:=LEFT(F169,3)8:3:#208:18:#20 CS Primer Oven8:18:#20 CS Primer Oven8:23:Control cabinets set up8:23:Control cabinets set up8:0:0:0:8:102:=IF(J169&lt;&gt;"",J169 - ('Shipping Program'!$D$9 + 'Shipping Program'!$F$9 + 'Shipping Program'!$H$9), "")5:5:465278:5:465745:5:465748:39:=IF(SUM(M169:N169)=0,"",SUM(M169:N169))8:0:8:0:0:0:8:0:0:0:8:0:0:0:8:49:=VLOOKUP(I169,'Shipping Program'!$A$32:$B$78,2)-15:2:118:5:=O1695:2:118:7:=R169-75:5:465108:155:=IFERROR(XLOOKUP(P169,'Shipping Program'!$B$32:$B$78,'Shipping Program'!$A$32:$A$78),IFERROR(INDEX(_V7Batches!$B:$B,MATCH(P169&amp;"",_V7Batches!$A:$A,0)),""))5:5:465178:155:=IFERROR(XLOOKUP(P169,'Shipping Program'!$B$32:$B$78,'Shipping Program'!$E$32:$E$78),IFERROR(INDEX(_V7Batches!$D:$D,MATCH(P169&amp;"",_V7Batches!$A:$A,0)),""))5:5:465478:29:=S169+'Shipping Program'!$H$95:5:465548:42:=IFERROR(IF(J169*T169&lt;&gt;0,J169-T169,""),"")5:2:208:66:=IF(U169&lt;&gt;"",IF(U169&gt;28,"Too early",IF(U169&lt;14,"Too late","")),"")8:0:8:0:0:0:8:46:=IF(OFFSET(X169,1,0)="",R169,OFFSET(X169,1,0))5:5:465178:70:=IF(OFFSET(Y169,1,0)="",X169+'Shipping Program'!$F$9,OFFSET(Y169,1,0))5:5:465478:70:=IF(OFFSET(Z169,1,0)="",Y169+'Shipping Program'!$H$9,OFFSET(Z169,1,0))5:5:465548:42:=IFERROR(IF(J169*Z169&lt;&gt;0,J169-Z169,""),"")5:2:208:69:=IF(AA169&lt;&gt;"",IF(AA169&gt;28,"Too early",IF(AA169&lt;14,"Too late","")),"")8:0:8:0:0:0:8:0:0:0:8:4:Durr8:4:Durr8:3:FOB8:3:FOB8:2:NR8:2:NR8:49:=IF(AI169="","",AI169*AJ169*AK169/1000/1000/1000)8:0:8:0:0:0:8:0:0:0:8:0:0:0:</t>
  </si>
  <si>
    <t>8:45:=COUNTIF(J$3:OFFSET(J170,-1,0),"Subtotal:")+15:2:118:45:=IF(OFFSET(B170,1,0)&lt;&gt;"",OFFSET(B170,1,0),"")8:0:8:0:0:0:8:6:BP13328:6:BP13328:13:=LEFT(F170,3)8:3:#208:23:#20 CS Primer Booth+ASU8:23:#20 CS Primer Booth+ASU8:23:Control cabinets set up8:23:Control cabinets set up8:0:0:0:8:102:=IF(J170&lt;&gt;"",J170 - ('Shipping Program'!$D$9 + 'Shipping Program'!$F$9 + 'Shipping Program'!$H$9), "")5:5:465268:5:465735:5:465738:39:=IF(SUM(M170:N170)=0,"",SUM(M170:N170))8:0:8:0:0:0:8:0:0:0:8:0:0:0:8:49:=VLOOKUP(I170,'Shipping Program'!$A$32:$B$78,2)-15:2:118:5:=O1705:2:118:7:=R170-75:5:465108:155:=IFERROR(XLOOKUP(P170,'Shipping Program'!$B$32:$B$78,'Shipping Program'!$A$32:$A$78),IFERROR(INDEX(_V7Batches!$B:$B,MATCH(P170&amp;"",_V7Batches!$A:$A,0)),""))5:5:465178:155:=IFERROR(XLOOKUP(P170,'Shipping Program'!$B$32:$B$78,'Shipping Program'!$E$32:$E$78),IFERROR(INDEX(_V7Batches!$D:$D,MATCH(P170&amp;"",_V7Batches!$A:$A,0)),""))5:5:465478:29:=S170+'Shipping Program'!$H$95:5:465548:42:=IFERROR(IF(J170*T170&lt;&gt;0,J170-T170,""),"")5:2:198:66:=IF(U170&lt;&gt;"",IF(U170&gt;28,"Too early",IF(U170&lt;14,"Too late","")),"")8:0:8:0:0:0:8:46:=IF(OFFSET(X170,1,0)="",R170,OFFSET(X170,1,0))5:5:465178:70:=IF(OFFSET(Y170,1,0)="",X170+'Shipping Program'!$F$9,OFFSET(Y170,1,0))5:5:465478:70:=IF(OFFSET(Z170,1,0)="",Y170+'Shipping Program'!$H$9,OFFSET(Z170,1,0))5:5:465548:42:=IFERROR(IF(J170*Z170&lt;&gt;0,J170-Z170,""),"")5:2:198:69:=IF(AA170&lt;&gt;"",IF(AA170&gt;28,"Too early",IF(AA170&lt;14,"Too late","")),"")8:0:8:0:0:0:8:0:0:0:8:4:Durr8:4:Durr8:3:CNF8:3:CNF8:2:NR8:2:NR8:49:=IF(AI170="","",AI170*AJ170*AK170/1000/1000/1000)8:0:8:0:0:0:8:0:0:0:8:0:0:0:</t>
  </si>
  <si>
    <t>8:45:=COUNTIF(J$3:OFFSET(J171,-1,0),"Subtotal:")+15:2:118:0:0:0:8:0:0:0:8:0:0:0:8:0:0:0:8:0:0:0:8:0:0:0:8:0:0:0:8:0:0:0:8:9:Subtotal:8:9:Subtotal:8:56:=SUMIF(A$3:OFFSET(A171,-1,0),A171,K$3:OFFSET(K171,-1,0))5:1:08:56:=SUMIF(A$3:OFFSET(A171,-1,0),A171,L$3:OFFSET(L171,-1,0))5:1:08:0:0:0:8:0:0:0:8:0:0:0:8:0:0:0:8:7:=R171-75:5:465108:42:=IF(J171="Subtotal:",OFFSET(R171,-1,0),"")5:5:465178:42:=IF(J171="Subtotal:",OFFSET(S171,-1,0),"")5:5:465478:42:=IF(J171="Subtotal:",OFFSET(T171,-1,0),"")5:5:465548:42:=IFERROR(IF(J171*T171&lt;&gt;0,J171-T171,""),"")8:0:8:66:=IF(U171&lt;&gt;"",IF(U171&gt;28,"Too early",IF(U171&lt;14,"Too late","")),"")8:0:8:147:=(SUMIFS($K:$K,$J:$J,"&lt;&gt;Subtotal:",$J:$J,"&gt;"&amp;S171,$S:$S,"&lt;="&amp;S171))*24*1.3+(SUMIFS($L:$L,$J:$J,"&lt;&gt;Subtotal:",$J:$J,"&gt;"&amp;S171,$S:$S,"&lt;="&amp;S171))/3*1.35:1:08:0:0:0:8:0:0:0:8:0:0:0:8:42:=IFERROR(IF(J171*Z171&lt;&gt;0,J171-Z171,""),"")8:0:8:69:=IF(AA171&lt;&gt;"",IF(AA171&gt;28,"Too early",IF(AA171&lt;14,"Too late","")),"")8:0:8:147:=(SUMIFS($K:$K,$J:$J,"&lt;&gt;Subtotal:",$J:$J,"&gt;"&amp;Y171,$Y:$Y,"&lt;="&amp;Y171))*24*1.3+(SUMIFS($L:$L,$J:$J,"&lt;&gt;Subtotal:",$J:$J,"&gt;"&amp;Y171,$Y:$Y,"&lt;="&amp;Y171))/3*1.35:1:08:0:0:0:8:0:0:0:8:0:0:0:8:0:0:0:8:0:0:0:8:0:0:0:8:0:0:0:8:0:0:0:</t>
  </si>
  <si>
    <t>8:45:=COUNTIF(J$3:OFFSET(J172,-1,0),"Subtotal:")+15:2:128:45:=IF(OFFSET(B172,1,0)&lt;&gt;"",OFFSET(B172,1,0),"")8:0:8:0:0:0:8:6:BP11408:6:BP11408:13:=LEFT(F172,3)8:3:#028:12:#02 EC Plant8:12:#02 EC Plant8:15:EC tank coating8:15:EC tank coating8:7:Coating8:7:Coating8:102:=IF(J172&lt;&gt;"",J172 - ('Shipping Program'!$D$9 + 'Shipping Program'!$F$9 + 'Shipping Program'!$H$9), "")5:5:465338:5:465805:5:465808:39:=IF(SUM(M172:N172)=0,"",SUM(M172:N172))8:0:8:0:0:0:8:0:0:0:8:0:0:0:8:49:=VLOOKUP(I172,'Shipping Program'!$A$32:$B$78,2)-15:2:128:5:=O1725:2:128:7:=R172-75:5:465178:155:=IFERROR(XLOOKUP(P172,'Shipping Program'!$B$32:$B$78,'Shipping Program'!$A$32:$A$78),IFERROR(INDEX(_V7Batches!$B:$B,MATCH(P172&amp;"",_V7Batches!$A:$A,0)),""))5:5:465248:155:=IFERROR(XLOOKUP(P172,'Shipping Program'!$B$32:$B$78,'Shipping Program'!$E$32:$E$78),IFERROR(INDEX(_V7Batches!$D:$D,MATCH(P172&amp;"",_V7Batches!$A:$A,0)),""))5:5:465548:29:=S172+'Shipping Program'!$H$95:5:465618:42:=IFERROR(IF(J172*T172&lt;&gt;0,J172-T172,""),"")5:2:198:66:=IF(U172&lt;&gt;"",IF(U172&gt;28,"Too early",IF(U172&lt;14,"Too late","")),"")8:0:8:0:0:0:8:46:=IF(OFFSET(X172,1,0)="",R172,OFFSET(X172,1,0))5:5:465248:70:=IF(OFFSET(Y172,1,0)="",X172+'Shipping Program'!$F$9,OFFSET(Y172,1,0))5:5:465548:70:=IF(OFFSET(Z172,1,0)="",Y172+'Shipping Program'!$H$9,OFFSET(Z172,1,0))5:5:465618:42:=IFERROR(IF(J172*Z172&lt;&gt;0,J172-Z172,""),"")5:2:198:69:=IF(AA172&lt;&gt;"",IF(AA172&gt;28,"Too early",IF(AA172&lt;14,"Too late","")),"")8:0:8:0:0:0:8:0:0:0:8:4:Durr8:4:Durr8:3:FOB8:3:FOB8:2:NR8:2:NR8:49:=IF(AI172="","",AI172*AJ172*AK172/1000/1000/1000)8:0:8:0:0:0:8:0:0:0:8:0:0:0:</t>
  </si>
  <si>
    <t>8:45:=COUNTIF(J$3:OFFSET(J173,-1,0),"Subtotal:")+15:2:128:45:=IF(OFFSET(B173,1,0)&lt;&gt;"",OFFSET(B173,1,0),"")8:0:8:0:0:0:8:6:BP79308:6:BP79308:13:=LEFT(F173,3)8:3:#108:21:#10 CV07 TCBooth&amp;Oven8:21:#10 CV07 TCBooth&amp;Oven8:23:Cross chain conveyor *18:23:Cross chain conveyor *18:0:0:0:8:102:=IF(J173&lt;&gt;"",J173 - ('Shipping Program'!$D$9 + 'Shipping Program'!$F$9 + 'Shipping Program'!$H$9), "")5:5:465338:5:465805:5:465808:39:=IF(SUM(M173:N173)=0,"",SUM(M173:N173))8:0:8:0:0:0:8:0:0:0:8:0:0:0:8:49:=VLOOKUP(I173,'Shipping Program'!$A$32:$B$78,2)-15:2:128:5:=O1735:2:128:7:=R173-75:5:465178:155:=IFERROR(XLOOKUP(P173,'Shipping Program'!$B$32:$B$78,'Shipping Program'!$A$32:$A$78),IFERROR(INDEX(_V7Batches!$B:$B,MATCH(P173&amp;"",_V7Batches!$A:$A,0)),""))5:5:465248:155:=IFERROR(XLOOKUP(P173,'Shipping Program'!$B$32:$B$78,'Shipping Program'!$E$32:$E$78),IFERROR(INDEX(_V7Batches!$D:$D,MATCH(P173&amp;"",_V7Batches!$A:$A,0)),""))5:5:465548:29:=S173+'Shipping Program'!$H$95:5:465618:42:=IFERROR(IF(J173*T173&lt;&gt;0,J173-T173,""),"")5:2:198:66:=IF(U173&lt;&gt;"",IF(U173&gt;28,"Too early",IF(U173&lt;14,"Too late","")),"")8:0:8:0:0:0:8:46:=IF(OFFSET(X173,1,0)="",R173,OFFSET(X173,1,0))5:5:465248:70:=IF(OFFSET(Y173,1,0)="",X173+'Shipping Program'!$F$9,OFFSET(Y173,1,0))5:5:465548:70:=IF(OFFSET(Z173,1,0)="",Y173+'Shipping Program'!$H$9,OFFSET(Z173,1,0))5:5:465618:42:=IFERROR(IF(J173*Z173&lt;&gt;0,J173-Z173,""),"")5:2:198:69:=IF(AA173&lt;&gt;"",IF(AA173&gt;28,"Too early",IF(AA173&lt;14,"Too late","")),"")8:0:8:0:0:0:8:0:0:0:8:4:Durr8:4:Durr8:3:FOB8:3:FOB8:2:NR8:2:NR8:49:=IF(AI173="","",AI173*AJ173*AK173/1000/1000/1000)8:0:8:0:0:0:8:0:0:0:8:0:0:0:</t>
  </si>
  <si>
    <t>8:45:=COUNTIF(J$3:OFFSET(J174,-1,0),"Subtotal:")+15:2:128:45:=IF(OFFSET(B174,1,0)&lt;&gt;"",OFFSET(B174,1,0),"")8:0:8:0:0:0:8:6:BP20408:6:BP20408:13:=LEFT(F174,3)8:3:#018:12:#01 TC Booth8:12:#01 TC Booth8:15:Dust protection8:15:Dust protection8:0:0:0:8:102:=IF(J174&lt;&gt;"",J174 - ('Shipping Program'!$D$9 + 'Shipping Program'!$F$9 + 'Shipping Program'!$H$9), "")5:5:465348:5:465815:5:465818:39:=IF(SUM(M174:N174)=0,"",SUM(M174:N174))8:0:8:0:0:0:8:0:0:0:8:0:0:0:8:49:=VLOOKUP(I174,'Shipping Program'!$A$32:$B$78,2)-15:2:128:5:=O1745:2:128:7:=R174-75:5:465178:155:=IFERROR(XLOOKUP(P174,'Shipping Program'!$B$32:$B$78,'Shipping Program'!$A$32:$A$78),IFERROR(INDEX(_V7Batches!$B:$B,MATCH(P174&amp;"",_V7Batches!$A:$A,0)),""))5:5:465248:155:=IFERROR(XLOOKUP(P174,'Shipping Program'!$B$32:$B$78,'Shipping Program'!$E$32:$E$78),IFERROR(INDEX(_V7Batches!$D:$D,MATCH(P174&amp;"",_V7Batches!$A:$A,0)),""))5:5:465548:29:=S174+'Shipping Program'!$H$95:5:465618:42:=IFERROR(IF(J174*T174&lt;&gt;0,J174-T174,""),"")5:2:208:66:=IF(U174&lt;&gt;"",IF(U174&gt;28,"Too early",IF(U174&lt;14,"Too late","")),"")8:0:8:0:0:0:8:46:=IF(OFFSET(X174,1,0)="",R174,OFFSET(X174,1,0))5:5:465248:70:=IF(OFFSET(Y174,1,0)="",X174+'Shipping Program'!$F$9,OFFSET(Y174,1,0))5:5:465548:70:=IF(OFFSET(Z174,1,0)="",Y174+'Shipping Program'!$H$9,OFFSET(Z174,1,0))5:5:465618:42:=IFERROR(IF(J174*Z174&lt;&gt;0,J174-Z174,""),"")5:2:208:69:=IF(AA174&lt;&gt;"",IF(AA174&gt;28,"Too early",IF(AA174&lt;14,"Too late","")),"")8:0:8:0:0:0:8:0:0:0:8:4:Durr8:4:Durr8:3:CNF8:3:CNF8:2:NR8:2:NR8:49:=IF(AI174="","",AI174*AJ174*AK174/1000/1000/1000)8:0:8:0:0:0:8:0:0:0:8:0:0:0:</t>
  </si>
  <si>
    <t>8:45:=COUNTIF(J$3:OFFSET(J175,-1,0),"Subtotal:")+15:2:128:45:=IF(OFFSET(B175,1,0)&lt;&gt;"",OFFSET(B175,1,0),"")8:0:8:0:0:0:8:6:BP20508:6:BP20508:13:=LEFT(F175,3)8:3:#018:16:#01 Primer Booth8:16:#01 Primer Booth8:9:Cleanroom8:9:Cleanroom8:0:0:0:8:102:=IF(J175&lt;&gt;"",J175 - ('Shipping Program'!$D$9 + 'Shipping Program'!$F$9 + 'Shipping Program'!$H$9), "")5:5:465338:5:465805:5:465808:39:=IF(SUM(M175:N175)=0,"",SUM(M175:N175))8:0:8:0:0:0:8:0:0:0:8:0:0:0:8:49:=VLOOKUP(I175,'Shipping Program'!$A$32:$B$78,2)-15:2:128:5:=O1755:2:128:7:=R175-75:5:465178:155:=IFERROR(XLOOKUP(P175,'Shipping Program'!$B$32:$B$78,'Shipping Program'!$A$32:$A$78),IFERROR(INDEX(_V7Batches!$B:$B,MATCH(P175&amp;"",_V7Batches!$A:$A,0)),""))5:5:465248:155:=IFERROR(XLOOKUP(P175,'Shipping Program'!$B$32:$B$78,'Shipping Program'!$E$32:$E$78),IFERROR(INDEX(_V7Batches!$D:$D,MATCH(P175&amp;"",_V7Batches!$A:$A,0)),""))5:5:465548:29:=S175+'Shipping Program'!$H$95:5:465618:42:=IFERROR(IF(J175*T175&lt;&gt;0,J175-T175,""),"")5:2:198:66:=IF(U175&lt;&gt;"",IF(U175&gt;28,"Too early",IF(U175&lt;14,"Too late","")),"")8:0:8:0:0:0:8:46:=IF(OFFSET(X175,1,0)="",R175,OFFSET(X175,1,0))5:5:465248:70:=IF(OFFSET(Y175,1,0)="",X175+'Shipping Program'!$F$9,OFFSET(Y175,1,0))5:5:465548:70:=IF(OFFSET(Z175,1,0)="",Y175+'Shipping Program'!$H$9,OFFSET(Z175,1,0))5:5:465618:42:=IFERROR(IF(J175*Z175&lt;&gt;0,J175-Z175,""),"")5:2:198:69:=IF(AA175&lt;&gt;"",IF(AA175&gt;28,"Too early",IF(AA175&lt;14,"Too late","")),"")8:0:8:0:0:0:8:0:0:0:8:4:Durr8:4:Durr8:3:CNF8:3:CNF8:2:NR8:2:NR8:49:=IF(AI175="","",AI175*AJ175*AK175/1000/1000/1000)8:0:8:0:0:0:8:0:0:0:8:0:0:0:</t>
  </si>
  <si>
    <t>8:45:=COUNTIF(J$3:OFFSET(J176,-1,0),"Subtotal:")+15:2:128:45:=IF(OFFSET(B176,1,0)&lt;&gt;"",OFFSET(B176,1,0),"")8:0:8:0:0:0:8:6:BP17008:6:BP17008:13:=LEFT(F176,3)8:3:#138:25:#13 WD ASU+2 Filter Boxes8:25:#13 WD ASU+2 Filter Boxes8:16:Regulation train8:16:Regulation train8:17:ASU+WD_filter box8:17:ASU+WD_filter box8:102:=IF(J176&lt;&gt;"",J176 - ('Shipping Program'!$D$9 + 'Shipping Program'!$F$9 + 'Shipping Program'!$H$9), "")5:5:465338:5:465805:5:465808:39:=IF(SUM(M176:N176)=0,"",SUM(M176:N176))8:0:8:0:0:0:8:0:0:0:8:0:0:0:8:49:=VLOOKUP(I176,'Shipping Program'!$A$32:$B$78,2)-15:2:128:5:=O1765:2:128:7:=R176-75:5:465178:155:=IFERROR(XLOOKUP(P176,'Shipping Program'!$B$32:$B$78,'Shipping Program'!$A$32:$A$78),IFERROR(INDEX(_V7Batches!$B:$B,MATCH(P176&amp;"",_V7Batches!$A:$A,0)),""))5:5:465248:155:=IFERROR(XLOOKUP(P176,'Shipping Program'!$B$32:$B$78,'Shipping Program'!$E$32:$E$78),IFERROR(INDEX(_V7Batches!$D:$D,MATCH(P176&amp;"",_V7Batches!$A:$A,0)),""))5:5:465548:29:=S176+'Shipping Program'!$H$95:5:465618:42:=IFERROR(IF(J176*T176&lt;&gt;0,J176-T176,""),"")5:2:198:66:=IF(U176&lt;&gt;"",IF(U176&gt;28,"Too early",IF(U176&lt;14,"Too late","")),"")8:0:8:0:0:0:8:46:=IF(OFFSET(X176,1,0)="",R176,OFFSET(X176,1,0))5:5:465248:70:=IF(OFFSET(Y176,1,0)="",X176+'Shipping Program'!$F$9,OFFSET(Y176,1,0))5:5:465548:70:=IF(OFFSET(Z176,1,0)="",Y176+'Shipping Program'!$H$9,OFFSET(Z176,1,0))5:5:465618:42:=IFERROR(IF(J176*Z176&lt;&gt;0,J176-Z176,""),"")5:2:198:69:=IF(AA176&lt;&gt;"",IF(AA176&gt;28,"Too early",IF(AA176&lt;14,"Too late","")),"")8:0:8:0:0:0:8:0:0:0:8:4:Durr8:4:Durr8:3:CNF8:3:CNF8:2:NR8:2:NR8:49:=IF(AI176="","",AI176*AJ176*AK176/1000/1000/1000)8:0:8:0:0:0:8:0:0:0:8:0:0:0:</t>
  </si>
  <si>
    <t>8:45:=COUNTIF(J$3:OFFSET(J177,-1,0),"Subtotal:")+15:2:128:45:=IF(OFFSET(B177,1,0)&lt;&gt;"",OFFSET(B177,1,0),"")8:0:8:0:0:0:8:6:BP10008:6:BP10008:13:=LEFT(F177,3)8:3:#118:12:#11 Shop ASU8:12:#11 Shop ASU8:15:Air supply unit8:15:Air supply unit8:3:ASU8:3:ASU8:102:=IF(J177&lt;&gt;"",J177 - ('Shipping Program'!$D$9 + 'Shipping Program'!$F$9 + 'Shipping Program'!$H$9), "")5:5:465338:5:465805:5:465808:39:=IF(SUM(M177:N177)=0,"",SUM(M177:N177))8:0:8:0:0:0:8:0:0:0:8:0:0:0:8:49:=VLOOKUP(I177,'Shipping Program'!$A$32:$B$78,2)-15:2:128:5:=O1775:2:128:7:=R177-75:5:465178:155:=IFERROR(XLOOKUP(P177,'Shipping Program'!$B$32:$B$78,'Shipping Program'!$A$32:$A$78),IFERROR(INDEX(_V7Batches!$B:$B,MATCH(P177&amp;"",_V7Batches!$A:$A,0)),""))5:5:465248:155:=IFERROR(XLOOKUP(P177,'Shipping Program'!$B$32:$B$78,'Shipping Program'!$E$32:$E$78),IFERROR(INDEX(_V7Batches!$D:$D,MATCH(P177&amp;"",_V7Batches!$A:$A,0)),""))5:5:465548:29:=S177+'Shipping Program'!$H$95:5:465618:42:=IFERROR(IF(J177*T177&lt;&gt;0,J177-T177,""),"")5:2:198:66:=IF(U177&lt;&gt;"",IF(U177&gt;28,"Too early",IF(U177&lt;14,"Too late","")),"")8:0:8:0:0:0:8:46:=IF(OFFSET(X177,1,0)="",R177,OFFSET(X177,1,0))5:5:465248:70:=IF(OFFSET(Y177,1,0)="",X177+'Shipping Program'!$F$9,OFFSET(Y177,1,0))5:5:465548:70:=IF(OFFSET(Z177,1,0)="",Y177+'Shipping Program'!$H$9,OFFSET(Z177,1,0))5:5:465618:42:=IFERROR(IF(J177*Z177&lt;&gt;0,J177-Z177,""),"")5:2:198:69:=IF(AA177&lt;&gt;"",IF(AA177&gt;28,"Too early",IF(AA177&lt;14,"Too late","")),"")8:0:8:0:0:0:8:0:0:0:8:4:Durr8:4:Durr8:3:CNF8:3:CNF8:3:F+N8:3:F+N8:49:=IF(AI177="","",AI177*AJ177*AK177/1000/1000/1000)8:0:8:0:0:0:8:0:0:0:8:0:0:0:</t>
  </si>
  <si>
    <t>8:45:=COUNTIF(J$3:OFFSET(J178,-1,0),"Subtotal:")+15:2:128:45:=IF(OFFSET(B178,1,0)&lt;&gt;"",OFFSET(B178,1,0),"")8:0:8:0:0:0:8:6:BP17008:6:BP17008:13:=LEFT(F178,3)8:3:#138:20:#13 Primer Booth ASU8:20:#13 Primer Booth ASU8:16:Regulation train8:16:Regulation train8:3:ASU8:3:ASU8:102:=IF(J178&lt;&gt;"",J178 - ('Shipping Program'!$D$9 + 'Shipping Program'!$F$9 + 'Shipping Program'!$H$9), "")5:5:465368:5:465835:5:465838:39:=IF(SUM(M178:N178)=0,"",SUM(M178:N178))8:0:8:0:0:0:8:0:0:0:8:0:0:0:8:49:=VLOOKUP(I178,'Shipping Program'!$A$32:$B$78,2)-15:2:128:5:=O1785:2:128:7:=R178-75:5:465178:155:=IFERROR(XLOOKUP(P178,'Shipping Program'!$B$32:$B$78,'Shipping Program'!$A$32:$A$78),IFERROR(INDEX(_V7Batches!$B:$B,MATCH(P178&amp;"",_V7Batches!$A:$A,0)),""))5:5:465248:155:=IFERROR(XLOOKUP(P178,'Shipping Program'!$B$32:$B$78,'Shipping Program'!$E$32:$E$78),IFERROR(INDEX(_V7Batches!$D:$D,MATCH(P178&amp;"",_V7Batches!$A:$A,0)),""))5:5:465548:29:=S178+'Shipping Program'!$H$95:5:465618:42:=IFERROR(IF(J178*T178&lt;&gt;0,J178-T178,""),"")5:2:228:66:=IF(U178&lt;&gt;"",IF(U178&gt;28,"Too early",IF(U178&lt;14,"Too late","")),"")8:0:8:0:0:0:8:46:=IF(OFFSET(X178,1,0)="",R178,OFFSET(X178,1,0))5:5:465248:70:=IF(OFFSET(Y178,1,0)="",X178+'Shipping Program'!$F$9,OFFSET(Y178,1,0))5:5:465548:70:=IF(OFFSET(Z178,1,0)="",Y178+'Shipping Program'!$H$9,OFFSET(Z178,1,0))5:5:465618:42:=IFERROR(IF(J178*Z178&lt;&gt;0,J178-Z178,""),"")5:2:228:69:=IF(AA178&lt;&gt;"",IF(AA178&gt;28,"Too early",IF(AA178&lt;14,"Too late","")),"")8:0:8:0:0:0:8:0:0:0:8:4:Durr8:4:Durr8:3:CNF8:3:CNF8:2:NR8:2:NR8:49:=IF(AI178="","",AI178*AJ178*AK178/1000/1000/1000)8:0:8:0:0:0:8:0:0:0:8:0:0:0:</t>
  </si>
  <si>
    <t>8:45:=COUNTIF(J$3:OFFSET(J179,-1,0),"Subtotal:")+15:2:128:45:=IF(OFFSET(B179,1,0)&lt;&gt;"",OFFSET(B179,1,0),"")8:0:8:0:0:0:8:6:BP17008:6:BP17008:13:=LEFT(F179,3)8:3:#138:16:#13 TC Booth RAU8:16:#13 TC Booth RAU8:14:Piping package8:14:Piping package8:3:RAU8:3:RAU8:102:=IF(J179&lt;&gt;"",J179 - ('Shipping Program'!$D$9 + 'Shipping Program'!$F$9 + 'Shipping Program'!$H$9), "")5:5:465348:5:465815:5:465818:39:=IF(SUM(M179:N179)=0,"",SUM(M179:N179))8:0:8:0:0:0:8:0:0:0:8:0:0:0:8:49:=VLOOKUP(I179,'Shipping Program'!$A$32:$B$78,2)-15:2:128:5:=O1795:2:128:7:=R179-75:5:465178:155:=IFERROR(XLOOKUP(P179,'Shipping Program'!$B$32:$B$78,'Shipping Program'!$A$32:$A$78),IFERROR(INDEX(_V7Batches!$B:$B,MATCH(P179&amp;"",_V7Batches!$A:$A,0)),""))5:5:465248:155:=IFERROR(XLOOKUP(P179,'Shipping Program'!$B$32:$B$78,'Shipping Program'!$E$32:$E$78),IFERROR(INDEX(_V7Batches!$D:$D,MATCH(P179&amp;"",_V7Batches!$A:$A,0)),""))5:5:465548:29:=S179+'Shipping Program'!$H$95:5:465618:42:=IFERROR(IF(J179*T179&lt;&gt;0,J179-T179,""),"")5:2:208:66:=IF(U179&lt;&gt;"",IF(U179&gt;28,"Too early",IF(U179&lt;14,"Too late","")),"")8:0:8:0:0:0:8:46:=IF(OFFSET(X179,1,0)="",R179,OFFSET(X179,1,0))5:5:465248:70:=IF(OFFSET(Y179,1,0)="",X179+'Shipping Program'!$F$9,OFFSET(Y179,1,0))5:5:465548:70:=IF(OFFSET(Z179,1,0)="",Y179+'Shipping Program'!$H$9,OFFSET(Z179,1,0))5:5:465618:42:=IFERROR(IF(J179*Z179&lt;&gt;0,J179-Z179,""),"")5:2:208:69:=IF(AA179&lt;&gt;"",IF(AA179&gt;28,"Too early",IF(AA179&lt;14,"Too late","")),"")8:0:8:0:0:0:8:0:0:0:8:3:AES8:3:AES8:0:0:0:8:0:0:0:8:49:=IF(AI179="","",AI179*AJ179*AK179/1000/1000/1000)8:0:8:0:0:0:8:0:0:0:8:0:0:0:</t>
  </si>
  <si>
    <t>8:45:=COUNTIF(J$3:OFFSET(J180,-1,0),"Subtotal:")+15:2:128:45:=IF(OFFSET(B180,1,0)&lt;&gt;"",OFFSET(B180,1,0),"")8:0:8:0:0:0:8:6:BP17008:6:BP17008:13:=LEFT(F180,3)8:3:#138:16:#13 TC Booth RAU8:16:#13 TC Booth RAU8:18:Insulation package8:18:Insulation package8:3:RAU8:3:RAU8:102:=IF(J180&lt;&gt;"",J180 - ('Shipping Program'!$D$9 + 'Shipping Program'!$F$9 + 'Shipping Program'!$H$9), "")5:5:465378:5:465845:5:465848:39:=IF(SUM(M180:N180)=0,"",SUM(M180:N180))8:0:8:0:0:0:8:0:0:0:8:0:0:0:8:49:=VLOOKUP(I180,'Shipping Program'!$A$32:$B$78,2)-15:2:128:5:=O1805:2:128:7:=R180-75:5:465178:155:=IFERROR(XLOOKUP(P180,'Shipping Program'!$B$32:$B$78,'Shipping Program'!$A$32:$A$78),IFERROR(INDEX(_V7Batches!$B:$B,MATCH(P180&amp;"",_V7Batches!$A:$A,0)),""))5:5:465248:155:=IFERROR(XLOOKUP(P180,'Shipping Program'!$B$32:$B$78,'Shipping Program'!$E$32:$E$78),IFERROR(INDEX(_V7Batches!$D:$D,MATCH(P180&amp;"",_V7Batches!$A:$A,0)),""))5:5:465548:29:=S180+'Shipping Program'!$H$95:5:465618:42:=IFERROR(IF(J180*T180&lt;&gt;0,J180-T180,""),"")5:2:238:66:=IF(U180&lt;&gt;"",IF(U180&gt;28,"Too early",IF(U180&lt;14,"Too late","")),"")8:0:8:0:0:0:8:46:=IF(OFFSET(X180,1,0)="",R180,OFFSET(X180,1,0))5:5:465248:70:=IF(OFFSET(Y180,1,0)="",X180+'Shipping Program'!$F$9,OFFSET(Y180,1,0))5:5:465548:70:=IF(OFFSET(Z180,1,0)="",Y180+'Shipping Program'!$H$9,OFFSET(Z180,1,0))5:5:465618:42:=IFERROR(IF(J180*Z180&lt;&gt;0,J180-Z180,""),"")5:2:238:69:=IF(AA180&lt;&gt;"",IF(AA180&gt;28,"Too early",IF(AA180&lt;14,"Too late","")),"")8:0:8:0:0:0:8:0:0:0:8:3:AES8:3:AES8:0:0:0:8:0:0:0:8:49:=IF(AI180="","",AI180*AJ180*AK180/1000/1000/1000)8:0:8:0:0:0:8:0:0:0:8:0:0:0:</t>
  </si>
  <si>
    <t>8:45:=COUNTIF(J$3:OFFSET(J181,-1,0),"Subtotal:")+15:2:128:45:=IF(OFFSET(B181,1,0)&lt;&gt;"",OFFSET(B181,1,0),"")8:0:8:0:0:0:8:11:BP2110&amp;21208:11:BP2110&amp;21208:13:=LEFT(F181,3)8:3:#068:39:#06 AP17-19,21-23 SprDryPol,InsWaxBlack8:39:#06 AP17-19,21-23 SprDryPol,InsWaxBlack8:13:Booth housing8:13:Booth housing8:0:0:0:8:102:=IF(J181&lt;&gt;"",J181 - ('Shipping Program'!$D$9 + 'Shipping Program'!$F$9 + 'Shipping Program'!$H$9), "")5:5:465338:5:465805:5:465808:39:=IF(SUM(M181:N181)=0,"",SUM(M181:N181))8:0:8:0:0:0:8:0:0:0:8:0:0:0:8:49:=VLOOKUP(I181,'Shipping Program'!$A$32:$B$78,2)-15:2:128:5:=O1815:2:128:7:=R181-75:5:465178:155:=IFERROR(XLOOKUP(P181,'Shipping Program'!$B$32:$B$78,'Shipping Program'!$A$32:$A$78),IFERROR(INDEX(_V7Batches!$B:$B,MATCH(P181&amp;"",_V7Batches!$A:$A,0)),""))5:5:465248:155:=IFERROR(XLOOKUP(P181,'Shipping Program'!$B$32:$B$78,'Shipping Program'!$E$32:$E$78),IFERROR(INDEX(_V7Batches!$D:$D,MATCH(P181&amp;"",_V7Batches!$A:$A,0)),""))5:5:465548:29:=S181+'Shipping Program'!$H$95:5:465618:42:=IFERROR(IF(J181*T181&lt;&gt;0,J181-T181,""),"")5:2:198:66:=IF(U181&lt;&gt;"",IF(U181&gt;28,"Too early",IF(U181&lt;14,"Too late","")),"")8:0:8:0:0:0:8:46:=IF(OFFSET(X181,1,0)="",R181,OFFSET(X181,1,0))5:5:465248:70:=IF(OFFSET(Y181,1,0)="",X181+'Shipping Program'!$F$9,OFFSET(Y181,1,0))5:5:465548:70:=IF(OFFSET(Z181,1,0)="",Y181+'Shipping Program'!$H$9,OFFSET(Z181,1,0))5:5:465618:42:=IFERROR(IF(J181*Z181&lt;&gt;0,J181-Z181,""),"")5:2:198:69:=IF(AA181&lt;&gt;"",IF(AA181&gt;28,"Too early",IF(AA181&lt;14,"Too late","")),"")8:0:8:0:0:0:8:0:0:0:8:4:Durr8:4:Durr8:3:CNF8:3:CNF8:2:NR8:2:NR8:49:=IF(AI181="","",AI181*AJ181*AK181/1000/1000/1000)8:0:8:0:0:0:8:0:0:0:8:0:0:0:</t>
  </si>
  <si>
    <t>8:45:=COUNTIF(J$3:OFFSET(J182,-1,0),"Subtotal:")+15:2:128:45:=IF(OFFSET(B182,1,0)&lt;&gt;"",OFFSET(B182,1,0),"")8:0:8:0:0:0:8:11:BP2110&amp;21208:11:BP2110&amp;21208:13:=LEFT(F182,3)8:3:#068:35:#06 RB050 SkidCheck&amp;Clean&amp;Pump room8:35:#06 RB050 SkidCheck&amp;Clean&amp;Pump room8:18:Equipment workdeck8:18:Equipment workdeck8:0:0:0:8:102:=IF(J182&lt;&gt;"",J182 - ('Shipping Program'!$D$9 + 'Shipping Program'!$F$9 + 'Shipping Program'!$H$9), "")5:5:465338:5:465805:5:465808:39:=IF(SUM(M182:N182)=0,"",SUM(M182:N182))8:0:8:0:0:0:8:0:0:0:8:0:0:0:8:49:=VLOOKUP(I182,'Shipping Program'!$A$32:$B$78,2)-15:2:128:5:=O1825:2:128:7:=R182-75:5:465178:155:=IFERROR(XLOOKUP(P182,'Shipping Program'!$B$32:$B$78,'Shipping Program'!$A$32:$A$78),IFERROR(INDEX(_V7Batches!$B:$B,MATCH(P182&amp;"",_V7Batches!$A:$A,0)),""))5:5:465248:155:=IFERROR(XLOOKUP(P182,'Shipping Program'!$B$32:$B$78,'Shipping Program'!$E$32:$E$78),IFERROR(INDEX(_V7Batches!$D:$D,MATCH(P182&amp;"",_V7Batches!$A:$A,0)),""))5:5:465548:29:=S182+'Shipping Program'!$H$95:5:465618:42:=IFERROR(IF(J182*T182&lt;&gt;0,J182-T182,""),"")5:2:198:66:=IF(U182&lt;&gt;"",IF(U182&gt;28,"Too early",IF(U182&lt;14,"Too late","")),"")8:0:8:0:0:0:8:46:=IF(OFFSET(X182,1,0)="",R182,OFFSET(X182,1,0))5:5:465248:70:=IF(OFFSET(Y182,1,0)="",X182+'Shipping Program'!$F$9,OFFSET(Y182,1,0))5:5:465548:70:=IF(OFFSET(Z182,1,0)="",Y182+'Shipping Program'!$H$9,OFFSET(Z182,1,0))5:5:465618:42:=IFERROR(IF(J182*Z182&lt;&gt;0,J182-Z182,""),"")5:2:198:69:=IF(AA182&lt;&gt;"",IF(AA182&gt;28,"Too early",IF(AA182&lt;14,"Too late","")),"")8:0:8:0:0:0:8:0:0:0:8:4:Durr8:4:Durr8:3:CNF8:3:CNF8:2:NR8:2:NR8:49:=IF(AI182="","",AI182*AJ182*AK182/1000/1000/1000)8:0:8:0:0:0:8:0:0:0:8:0:0:0:</t>
  </si>
  <si>
    <t>8:45:=COUNTIF(J$3:OFFSET(J183,-1,0),"Subtotal:")+15:2:128:45:=IF(OFFSET(B183,1,0)&lt;&gt;"",OFFSET(B183,1,0),"")8:0:8:0:0:0:8:6:BP79308:6:BP79308:13:=LEFT(F183,3)8:3:#108:21:#10 CV02 PTEC Rodip-E8:21:#10 CV02 PTEC Rodip-E8:9:Rollerbed8:9:Rollerbed8:0:0:0:8:102:=IF(J183&lt;&gt;"",J183 - ('Shipping Program'!$D$9 + 'Shipping Program'!$F$9 + 'Shipping Program'!$H$9), "")5:5:465358:5:465825:5:465828:39:=IF(SUM(M183:N183)=0,"",SUM(M183:N183))8:0:8:0:0:0:8:0:0:0:8:0:0:0:8:49:=VLOOKUP(I183,'Shipping Program'!$A$32:$B$78,2)-15:2:128:5:=O1835:2:128:7:=R183-75:5:465178:155:=IFERROR(XLOOKUP(P183,'Shipping Program'!$B$32:$B$78,'Shipping Program'!$A$32:$A$78),IFERROR(INDEX(_V7Batches!$B:$B,MATCH(P183&amp;"",_V7Batches!$A:$A,0)),""))5:5:465248:155:=IFERROR(XLOOKUP(P183,'Shipping Program'!$B$32:$B$78,'Shipping Program'!$E$32:$E$78),IFERROR(INDEX(_V7Batches!$D:$D,MATCH(P183&amp;"",_V7Batches!$A:$A,0)),""))5:5:465548:29:=S183+'Shipping Program'!$H$95:5:465618:42:=IFERROR(IF(J183*T183&lt;&gt;0,J183-T183,""),"")5:2:218:66:=IF(U183&lt;&gt;"",IF(U183&gt;28,"Too early",IF(U183&lt;14,"Too late","")),"")8:0:8:0:0:0:8:46:=IF(OFFSET(X183,1,0)="",R183,OFFSET(X183,1,0))5:5:465248:70:=IF(OFFSET(Y183,1,0)="",X183+'Shipping Program'!$F$9,OFFSET(Y183,1,0))5:5:465548:70:=IF(OFFSET(Z183,1,0)="",Y183+'Shipping Program'!$H$9,OFFSET(Z183,1,0))5:5:465618:42:=IFERROR(IF(J183*Z183&lt;&gt;0,J183-Z183,""),"")5:2:218:69:=IF(AA183&lt;&gt;"",IF(AA183&gt;28,"Too early",IF(AA183&lt;14,"Too late","")),"")8:0:8:0:0:0:8:0:0:0:8:4:Durr8:4:Durr8:3:FOB8:3:FOB8:2:NR8:2:NR8:49:=IF(AI183="","",AI183*AJ183*AK183/1000/1000/1000)8:0:8:0:0:0:8:0:0:0:8:0:0:0:</t>
  </si>
  <si>
    <t>8:45:=COUNTIF(J$3:OFFSET(J184,-1,0),"Subtotal:")+15:2:128:45:=IF(OFFSET(B184,1,0)&lt;&gt;"",OFFSET(B184,1,0),"")8:0:8:0:0:0:8:6:BP79308:6:BP79308:13:=LEFT(F184,3)8:3:#108:11:#10 RoDip E8:11:#10 RoDip E8:20:RoDip tracks process8:20:RoDip tracks process8:0:0:0:8:102:=IF(J184&lt;&gt;"",J184 - ('Shipping Program'!$D$9 + 'Shipping Program'!$F$9 + 'Shipping Program'!$H$9), "")5:5:465358:5:465825:5:465828:39:=IF(SUM(M184:N184)=0,"",SUM(M184:N184))8:0:8:0:0:0:8:0:0:0:8:0:0:0:8:49:=VLOOKUP(I184,'Shipping Program'!$A$32:$B$78,2)-15:2:128:5:=O1845:2:128:7:=R184-75:5:465178:155:=IFERROR(XLOOKUP(P184,'Shipping Program'!$B$32:$B$78,'Shipping Program'!$A$32:$A$78),IFERROR(INDEX(_V7Batches!$B:$B,MATCH(P184&amp;"",_V7Batches!$A:$A,0)),""))5:5:465248:155:=IFERROR(XLOOKUP(P184,'Shipping Program'!$B$32:$B$78,'Shipping Program'!$E$32:$E$78),IFERROR(INDEX(_V7Batches!$D:$D,MATCH(P184&amp;"",_V7Batches!$A:$A,0)),""))5:5:465548:29:=S184+'Shipping Program'!$H$95:5:465618:42:=IFERROR(IF(J184*T184&lt;&gt;0,J184-T184,""),"")5:2:218:66:=IF(U184&lt;&gt;"",IF(U184&gt;28,"Too early",IF(U184&lt;14,"Too late","")),"")8:0:8:0:0:0:8:46:=IF(OFFSET(X184,1,0)="",R184,OFFSET(X184,1,0))5:5:465248:70:=IF(OFFSET(Y184,1,0)="",X184+'Shipping Program'!$F$9,OFFSET(Y184,1,0))5:5:465548:70:=IF(OFFSET(Z184,1,0)="",Y184+'Shipping Program'!$H$9,OFFSET(Z184,1,0))5:5:465618:42:=IFERROR(IF(J184*Z184&lt;&gt;0,J184-Z184,""),"")5:2:218:69:=IF(AA184&lt;&gt;"",IF(AA184&gt;28,"Too early",IF(AA184&lt;14,"Too late","")),"")8:0:8:0:0:0:8:0:0:0:8:4:Durr8:4:Durr8:3:FOB8:3:FOB8:2:NR8:2:NR8:49:=IF(AI184="","",AI184*AJ184*AK184/1000/1000/1000)8:0:8:0:0:0:8:0:0:0:8:0:0:0:</t>
  </si>
  <si>
    <t>8:45:=COUNTIF(J$3:OFFSET(J185,-1,0),"Subtotal:")+15:2:128:45:=IF(OFFSET(B185,1,0)&lt;&gt;"",OFFSET(B185,1,0),"")8:0:8:0:0:0:8:6:BP79308:6:BP79308:13:=LEFT(F185,3)8:3:#108:21:#10 CV07 TCBooth&amp;Oven8:21:#10 CV07 TCBooth&amp;Oven8:26:Excentric lifting table *38:26:Excentric lifting table *38:0:0:0:8:102:=IF(J185&lt;&gt;"",J185 - ('Shipping Program'!$D$9 + 'Shipping Program'!$F$9 + 'Shipping Program'!$H$9), "")5:5:465338:5:465805:5:465808:39:=IF(SUM(M185:N185)=0,"",SUM(M185:N185))8:0:8:0:0:0:8:0:0:0:8:0:0:0:8:49:=VLOOKUP(I185,'Shipping Program'!$A$32:$B$78,2)-15:2:128:5:=O1855:2:128:7:=R185-75:5:465178:155:=IFERROR(XLOOKUP(P185,'Shipping Program'!$B$32:$B$78,'Shipping Program'!$A$32:$A$78),IFERROR(INDEX(_V7Batches!$B:$B,MATCH(P185&amp;"",_V7Batches!$A:$A,0)),""))5:5:465248:155:=IFERROR(XLOOKUP(P185,'Shipping Program'!$B$32:$B$78,'Shipping Program'!$E$32:$E$78),IFERROR(INDEX(_V7Batches!$D:$D,MATCH(P185&amp;"",_V7Batches!$A:$A,0)),""))5:5:465548:29:=S185+'Shipping Program'!$H$95:5:465618:42:=IFERROR(IF(J185*T185&lt;&gt;0,J185-T185,""),"")5:2:198:66:=IF(U185&lt;&gt;"",IF(U185&gt;28,"Too early",IF(U185&lt;14,"Too late","")),"")8:0:8:0:0:0:8:46:=IF(OFFSET(X185,1,0)="",R185,OFFSET(X185,1,0))5:5:465248:70:=IF(OFFSET(Y185,1,0)="",X185+'Shipping Program'!$F$9,OFFSET(Y185,1,0))5:5:465548:70:=IF(OFFSET(Z185,1,0)="",Y185+'Shipping Program'!$H$9,OFFSET(Z185,1,0))5:5:465618:42:=IFERROR(IF(J185*Z185&lt;&gt;0,J185-Z185,""),"")5:2:198:69:=IF(AA185&lt;&gt;"",IF(AA185&gt;28,"Too early",IF(AA185&lt;14,"Too late","")),"")8:0:8:0:0:0:8:0:0:0:8:4:Durr8:4:Durr8:3:FOB8:3:FOB8:2:NR8:2:NR8:49:=IF(AI185="","",AI185*AJ185*AK185/1000/1000/1000)8:0:8:0:0:0:8:0:0:0:8:0:0:0:</t>
  </si>
  <si>
    <t>8:45:=COUNTIF(J$3:OFFSET(J186,-1,0),"Subtotal:")+15:2:128:45:=IF(OFFSET(B186,1,0)&lt;&gt;"",OFFSET(B186,1,0),"")8:0:8:0:0:0:8:6:BP79308:6:BP79308:13:=LEFT(F186,3)8:3:#108:21:#10 CV07 TCBooth&amp;Oven8:21:#10 CV07 TCBooth&amp;Oven8:21:Turn and swivel table8:21:Turn and swivel table8:0:0:0:8:102:=IF(J186&lt;&gt;"",J186 - ('Shipping Program'!$D$9 + 'Shipping Program'!$F$9 + 'Shipping Program'!$H$9), "")5:5:465338:5:465805:5:465808:39:=IF(SUM(M186:N186)=0,"",SUM(M186:N186))8:0:8:0:0:0:8:0:0:0:8:0:0:0:8:49:=VLOOKUP(I186,'Shipping Program'!$A$32:$B$78,2)-15:2:128:5:=O1865:2:128:7:=R186-75:5:465178:155:=IFERROR(XLOOKUP(P186,'Shipping Program'!$B$32:$B$78,'Shipping Program'!$A$32:$A$78),IFERROR(INDEX(_V7Batches!$B:$B,MATCH(P186&amp;"",_V7Batches!$A:$A,0)),""))5:5:465248:155:=IFERROR(XLOOKUP(P186,'Shipping Program'!$B$32:$B$78,'Shipping Program'!$E$32:$E$78),IFERROR(INDEX(_V7Batches!$D:$D,MATCH(P186&amp;"",_V7Batches!$A:$A,0)),""))5:5:465548:29:=S186+'Shipping Program'!$H$95:5:465618:42:=IFERROR(IF(J186*T186&lt;&gt;0,J186-T186,""),"")5:2:198:66:=IF(U186&lt;&gt;"",IF(U186&gt;28,"Too early",IF(U186&lt;14,"Too late","")),"")8:0:8:0:0:0:8:46:=IF(OFFSET(X186,1,0)="",R186,OFFSET(X186,1,0))5:5:465248:70:=IF(OFFSET(Y186,1,0)="",X186+'Shipping Program'!$F$9,OFFSET(Y186,1,0))5:5:465548:70:=IF(OFFSET(Z186,1,0)="",Y186+'Shipping Program'!$H$9,OFFSET(Z186,1,0))5:5:465618:42:=IFERROR(IF(J186*Z186&lt;&gt;0,J186-Z186,""),"")5:2:198:69:=IF(AA186&lt;&gt;"",IF(AA186&gt;28,"Too early",IF(AA186&lt;14,"Too late","")),"")8:0:8:0:0:0:8:0:0:0:8:4:Durr8:4:Durr8:3:FOB8:3:FOB8:2:NR8:2:NR8:49:=IF(AI186="","",AI186*AJ186*AK186/1000/1000/1000)8:0:8:0:0:0:8:0:0:0:8:0:0:0:</t>
  </si>
  <si>
    <t>8:45:=COUNTIF(J$3:OFFSET(J187,-1,0),"Subtotal:")+15:2:128:45:=IF(OFFSET(B187,1,0)&lt;&gt;"",OFFSET(B187,1,0),"")8:0:8:0:0:0:8:6:BP79308:6:BP79308:13:=LEFT(F187,3)8:3:#108:21:#10 CV07 TCBooth&amp;Oven8:21:#10 CV07 TCBooth&amp;Oven8:18:Cross transfer car8:18:Cross transfer car8:0:0:0:8:102:=IF(J187&lt;&gt;"",J187 - ('Shipping Program'!$D$9 + 'Shipping Program'!$F$9 + 'Shipping Program'!$H$9), "")5:5:465338:5:465805:5:465808:39:=IF(SUM(M187:N187)=0,"",SUM(M187:N187))8:0:8:0:0:0:8:0:0:0:8:0:0:0:8:49:=VLOOKUP(I187,'Shipping Program'!$A$32:$B$78,2)-15:2:128:5:=O1875:2:128:7:=R187-75:5:465178:155:=IFERROR(XLOOKUP(P187,'Shipping Program'!$B$32:$B$78,'Shipping Program'!$A$32:$A$78),IFERROR(INDEX(_V7Batches!$B:$B,MATCH(P187&amp;"",_V7Batches!$A:$A,0)),""))5:5:465248:155:=IFERROR(XLOOKUP(P187,'Shipping Program'!$B$32:$B$78,'Shipping Program'!$E$32:$E$78),IFERROR(INDEX(_V7Batches!$D:$D,MATCH(P187&amp;"",_V7Batches!$A:$A,0)),""))5:5:465548:29:=S187+'Shipping Program'!$H$95:5:465618:42:=IFERROR(IF(J187*T187&lt;&gt;0,J187-T187,""),"")5:2:198:66:=IF(U187&lt;&gt;"",IF(U187&gt;28,"Too early",IF(U187&lt;14,"Too late","")),"")8:0:8:0:0:0:8:46:=IF(OFFSET(X187,1,0)="",R187,OFFSET(X187,1,0))5:5:465248:70:=IF(OFFSET(Y187,1,0)="",X187+'Shipping Program'!$F$9,OFFSET(Y187,1,0))5:5:465548:70:=IF(OFFSET(Z187,1,0)="",Y187+'Shipping Program'!$H$9,OFFSET(Z187,1,0))5:5:465618:42:=IFERROR(IF(J187*Z187&lt;&gt;0,J187-Z187,""),"")5:2:198:69:=IF(AA187&lt;&gt;"",IF(AA187&gt;28,"Too early",IF(AA187&lt;14,"Too late","")),"")8:0:8:0:0:0:8:0:0:0:8:4:Durr8:4:Durr8:3:FOB8:3:FOB8:2:NR8:2:NR8:49:=IF(AI187="","",AI187*AJ187*AK187/1000/1000/1000)8:0:8:0:0:0:8:0:0:0:8:0:0:0:</t>
  </si>
  <si>
    <t>8:45:=COUNTIF(J$3:OFFSET(J188,-1,0),"Subtotal:")+15:2:128:45:=IF(OFFSET(B188,1,0)&lt;&gt;"",OFFSET(B188,1,0),"")8:0:8:0:0:0:8:6:BP13328:6:BP13328:13:=LEFT(F188,3)8:3:#208:15:#20 CS PT Plant8:15:#20 CS PT Plant8:23:Control cabinets set up8:23:Control cabinets set up8:0:0:0:8:102:=IF(J188&lt;&gt;"",J188 - ('Shipping Program'!$D$9 + 'Shipping Program'!$F$9 + 'Shipping Program'!$H$9), "")5:5:465368:5:465835:5:465838:39:=IF(SUM(M188:N188)=0,"",SUM(M188:N188))8:0:8:0:0:0:8:0:0:0:8:0:0:0:8:49:=VLOOKUP(I188,'Shipping Program'!$A$32:$B$78,2)-15:2:128:5:=O1885:2:128:7:=R188-75:5:465178:155:=IFERROR(XLOOKUP(P188,'Shipping Program'!$B$32:$B$78,'Shipping Program'!$A$32:$A$78),IFERROR(INDEX(_V7Batches!$B:$B,MATCH(P188&amp;"",_V7Batches!$A:$A,0)),""))5:5:465248:155:=IFERROR(XLOOKUP(P188,'Shipping Program'!$B$32:$B$78,'Shipping Program'!$E$32:$E$78),IFERROR(INDEX(_V7Batches!$D:$D,MATCH(P188&amp;"",_V7Batches!$A:$A,0)),""))5:5:465548:29:=S188+'Shipping Program'!$H$95:5:465618:42:=IFERROR(IF(J188*T188&lt;&gt;0,J188-T188,""),"")5:2:228:66:=IF(U188&lt;&gt;"",IF(U188&gt;28,"Too early",IF(U188&lt;14,"Too late","")),"")8:0:8:0:0:0:8:46:=IF(OFFSET(X188,1,0)="",R188,OFFSET(X188,1,0))5:5:465248:70:=IF(OFFSET(Y188,1,0)="",X188+'Shipping Program'!$F$9,OFFSET(Y188,1,0))5:5:465548:70:=IF(OFFSET(Z188,1,0)="",Y188+'Shipping Program'!$H$9,OFFSET(Z188,1,0))5:5:465618:42:=IFERROR(IF(J188*Z188&lt;&gt;0,J188-Z188,""),"")5:2:228:69:=IF(AA188&lt;&gt;"",IF(AA188&gt;28,"Too early",IF(AA188&lt;14,"Too late","")),"")8:0:8:0:0:0:8:0:0:0:8:4:Durr8:4:Durr8:3:CNF8:3:CNF8:2:NR8:2:NR8:49:=IF(AI188="","",AI188*AJ188*AK188/1000/1000/1000)8:0:8:0:0:0:8:0:0:0:8:0:0:0:</t>
  </si>
  <si>
    <t>8:45:=COUNTIF(J$3:OFFSET(J189,-1,0),"Subtotal:")+15:2:128:45:=IF(OFFSET(B189,1,0)&lt;&gt;"",OFFSET(B189,1,0),"")8:0:8:0:0:0:8:6:BP13318:6:BP13318:13:=LEFT(F189,3)8:3:#208:16:#20 CS Rectifier8:16:#20 CS Rectifier8:23:Control cabinets set up8:23:Control cabinets set up8:0:0:0:8:102:=IF(J189&lt;&gt;"",J189 - ('Shipping Program'!$D$9 + 'Shipping Program'!$F$9 + 'Shipping Program'!$H$9), "")5:5:465358:5:465825:5:465828:39:=IF(SUM(M189:N189)=0,"",SUM(M189:N189))8:0:8:0:0:0:8:0:0:0:8:0:0:0:8:49:=VLOOKUP(I189,'Shipping Program'!$A$32:$B$78,2)-15:2:128:5:=O1895:2:128:7:=R189-75:5:465178:155:=IFERROR(XLOOKUP(P189,'Shipping Program'!$B$32:$B$78,'Shipping Program'!$A$32:$A$78),IFERROR(INDEX(_V7Batches!$B:$B,MATCH(P189&amp;"",_V7Batches!$A:$A,0)),""))5:5:465248:155:=IFERROR(XLOOKUP(P189,'Shipping Program'!$B$32:$B$78,'Shipping Program'!$E$32:$E$78),IFERROR(INDEX(_V7Batches!$D:$D,MATCH(P189&amp;"",_V7Batches!$A:$A,0)),""))5:5:465548:29:=S189+'Shipping Program'!$H$95:5:465618:42:=IFERROR(IF(J189*T189&lt;&gt;0,J189-T189,""),"")5:2:218:66:=IF(U189&lt;&gt;"",IF(U189&gt;28,"Too early",IF(U189&lt;14,"Too late","")),"")8:0:8:0:0:0:8:46:=IF(OFFSET(X189,1,0)="",R189,OFFSET(X189,1,0))5:5:465248:70:=IF(OFFSET(Y189,1,0)="",X189+'Shipping Program'!$F$9,OFFSET(Y189,1,0))5:5:465548:70:=IF(OFFSET(Z189,1,0)="",Y189+'Shipping Program'!$H$9,OFFSET(Z189,1,0))5:5:465618:42:=IFERROR(IF(J189*Z189&lt;&gt;0,J189-Z189,""),"")5:2:218:69:=IF(AA189&lt;&gt;"",IF(AA189&gt;28,"Too early",IF(AA189&lt;14,"Too late","")),"")8:0:8:0:0:0:8:0:0:0:8:4:Durr8:4:Durr8:3:FOB8:3:FOB8:2:NR8:2:NR8:49:=IF(AI189="","",AI189*AJ189*AK189/1000/1000/1000)8:0:8:0:0:0:8:0:0:0:8:0:0:0:</t>
  </si>
  <si>
    <t>8:45:=COUNTIF(J$3:OFFSET(J190,-1,0),"Subtotal:")+15:2:128:45:=IF(OFFSET(B190,1,0)&lt;&gt;"",OFFSET(B190,1,0),"")8:0:8:0:0:0:8:6:BP13328:6:BP13328:13:=LEFT(F190,3)8:3:#208:15:#20 CS Conveyor8:15:#20 CS Conveyor8:23:Control cabinets set up8:23:Control cabinets set up8:0:0:0:8:102:=IF(J190&lt;&gt;"",J190 - ('Shipping Program'!$D$9 + 'Shipping Program'!$F$9 + 'Shipping Program'!$H$9), "")5:5:465338:5:465805:5:465808:39:=IF(SUM(M190:N190)=0,"",SUM(M190:N190))8:0:8:0:0:0:8:0:0:0:8:0:0:0:8:49:=VLOOKUP(I190,'Shipping Program'!$A$32:$B$78,2)-15:2:128:5:=O1905:2:128:7:=R190-75:5:465178:155:=IFERROR(XLOOKUP(P190,'Shipping Program'!$B$32:$B$78,'Shipping Program'!$A$32:$A$78),IFERROR(INDEX(_V7Batches!$B:$B,MATCH(P190&amp;"",_V7Batches!$A:$A,0)),""))5:5:465248:155:=IFERROR(XLOOKUP(P190,'Shipping Program'!$B$32:$B$78,'Shipping Program'!$E$32:$E$78),IFERROR(INDEX(_V7Batches!$D:$D,MATCH(P190&amp;"",_V7Batches!$A:$A,0)),""))5:5:465548:29:=S190+'Shipping Program'!$H$95:5:465618:42:=IFERROR(IF(J190*T190&lt;&gt;0,J190-T190,""),"")5:2:198:66:=IF(U190&lt;&gt;"",IF(U190&gt;28,"Too early",IF(U190&lt;14,"Too late","")),"")8:0:8:0:0:0:8:46:=IF(OFFSET(X190,1,0)="",R190,OFFSET(X190,1,0))5:5:465248:70:=IF(OFFSET(Y190,1,0)="",X190+'Shipping Program'!$F$9,OFFSET(Y190,1,0))5:5:465548:70:=IF(OFFSET(Z190,1,0)="",Y190+'Shipping Program'!$H$9,OFFSET(Z190,1,0))5:5:465618:42:=IFERROR(IF(J190*Z190&lt;&gt;0,J190-Z190,""),"")5:2:198:69:=IF(AA190&lt;&gt;"",IF(AA190&gt;28,"Too early",IF(AA190&lt;14,"Too late","")),"")8:0:8:0:0:0:8:0:0:0:8:4:Durr8:4:Durr8:3:FOB8:3:FOB8:2:NR8:2:NR8:49:=IF(AI190="","",AI190*AJ190*AK190/1000/1000/1000)8:0:8:0:0:0:8:0:0:0:8:0:0:0:</t>
  </si>
  <si>
    <t>8:45:=COUNTIF(J$3:OFFSET(J191,-1,0),"Subtotal:")+15:2:128:45:=IF(OFFSET(B191,1,0)&lt;&gt;"",OFFSET(B191,1,0),"")8:0:8:0:0:0:8:6:BP13328:6:BP13328:13:=LEFT(F191,3)8:3:#208:19:#20 CS TC Booth+ASU8:19:#20 CS TC Booth+ASU8:23:Control cabinets set up8:23:Control cabinets set up8:0:0:0:8:102:=IF(J191&lt;&gt;"",J191 - ('Shipping Program'!$D$9 + 'Shipping Program'!$F$9 + 'Shipping Program'!$H$9), "")5:5:465338:5:465805:5:465808:39:=IF(SUM(M191:N191)=0,"",SUM(M191:N191))8:0:8:0:0:0:8:0:0:0:8:0:0:0:8:49:=VLOOKUP(I191,'Shipping Program'!$A$32:$B$78,2)-15:2:128:5:=O1915:2:128:7:=R191-75:5:465178:155:=IFERROR(XLOOKUP(P191,'Shipping Program'!$B$32:$B$78,'Shipping Program'!$A$32:$A$78),IFERROR(INDEX(_V7Batches!$B:$B,MATCH(P191&amp;"",_V7Batches!$A:$A,0)),""))5:5:465248:155:=IFERROR(XLOOKUP(P191,'Shipping Program'!$B$32:$B$78,'Shipping Program'!$E$32:$E$78),IFERROR(INDEX(_V7Batches!$D:$D,MATCH(P191&amp;"",_V7Batches!$A:$A,0)),""))5:5:465548:29:=S191+'Shipping Program'!$H$95:5:465618:42:=IFERROR(IF(J191*T191&lt;&gt;0,J191-T191,""),"")5:2:198:66:=IF(U191&lt;&gt;"",IF(U191&gt;28,"Too early",IF(U191&lt;14,"Too late","")),"")8:0:8:0:0:0:8:46:=IF(OFFSET(X191,1,0)="",R191,OFFSET(X191,1,0))5:5:465248:70:=IF(OFFSET(Y191,1,0)="",X191+'Shipping Program'!$F$9,OFFSET(Y191,1,0))5:5:465548:70:=IF(OFFSET(Z191,1,0)="",Y191+'Shipping Program'!$H$9,OFFSET(Z191,1,0))5:5:465618:42:=IFERROR(IF(J191*Z191&lt;&gt;0,J191-Z191,""),"")5:2:198:69:=IF(AA191&lt;&gt;"",IF(AA191&gt;28,"Too early",IF(AA191&lt;14,"Too late","")),"")8:0:8:0:0:0:8:0:0:0:8:4:Durr8:4:Durr8:3:CNF8:3:CNF8:2:NR8:2:NR8:49:=IF(AI191="","",AI191*AJ191*AK191/1000/1000/1000)8:0:8:0:0:0:8:0:0:0:8:0:0:0:</t>
  </si>
  <si>
    <t>8:45:=COUNTIF(J$3:OFFSET(J192,-1,0),"Subtotal:")+15:2:128:0:0:0:8:0:0:0:8:0:0:0:8:0:0:0:8:0:0:0:8:0:0:0:8:0:0:0:8:0:0:0:8:9:Subtotal:8:9:Subtotal:8:56:=SUMIF(A$3:OFFSET(A192,-1,0),A192,K$3:OFFSET(K192,-1,0))5:1:08:56:=SUMIF(A$3:OFFSET(A192,-1,0),A192,L$3:OFFSET(L192,-1,0))5:1:08:0:0:0:8:0:0:0:8:0:0:0:8:0:0:0:8:7:=R192-75:5:465178:42:=IF(J192="Subtotal:",OFFSET(R192,-1,0),"")5:5:465248:42:=IF(J192="Subtotal:",OFFSET(S192,-1,0),"")5:5:465548:42:=IF(J192="Subtotal:",OFFSET(T192,-1,0),"")5:5:465618:42:=IFERROR(IF(J192*T192&lt;&gt;0,J192-T192,""),"")8:0:8:66:=IF(U192&lt;&gt;"",IF(U192&gt;28,"Too early",IF(U192&lt;14,"Too late","")),"")8:0:8:147:=(SUMIFS($K:$K,$J:$J,"&lt;&gt;Subtotal:",$J:$J,"&gt;"&amp;S192,$S:$S,"&lt;="&amp;S192))*24*1.3+(SUMIFS($L:$L,$J:$J,"&lt;&gt;Subtotal:",$J:$J,"&gt;"&amp;S192,$S:$S,"&lt;="&amp;S192))/3*1.35:1:08:0:0:0:8:0:0:0:8:0:0:0:8:42:=IFERROR(IF(J192*Z192&lt;&gt;0,J192-Z192,""),"")8:0:8:69:=IF(AA192&lt;&gt;"",IF(AA192&gt;28,"Too early",IF(AA192&lt;14,"Too late","")),"")8:0:8:147:=(SUMIFS($K:$K,$J:$J,"&lt;&gt;Subtotal:",$J:$J,"&gt;"&amp;Y192,$Y:$Y,"&lt;="&amp;Y192))*24*1.3+(SUMIFS($L:$L,$J:$J,"&lt;&gt;Subtotal:",$J:$J,"&gt;"&amp;Y192,$Y:$Y,"&lt;="&amp;Y192))/3*1.35:1:08:0:0:0:8:0:0:0:8:0:0:0:8:0:0:0:8:0:0:0:8:0:0:0:8:0:0:0:8:0:0:0:</t>
  </si>
  <si>
    <t>8:45:=COUNTIF(J$3:OFFSET(J193,-1,0),"Subtotal:")+15:2:138:45:=IF(OFFSET(B193,1,0)&lt;&gt;"",OFFSET(B193,1,0),"")8:0:8:0:0:0:8:6:BP15208:6:BP15208:13:=LEFT(F193,3)8:3:#048:11:#04 TC Oven8:11:#04 TC Oven8:18:Insulation package8:18:Insulation package8:0:0:0:8:102:=IF(J193&lt;&gt;"",J193 - ('Shipping Program'!$D$9 + 'Shipping Program'!$F$9 + 'Shipping Program'!$H$9), "")5:5:465438:5:465905:5:465908:39:=IF(SUM(M193:N193)=0,"",SUM(M193:N193))8:0:8:0:0:0:8:0:0:0:8:0:0:0:8:49:=VLOOKUP(I193,'Shipping Program'!$A$32:$B$78,2)-15:2:138:5:=O1935:2:138:7:=R193-75:5:465248:155:=IFERROR(XLOOKUP(P193,'Shipping Program'!$B$32:$B$78,'Shipping Program'!$A$32:$A$78),IFERROR(INDEX(_V7Batches!$B:$B,MATCH(P193&amp;"",_V7Batches!$A:$A,0)),""))5:5:465318:155:=IFERROR(XLOOKUP(P193,'Shipping Program'!$B$32:$B$78,'Shipping Program'!$E$32:$E$78),IFERROR(INDEX(_V7Batches!$D:$D,MATCH(P193&amp;"",_V7Batches!$A:$A,0)),""))5:5:465618:29:=S193+'Shipping Program'!$H$95:5:465688:42:=IFERROR(IF(J193*T193&lt;&gt;0,J193-T193,""),"")5:2:228:66:=IF(U193&lt;&gt;"",IF(U193&gt;28,"Too early",IF(U193&lt;14,"Too late","")),"")8:0:8:0:0:0:8:46:=IF(OFFSET(X193,1,0)="",R193,OFFSET(X193,1,0))5:5:465318:70:=IF(OFFSET(Y193,1,0)="",X193+'Shipping Program'!$F$9,OFFSET(Y193,1,0))5:5:465618:70:=IF(OFFSET(Z193,1,0)="",Y193+'Shipping Program'!$H$9,OFFSET(Z193,1,0))5:5:465688:42:=IFERROR(IF(J193*Z193&lt;&gt;0,J193-Z193,""),"")5:2:228:69:=IF(AA193&lt;&gt;"",IF(AA193&gt;28,"Too early",IF(AA193&lt;14,"Too late","")),"")8:0:8:0:0:0:8:0:0:0:8:3:AES8:3:AES8:0:0:0:8:0:0:0:8:49:=IF(AI193="","",AI193*AJ193*AK193/1000/1000/1000)8:0:8:0:0:0:8:0:0:0:8:0:0:0:</t>
  </si>
  <si>
    <t>8:45:=COUNTIF(J$3:OFFSET(J194,-1,0),"Subtotal:")+15:2:138:45:=IF(OFFSET(B194,1,0)&lt;&gt;"",OFFSET(B194,1,0),"")8:0:8:0:0:0:8:6:BP19608:6:BP19608:13:=LEFT(F194,3)8:3:#018:12:#01 TC Dry-X8:12:#01 TC Dry-X8:14:Dry X Trolleys8:14:Dry X Trolleys8:0:0:0:8:102:=IF(J194&lt;&gt;"",J194 - ('Shipping Program'!$D$9 + 'Shipping Program'!$F$9 + 'Shipping Program'!$H$9), "")5:5:465448:5:465915:5:465918:39:=IF(SUM(M194:N194)=0,"",SUM(M194:N194))8:0:8:0:0:0:8:0:0:0:8:0:0:0:8:49:=VLOOKUP(I194,'Shipping Program'!$A$32:$B$78,2)-15:2:138:5:=O1945:2:138:7:=R194-75:5:465248:155:=IFERROR(XLOOKUP(P194,'Shipping Program'!$B$32:$B$78,'Shipping Program'!$A$32:$A$78),IFERROR(INDEX(_V7Batches!$B:$B,MATCH(P194&amp;"",_V7Batches!$A:$A,0)),""))5:5:465318:155:=IFERROR(XLOOKUP(P194,'Shipping Program'!$B$32:$B$78,'Shipping Program'!$E$32:$E$78),IFERROR(INDEX(_V7Batches!$D:$D,MATCH(P194&amp;"",_V7Batches!$A:$A,0)),""))5:5:465618:29:=S194+'Shipping Program'!$H$95:5:465688:42:=IFERROR(IF(J194*T194&lt;&gt;0,J194-T194,""),"")5:2:238:66:=IF(U194&lt;&gt;"",IF(U194&gt;28,"Too early",IF(U194&lt;14,"Too late","")),"")8:0:8:0:0:0:8:46:=IF(OFFSET(X194,1,0)="",R194,OFFSET(X194,1,0))5:5:465318:70:=IF(OFFSET(Y194,1,0)="",X194+'Shipping Program'!$F$9,OFFSET(Y194,1,0))5:5:465618:70:=IF(OFFSET(Z194,1,0)="",Y194+'Shipping Program'!$H$9,OFFSET(Z194,1,0))5:5:465688:42:=IFERROR(IF(J194*Z194&lt;&gt;0,J194-Z194,""),"")5:2:238:69:=IF(AA194&lt;&gt;"",IF(AA194&gt;28,"Too early",IF(AA194&lt;14,"Too late","")),"")8:0:8:0:0:0:8:0:0:0:8:4:Durr8:4:Durr8:3:FOB8:3:FOB8:3:F+N8:3:F+N8:49:=IF(AI194="","",AI194*AJ194*AK194/1000/1000/1000)8:0:8:0:0:0:8:0:0:0:8:0:0:0:</t>
  </si>
  <si>
    <t>8:45:=COUNTIF(J$3:OFFSET(J195,-1,0),"Subtotal:")+15:2:138:45:=IF(OFFSET(B195,1,0)&lt;&gt;"",OFFSET(B195,1,0),"")8:0:8:0:0:0:8:6:BP20508:6:BP20508:13:=LEFT(F195,3)8:3:#018:12:#01 TC Booth8:12:#01 TC Booth8:9:Cleanroom8:9:Cleanroom8:0:0:0:8:102:=IF(J195&lt;&gt;"",J195 - ('Shipping Program'!$D$9 + 'Shipping Program'!$F$9 + 'Shipping Program'!$H$9), "")5:5:465388:5:465855:5:465858:39:=IF(SUM(M195:N195)=0,"",SUM(M195:N195))8:0:8:0:0:0:8:0:0:0:8:0:0:0:8:49:=VLOOKUP(I195,'Shipping Program'!$A$32:$B$78,2)-15:2:138:5:=O1955:2:138:7:=R195-75:5:465248:155:=IFERROR(XLOOKUP(P195,'Shipping Program'!$B$32:$B$78,'Shipping Program'!$A$32:$A$78),IFERROR(INDEX(_V7Batches!$B:$B,MATCH(P195&amp;"",_V7Batches!$A:$A,0)),""))5:5:465318:155:=IFERROR(XLOOKUP(P195,'Shipping Program'!$B$32:$B$78,'Shipping Program'!$E$32:$E$78),IFERROR(INDEX(_V7Batches!$D:$D,MATCH(P195&amp;"",_V7Batches!$A:$A,0)),""))5:5:465618:29:=S195+'Shipping Program'!$H$95:5:465688:42:=IFERROR(IF(J195*T195&lt;&gt;0,J195-T195,""),"")5:2:178:66:=IF(U195&lt;&gt;"",IF(U195&gt;28,"Too early",IF(U195&lt;14,"Too late","")),"")8:0:8:0:0:0:8:46:=IF(OFFSET(X195,1,0)="",R195,OFFSET(X195,1,0))5:5:465318:70:=IF(OFFSET(Y195,1,0)="",X195+'Shipping Program'!$F$9,OFFSET(Y195,1,0))5:5:465618:70:=IF(OFFSET(Z195,1,0)="",Y195+'Shipping Program'!$H$9,OFFSET(Z195,1,0))5:5:465688:42:=IFERROR(IF(J195*Z195&lt;&gt;0,J195-Z195,""),"")5:2:178:69:=IF(AA195&lt;&gt;"",IF(AA195&gt;28,"Too early",IF(AA195&lt;14,"Too late","")),"")8:0:8:0:0:0:8:0:0:0:8:4:Durr8:4:Durr8:3:CNF8:3:CNF8:2:NR8:2:NR8:49:=IF(AI195="","",AI195*AJ195*AK195/1000/1000/1000)8:0:8:0:0:0:8:0:0:0:8:0:0:0:</t>
  </si>
  <si>
    <t>8:45:=COUNTIF(J$3:OFFSET(J196,-1,0),"Subtotal:")+15:2:138:45:=IF(OFFSET(B196,1,0)&lt;&gt;"",OFFSET(B196,1,0),"")8:0:8:0:0:0:8:6:BP10008:6:BP10008:13:=LEFT(F196,3)8:3:#118:11:#11 PMR ASU8:11:#11 PMR ASU8:15:Air supply unit8:15:Air supply unit8:3:ASU8:3:ASU8:102:=IF(J196&lt;&gt;"",J196 - ('Shipping Program'!$D$9 + 'Shipping Program'!$F$9 + 'Shipping Program'!$H$9), "")5:5:465448:5:465915:5:465918:39:=IF(SUM(M196:N196)=0,"",SUM(M196:N196))8:0:8:0:0:0:8:0:0:0:8:0:0:0:8:49:=VLOOKUP(I196,'Shipping Program'!$A$32:$B$78,2)-15:2:138:5:=O1965:2:138:7:=R196-75:5:465248:155:=IFERROR(XLOOKUP(P196,'Shipping Program'!$B$32:$B$78,'Shipping Program'!$A$32:$A$78),IFERROR(INDEX(_V7Batches!$B:$B,MATCH(P196&amp;"",_V7Batches!$A:$A,0)),""))5:5:465318:155:=IFERROR(XLOOKUP(P196,'Shipping Program'!$B$32:$B$78,'Shipping Program'!$E$32:$E$78),IFERROR(INDEX(_V7Batches!$D:$D,MATCH(P196&amp;"",_V7Batches!$A:$A,0)),""))5:5:465618:29:=S196+'Shipping Program'!$H$95:5:465688:42:=IFERROR(IF(J196*T196&lt;&gt;0,J196-T196,""),"")5:2:238:66:=IF(U196&lt;&gt;"",IF(U196&gt;28,"Too early",IF(U196&lt;14,"Too late","")),"")8:0:8:0:0:0:8:46:=IF(OFFSET(X196,1,0)="",R196,OFFSET(X196,1,0))5:5:465318:70:=IF(OFFSET(Y196,1,0)="",X196+'Shipping Program'!$F$9,OFFSET(Y196,1,0))5:5:465618:70:=IF(OFFSET(Z196,1,0)="",Y196+'Shipping Program'!$H$9,OFFSET(Z196,1,0))5:5:465688:42:=IFERROR(IF(J196*Z196&lt;&gt;0,J196-Z196,""),"")5:2:238:69:=IF(AA196&lt;&gt;"",IF(AA196&gt;28,"Too early",IF(AA196&lt;14,"Too late","")),"")8:0:8:0:0:0:8:0:0:0:8:4:Durr8:4:Durr8:3:CNF8:3:CNF8:3:F+N8:3:F+N8:49:=IF(AI196="","",AI196*AJ196*AK196/1000/1000/1000)8:0:8:0:0:0:8:0:0:0:8:0:0:0:</t>
  </si>
  <si>
    <t>8:45:=COUNTIF(J$3:OFFSET(J197,-1,0),"Subtotal:")+15:2:138:45:=IF(OFFSET(B197,1,0)&lt;&gt;"",OFFSET(B197,1,0),"")8:0:8:0:0:0:8:6:BP17008:6:BP17008:13:=LEFT(F197,3)8:3:#138:25:#13 WD ASU+2 Filter Boxes8:25:#13 WD ASU+2 Filter Boxes8:14:Piping package8:14:Piping package8:17:ASU+WD_filter box8:17:ASU+WD_filter box8:102:=IF(J197&lt;&gt;"",J197 - ('Shipping Program'!$D$9 + 'Shipping Program'!$F$9 + 'Shipping Program'!$H$9), "")5:5:465408:5:465875:5:465878:39:=IF(SUM(M197:N197)=0,"",SUM(M197:N197))8:0:8:0:0:0:8:0:0:0:8:0:0:0:8:49:=VLOOKUP(I197,'Shipping Program'!$A$32:$B$78,2)-15:2:138:5:=O1975:2:138:7:=R197-75:5:465248:155:=IFERROR(XLOOKUP(P197,'Shipping Program'!$B$32:$B$78,'Shipping Program'!$A$32:$A$78),IFERROR(INDEX(_V7Batches!$B:$B,MATCH(P197&amp;"",_V7Batches!$A:$A,0)),""))5:5:465318:155:=IFERROR(XLOOKUP(P197,'Shipping Program'!$B$32:$B$78,'Shipping Program'!$E$32:$E$78),IFERROR(INDEX(_V7Batches!$D:$D,MATCH(P197&amp;"",_V7Batches!$A:$A,0)),""))5:5:465618:29:=S197+'Shipping Program'!$H$95:5:465688:42:=IFERROR(IF(J197*T197&lt;&gt;0,J197-T197,""),"")5:2:198:66:=IF(U197&lt;&gt;"",IF(U197&gt;28,"Too early",IF(U197&lt;14,"Too late","")),"")8:0:8:0:0:0:8:46:=IF(OFFSET(X197,1,0)="",R197,OFFSET(X197,1,0))5:5:465318:70:=IF(OFFSET(Y197,1,0)="",X197+'Shipping Program'!$F$9,OFFSET(Y197,1,0))5:5:465618:70:=IF(OFFSET(Z197,1,0)="",Y197+'Shipping Program'!$H$9,OFFSET(Z197,1,0))5:5:465688:42:=IFERROR(IF(J197*Z197&lt;&gt;0,J197-Z197,""),"")5:2:198:69:=IF(AA197&lt;&gt;"",IF(AA197&gt;28,"Too early",IF(AA197&lt;14,"Too late","")),"")8:0:8:0:0:0:8:0:0:0:8:3:AES8:3:AES8:0:0:0:8:0:0:0:8:49:=IF(AI197="","",AI197*AJ197*AK197/1000/1000/1000)8:0:8:0:0:0:8:0:0:0:8:0:0:0:</t>
  </si>
  <si>
    <t>8:45:=COUNTIF(J$3:OFFSET(J198,-1,0),"Subtotal:")+15:2:138:45:=IF(OFFSET(B198,1,0)&lt;&gt;"",OFFSET(B198,1,0),"")8:0:8:0:0:0:8:6:BP17008:6:BP17008:13:=LEFT(F198,3)8:3:#138:20:#13 Primer Booth ASU8:20:#13 Primer Booth ASU8:14:Piping package8:14:Piping package8:3:ASU8:3:ASU8:102:=IF(J198&lt;&gt;"",J198 - ('Shipping Program'!$D$9 + 'Shipping Program'!$F$9 + 'Shipping Program'!$H$9), "")5:5:465438:5:465905:5:465908:39:=IF(SUM(M198:N198)=0,"",SUM(M198:N198))8:0:8:0:0:0:8:0:0:0:8:0:0:0:8:49:=VLOOKUP(I198,'Shipping Program'!$A$32:$B$78,2)-15:2:138:5:=O1985:2:138:7:=R198-75:5:465248:155:=IFERROR(XLOOKUP(P198,'Shipping Program'!$B$32:$B$78,'Shipping Program'!$A$32:$A$78),IFERROR(INDEX(_V7Batches!$B:$B,MATCH(P198&amp;"",_V7Batches!$A:$A,0)),""))5:5:465318:155:=IFERROR(XLOOKUP(P198,'Shipping Program'!$B$32:$B$78,'Shipping Program'!$E$32:$E$78),IFERROR(INDEX(_V7Batches!$D:$D,MATCH(P198&amp;"",_V7Batches!$A:$A,0)),""))5:5:465618:29:=S198+'Shipping Program'!$H$95:5:465688:42:=IFERROR(IF(J198*T198&lt;&gt;0,J198-T198,""),"")5:2:228:66:=IF(U198&lt;&gt;"",IF(U198&gt;28,"Too early",IF(U198&lt;14,"Too late","")),"")8:0:8:0:0:0:8:46:=IF(OFFSET(X198,1,0)="",R198,OFFSET(X198,1,0))5:5:465318:70:=IF(OFFSET(Y198,1,0)="",X198+'Shipping Program'!$F$9,OFFSET(Y198,1,0))5:5:465618:70:=IF(OFFSET(Z198,1,0)="",Y198+'Shipping Program'!$H$9,OFFSET(Z198,1,0))5:5:465688:42:=IFERROR(IF(J198*Z198&lt;&gt;0,J198-Z198,""),"")5:2:228:69:=IF(AA198&lt;&gt;"",IF(AA198&gt;28,"Too early",IF(AA198&lt;14,"Too late","")),"")8:0:8:0:0:0:8:0:0:0:8:3:AES8:3:AES8:0:0:0:8:0:0:0:8:49:=IF(AI198="","",AI198*AJ198*AK198/1000/1000/1000)8:0:8:0:0:0:8:0:0:0:8:0:0:0:</t>
  </si>
  <si>
    <t>8:45:=COUNTIF(J$3:OFFSET(J199,-1,0),"Subtotal:")+15:2:138:45:=IF(OFFSET(B199,1,0)&lt;&gt;"",OFFSET(B199,1,0),"")8:0:8:0:0:0:8:11:BP2110&amp;21208:11:BP2110&amp;21208:13:=LEFT(F199,3)8:3:#068:24:#06 AP12 Dust Protection8:24:#06 AP12 Dust Protection8:13:Booth housing8:13:Booth housing8:0:0:0:8:102:=IF(J199&lt;&gt;"",J199 - ('Shipping Program'!$D$9 + 'Shipping Program'!$F$9 + 'Shipping Program'!$H$9), "")5:5:465418:5:465885:5:465888:39:=IF(SUM(M199:N199)=0,"",SUM(M199:N199))8:0:8:0:0:0:8:0:0:0:8:0:0:0:8:49:=VLOOKUP(I199,'Shipping Program'!$A$32:$B$78,2)-15:2:138:5:=O1995:2:138:7:=R199-75:5:465248:155:=IFERROR(XLOOKUP(P199,'Shipping Program'!$B$32:$B$78,'Shipping Program'!$A$32:$A$78),IFERROR(INDEX(_V7Batches!$B:$B,MATCH(P199&amp;"",_V7Batches!$A:$A,0)),""))5:5:465318:155:=IFERROR(XLOOKUP(P199,'Shipping Program'!$B$32:$B$78,'Shipping Program'!$E$32:$E$78),IFERROR(INDEX(_V7Batches!$D:$D,MATCH(P199&amp;"",_V7Batches!$A:$A,0)),""))5:5:465618:29:=S199+'Shipping Program'!$H$95:5:465688:42:=IFERROR(IF(J199*T199&lt;&gt;0,J199-T199,""),"")5:2:208:66:=IF(U199&lt;&gt;"",IF(U199&gt;28,"Too early",IF(U199&lt;14,"Too late","")),"")8:0:8:0:0:0:8:46:=IF(OFFSET(X199,1,0)="",R199,OFFSET(X199,1,0))5:5:465318:70:=IF(OFFSET(Y199,1,0)="",X199+'Shipping Program'!$F$9,OFFSET(Y199,1,0))5:5:465618:70:=IF(OFFSET(Z199,1,0)="",Y199+'Shipping Program'!$H$9,OFFSET(Z199,1,0))5:5:465688:42:=IFERROR(IF(J199*Z199&lt;&gt;0,J199-Z199,""),"")5:2:208:69:=IF(AA199&lt;&gt;"",IF(AA199&gt;28,"Too early",IF(AA199&lt;14,"Too late","")),"")8:0:8:0:0:0:8:0:0:0:8:4:Durr8:4:Durr8:3:CNF8:3:CNF8:2:NR8:2:NR8:49:=IF(AI199="","",AI199*AJ199*AK199/1000/1000/1000)8:0:8:0:0:0:8:0:0:0:8:0:0:0:</t>
  </si>
  <si>
    <t>8:45:=COUNTIF(J$3:OFFSET(J200,-1,0),"Subtotal:")+15:2:138:45:=IF(OFFSET(B200,1,0)&lt;&gt;"",OFFSET(B200,1,0),"")8:0:8:0:0:0:8:11:BP2110&amp;21208:11:BP2110&amp;21208:13:=LEFT(F200,3)8:3:#068:39:#06 AP17-19,21-23 SprDryPol,InsWaxBlack8:39:#06 AP17-19,21-23 SprDryPol,InsWaxBlack8:32:Internal ducting incl. Equipment8:32:Internal ducting incl. Equipment8:0:0:0:8:102:=IF(J200&lt;&gt;"",J200 - ('Shipping Program'!$D$9 + 'Shipping Program'!$F$9 + 'Shipping Program'!$H$9), "")5:5:465398:5:465865:5:465868:39:=IF(SUM(M200:N200)=0,"",SUM(M200:N200))8:0:8:0:0:0:8:0:0:0:8:0:0:0:8:49:=VLOOKUP(I200,'Shipping Program'!$A$32:$B$78,2)-15:2:138:5:=O2005:2:138:7:=R200-75:5:465248:155:=IFERROR(XLOOKUP(P200,'Shipping Program'!$B$32:$B$78,'Shipping Program'!$A$32:$A$78),IFERROR(INDEX(_V7Batches!$B:$B,MATCH(P200&amp;"",_V7Batches!$A:$A,0)),""))5:5:465318:155:=IFERROR(XLOOKUP(P200,'Shipping Program'!$B$32:$B$78,'Shipping Program'!$E$32:$E$78),IFERROR(INDEX(_V7Batches!$D:$D,MATCH(P200&amp;"",_V7Batches!$A:$A,0)),""))5:5:465618:29:=S200+'Shipping Program'!$H$95:5:465688:42:=IFERROR(IF(J200*T200&lt;&gt;0,J200-T200,""),"")5:2:188:66:=IF(U200&lt;&gt;"",IF(U200&gt;28,"Too early",IF(U200&lt;14,"Too late","")),"")8:0:8:0:0:0:8:46:=IF(OFFSET(X200,1,0)="",R200,OFFSET(X200,1,0))5:5:465318:70:=IF(OFFSET(Y200,1,0)="",X200+'Shipping Program'!$F$9,OFFSET(Y200,1,0))5:5:465618:70:=IF(OFFSET(Z200,1,0)="",Y200+'Shipping Program'!$H$9,OFFSET(Z200,1,0))5:5:465688:42:=IFERROR(IF(J200*Z200&lt;&gt;0,J200-Z200,""),"")5:2:188:69:=IF(AA200&lt;&gt;"",IF(AA200&gt;28,"Too early",IF(AA200&lt;14,"Too late","")),"")8:0:8:0:0:0:8:0:0:0:8:4:Durr8:4:Durr8:3:CNF8:3:CNF8:2:NR8:2:NR8:49:=IF(AI200="","",AI200*AJ200*AK200/1000/1000/1000)8:0:8:0:0:0:8:0:0:0:8:0:0:0:</t>
  </si>
  <si>
    <t>8:45:=COUNTIF(J$3:OFFSET(J201,-1,0),"Subtotal:")+15:2:138:45:=IF(OFFSET(B201,1,0)&lt;&gt;"",OFFSET(B201,1,0),"")8:0:8:0:0:0:8:6:BP13318:6:BP13318:13:=LEFT(F201,3)8:3:#208:27:#20 CS Shop Ventilation+ASU8:27:#20 CS Shop Ventilation+ASU8:23:Control cabinets set up8:23:Control cabinets set up8:0:0:0:8:102:=IF(J201&lt;&gt;"",J201 - ('Shipping Program'!$D$9 + 'Shipping Program'!$F$9 + 'Shipping Program'!$H$9), "")5:5:465428:5:465895:5:465898:39:=IF(SUM(M201:N201)=0,"",SUM(M201:N201))8:0:8:0:0:0:8:0:0:0:8:0:0:0:8:49:=VLOOKUP(I201,'Shipping Program'!$A$32:$B$78,2)-15:2:138:5:=O2015:2:138:7:=R201-75:5:465248:155:=IFERROR(XLOOKUP(P201,'Shipping Program'!$B$32:$B$78,'Shipping Program'!$A$32:$A$78),IFERROR(INDEX(_V7Batches!$B:$B,MATCH(P201&amp;"",_V7Batches!$A:$A,0)),""))5:5:465318:155:=IFERROR(XLOOKUP(P201,'Shipping Program'!$B$32:$B$78,'Shipping Program'!$E$32:$E$78),IFERROR(INDEX(_V7Batches!$D:$D,MATCH(P201&amp;"",_V7Batches!$A:$A,0)),""))5:5:465618:29:=S201+'Shipping Program'!$H$95:5:465688:42:=IFERROR(IF(J201*T201&lt;&gt;0,J201-T201,""),"")5:2:218:66:=IF(U201&lt;&gt;"",IF(U201&gt;28,"Too early",IF(U201&lt;14,"Too late","")),"")8:0:8:0:0:0:8:46:=IF(OFFSET(X201,1,0)="",R201,OFFSET(X201,1,0))5:5:465318:70:=IF(OFFSET(Y201,1,0)="",X201+'Shipping Program'!$F$9,OFFSET(Y201,1,0))5:5:465618:70:=IF(OFFSET(Z201,1,0)="",Y201+'Shipping Program'!$H$9,OFFSET(Z201,1,0))5:5:465688:42:=IFERROR(IF(J201*Z201&lt;&gt;0,J201-Z201,""),"")5:2:218:69:=IF(AA201&lt;&gt;"",IF(AA201&gt;28,"Too early",IF(AA201&lt;14,"Too late","")),"")8:0:8:0:0:0:8:0:0:0:8:4:Durr8:4:Durr8:3:FOB8:3:FOB8:2:NR8:2:NR8:49:=IF(AI201="","",AI201*AJ201*AK201/1000/1000/1000)8:0:8:0:0:0:8:0:0:0:8:0:0:0:</t>
  </si>
  <si>
    <t>8:45:=COUNTIF(J$3:OFFSET(J202,-1,0),"Subtotal:")+15:2:138:45:=IF(OFFSET(B202,1,0)&lt;&gt;"",OFFSET(B202,1,0),"")8:0:8:0:0:0:8:6:BP13328:6:BP13328:13:=LEFT(F202,3)8:3:#208:19:#20 CS Water Plants8:19:#20 CS Water Plants8:23:Control cabinets set up8:23:Control cabinets set up8:0:0:0:8:102:=IF(J202&lt;&gt;"",J202 - ('Shipping Program'!$D$9 + 'Shipping Program'!$F$9 + 'Shipping Program'!$H$9), "")5:5:465428:5:465895:5:465898:39:=IF(SUM(M202:N202)=0,"",SUM(M202:N202))8:0:8:0:0:0:8:0:0:0:8:0:0:0:8:49:=VLOOKUP(I202,'Shipping Program'!$A$32:$B$78,2)-15:2:138:5:=O2025:2:138:7:=R202-75:5:465248:155:=IFERROR(XLOOKUP(P202,'Shipping Program'!$B$32:$B$78,'Shipping Program'!$A$32:$A$78),IFERROR(INDEX(_V7Batches!$B:$B,MATCH(P202&amp;"",_V7Batches!$A:$A,0)),""))5:5:465318:155:=IFERROR(XLOOKUP(P202,'Shipping Program'!$B$32:$B$78,'Shipping Program'!$E$32:$E$78),IFERROR(INDEX(_V7Batches!$D:$D,MATCH(P202&amp;"",_V7Batches!$A:$A,0)),""))5:5:465618:29:=S202+'Shipping Program'!$H$95:5:465688:42:=IFERROR(IF(J202*T202&lt;&gt;0,J202-T202,""),"")5:2:218:66:=IF(U202&lt;&gt;"",IF(U202&gt;28,"Too early",IF(U202&lt;14,"Too late","")),"")8:0:8:0:0:0:8:46:=IF(OFFSET(X202,1,0)="",R202,OFFSET(X202,1,0))5:5:465318:70:=IF(OFFSET(Y202,1,0)="",X202+'Shipping Program'!$F$9,OFFSET(Y202,1,0))5:5:465618:70:=IF(OFFSET(Z202,1,0)="",Y202+'Shipping Program'!$H$9,OFFSET(Z202,1,0))5:5:465688:42:=IFERROR(IF(J202*Z202&lt;&gt;0,J202-Z202,""),"")5:2:218:69:=IF(AA202&lt;&gt;"",IF(AA202&gt;28,"Too early",IF(AA202&lt;14,"Too late","")),"")8:0:8:0:0:0:8:0:0:0:8:4:Durr8:4:Durr8:3:FOB8:3:FOB8:2:NR8:2:NR8:49:=IF(AI202="","",AI202*AJ202*AK202/1000/1000/1000)8:0:8:0:0:0:8:0:0:0:8:0:0:0:</t>
  </si>
  <si>
    <t>8:45:=COUNTIF(J$3:OFFSET(J203,-1,0),"Subtotal:")+15:2:138:0:0:0:8:0:0:0:8:0:0:0:8:0:0:0:8:0:0:0:8:0:0:0:8:0:0:0:8:0:0:0:8:9:Subtotal:8:9:Subtotal:8:56:=SUMIF(A$3:OFFSET(A203,-1,0),A203,K$3:OFFSET(K203,-1,0))5:1:08:56:=SUMIF(A$3:OFFSET(A203,-1,0),A203,L$3:OFFSET(L203,-1,0))5:1:08:0:0:0:8:0:0:0:8:0:0:0:8:0:0:0:8:7:=R203-75:5:465248:42:=IF(J203="Subtotal:",OFFSET(R203,-1,0),"")5:5:465318:42:=IF(J203="Subtotal:",OFFSET(S203,-1,0),"")5:5:465618:42:=IF(J203="Subtotal:",OFFSET(T203,-1,0),"")5:5:465688:42:=IFERROR(IF(J203*T203&lt;&gt;0,J203-T203,""),"")8:0:8:66:=IF(U203&lt;&gt;"",IF(U203&gt;28,"Too early",IF(U203&lt;14,"Too late","")),"")8:0:8:147:=(SUMIFS($K:$K,$J:$J,"&lt;&gt;Subtotal:",$J:$J,"&gt;"&amp;S203,$S:$S,"&lt;="&amp;S203))*24*1.3+(SUMIFS($L:$L,$J:$J,"&lt;&gt;Subtotal:",$J:$J,"&gt;"&amp;S203,$S:$S,"&lt;="&amp;S203))/3*1.35:1:08:0:0:0:8:0:0:0:8:0:0:0:8:42:=IFERROR(IF(J203*Z203&lt;&gt;0,J203-Z203,""),"")8:0:8:69:=IF(AA203&lt;&gt;"",IF(AA203&gt;28,"Too early",IF(AA203&lt;14,"Too late","")),"")8:0:8:147:=(SUMIFS($K:$K,$J:$J,"&lt;&gt;Subtotal:",$J:$J,"&gt;"&amp;Y203,$Y:$Y,"&lt;="&amp;Y203))*24*1.3+(SUMIFS($L:$L,$J:$J,"&lt;&gt;Subtotal:",$J:$J,"&gt;"&amp;Y203,$Y:$Y,"&lt;="&amp;Y203))/3*1.35:1:08:0:0:0:8:0:0:0:8:0:0:0:8:0:0:0:8:0:0:0:8:0:0:0:8:0:0:0:8:0:0:0:</t>
  </si>
  <si>
    <t>8:45:=COUNTIF(J$3:OFFSET(J204,-1,0),"Subtotal:")+15:2:148:45:=IF(OFFSET(B204,1,0)&lt;&gt;"",OFFSET(B204,1,0),"")8:0:8:0:0:0:8:6:BP17008:6:BP17008:13:=LEFT(F204,3)8:3:#118:11:#11 PMR ASU8:11:#11 PMR ASU8:15:Humidifier unit8:15:Humidifier unit8:3:ASU8:3:ASU8:102:=IF(J204&lt;&gt;"",J204 - ('Shipping Program'!$D$9 + 'Shipping Program'!$F$9 + 'Shipping Program'!$H$9), "")5:5:465478:5:465945:5:465948:39:=IF(SUM(M204:N204)=0,"",SUM(M204:N204))8:0:8:0:0:0:8:0:0:0:8:0:0:0:8:49:=VLOOKUP(I204,'Shipping Program'!$A$32:$B$78,2)-15:2:148:5:=O2045:2:148:7:=R204-75:5:465318:155:=IFERROR(XLOOKUP(P204,'Shipping Program'!$B$32:$B$78,'Shipping Program'!$A$32:$A$78),IFERROR(INDEX(_V7Batches!$B:$B,MATCH(P204&amp;"",_V7Batches!$A:$A,0)),""))5:5:465388:155:=IFERROR(XLOOKUP(P204,'Shipping Program'!$B$32:$B$78,'Shipping Program'!$E$32:$E$78),IFERROR(INDEX(_V7Batches!$D:$D,MATCH(P204&amp;"",_V7Batches!$A:$A,0)),""))5:5:465688:29:=S204+'Shipping Program'!$H$95:5:465758:42:=IFERROR(IF(J204*T204&lt;&gt;0,J204-T204,""),"")5:2:198:66:=IF(U204&lt;&gt;"",IF(U204&gt;28,"Too early",IF(U204&lt;14,"Too late","")),"")8:0:8:0:0:0:8:46:=IF(OFFSET(X204,1,0)="",R204,OFFSET(X204,1,0))5:5:465388:70:=IF(OFFSET(Y204,1,0)="",X204+'Shipping Program'!$F$9,OFFSET(Y204,1,0))5:5:465688:70:=IF(OFFSET(Z204,1,0)="",Y204+'Shipping Program'!$H$9,OFFSET(Z204,1,0))5:5:465758:42:=IFERROR(IF(J204*Z204&lt;&gt;0,J204-Z204,""),"")5:2:198:69:=IF(AA204&lt;&gt;"",IF(AA204&gt;28,"Too early",IF(AA204&lt;14,"Too late","")),"")8:0:8:0:0:0:8:0:0:0:8:4:Durr8:4:Durr8:3:CNF8:3:CNF8:2:NR8:2:NR8:49:=IF(AI204="","",AI204*AJ204*AK204/1000/1000/1000)8:0:8:0:0:0:8:0:0:0:8:0:0:0:</t>
  </si>
  <si>
    <t>8:45:=COUNTIF(J$3:OFFSET(J205,-1,0),"Subtotal:")+15:2:148:45:=IF(OFFSET(B205,1,0)&lt;&gt;"",OFFSET(B205,1,0),"")8:0:8:0:0:0:8:6:BP17008:6:BP17008:13:=LEFT(F205,3)8:3:#138:25:#13 WD ASU+2 Filter Boxes8:25:#13 WD ASU+2 Filter Boxes8:18:Insulation package8:18:Insulation package8:17:ASU+WD_filter box8:17:ASU+WD_filter box8:102:=IF(J205&lt;&gt;"",J205 - ('Shipping Program'!$D$9 + 'Shipping Program'!$F$9 + 'Shipping Program'!$H$9), "")5:5:465478:5:465945:5:465948:39:=IF(SUM(M205:N205)=0,"",SUM(M205:N205))8:0:8:0:0:0:8:0:0:0:8:0:0:0:8:49:=VLOOKUP(I205,'Shipping Program'!$A$32:$B$78,2)-15:2:148:5:=O2055:2:148:7:=R205-75:5:465318:155:=IFERROR(XLOOKUP(P205,'Shipping Program'!$B$32:$B$78,'Shipping Program'!$A$32:$A$78),IFERROR(INDEX(_V7Batches!$B:$B,MATCH(P205&amp;"",_V7Batches!$A:$A,0)),""))5:5:465388:155:=IFERROR(XLOOKUP(P205,'Shipping Program'!$B$32:$B$78,'Shipping Program'!$E$32:$E$78),IFERROR(INDEX(_V7Batches!$D:$D,MATCH(P205&amp;"",_V7Batches!$A:$A,0)),""))5:5:465688:29:=S205+'Shipping Program'!$H$95:5:465758:42:=IFERROR(IF(J205*T205&lt;&gt;0,J205-T205,""),"")5:2:198:66:=IF(U205&lt;&gt;"",IF(U205&gt;28,"Too early",IF(U205&lt;14,"Too late","")),"")8:0:8:0:0:0:8:46:=IF(OFFSET(X205,1,0)="",R205,OFFSET(X205,1,0))5:5:465388:70:=IF(OFFSET(Y205,1,0)="",X205+'Shipping Program'!$F$9,OFFSET(Y205,1,0))5:5:465688:70:=IF(OFFSET(Z205,1,0)="",Y205+'Shipping Program'!$H$9,OFFSET(Z205,1,0))5:5:465758:42:=IFERROR(IF(J205*Z205&lt;&gt;0,J205-Z205,""),"")5:2:198:69:=IF(AA205&lt;&gt;"",IF(AA205&gt;28,"Too early",IF(AA205&lt;14,"Too late","")),"")8:0:8:0:0:0:8:0:0:0:8:3:AES8:3:AES8:0:0:0:8:0:0:0:8:49:=IF(AI205="","",AI205*AJ205*AK205/1000/1000/1000)8:0:8:0:0:0:8:0:0:0:8:0:0:0:</t>
  </si>
  <si>
    <t>8:45:=COUNTIF(J$3:OFFSET(J206,-1,0),"Subtotal:")+15:2:148:45:=IF(OFFSET(B206,1,0)&lt;&gt;"",OFFSET(B206,1,0),"")8:0:8:0:0:0:8:6:BP17008:6:BP17008:13:=LEFT(F206,3)8:3:#118:12:#11 Shop ASU8:12:#11 Shop ASU8:16:Regulation train8:16:Regulation train8:3:ASU8:3:ASU8:102:=IF(J206&lt;&gt;"",J206 - ('Shipping Program'!$D$9 + 'Shipping Program'!$F$9 + 'Shipping Program'!$H$9), "")5:5:465498:5:465965:5:465968:39:=IF(SUM(M206:N206)=0,"",SUM(M206:N206))8:0:8:0:0:0:8:0:0:0:8:0:0:0:8:49:=VLOOKUP(I206,'Shipping Program'!$A$32:$B$78,2)-15:2:148:5:=O2065:2:148:7:=R206-75:5:465318:155:=IFERROR(XLOOKUP(P206,'Shipping Program'!$B$32:$B$78,'Shipping Program'!$A$32:$A$78),IFERROR(INDEX(_V7Batches!$B:$B,MATCH(P206&amp;"",_V7Batches!$A:$A,0)),""))5:5:465388:155:=IFERROR(XLOOKUP(P206,'Shipping Program'!$B$32:$B$78,'Shipping Program'!$E$32:$E$78),IFERROR(INDEX(_V7Batches!$D:$D,MATCH(P206&amp;"",_V7Batches!$A:$A,0)),""))5:5:465688:29:=S206+'Shipping Program'!$H$95:5:465758:42:=IFERROR(IF(J206*T206&lt;&gt;0,J206-T206,""),"")5:2:218:66:=IF(U206&lt;&gt;"",IF(U206&gt;28,"Too early",IF(U206&lt;14,"Too late","")),"")8:0:8:0:0:0:8:46:=IF(OFFSET(X206,1,0)="",R206,OFFSET(X206,1,0))5:5:465388:70:=IF(OFFSET(Y206,1,0)="",X206+'Shipping Program'!$F$9,OFFSET(Y206,1,0))5:5:465688:70:=IF(OFFSET(Z206,1,0)="",Y206+'Shipping Program'!$H$9,OFFSET(Z206,1,0))5:5:465758:42:=IFERROR(IF(J206*Z206&lt;&gt;0,J206-Z206,""),"")5:2:218:69:=IF(AA206&lt;&gt;"",IF(AA206&gt;28,"Too early",IF(AA206&lt;14,"Too late","")),"")8:0:8:0:0:0:8:0:0:0:8:4:Durr8:4:Durr8:3:CNF8:3:CNF8:2:NR8:2:NR8:49:=IF(AI206="","",AI206*AJ206*AK206/1000/1000/1000)8:0:8:0:0:0:8:0:0:0:8:0:0:0:</t>
  </si>
  <si>
    <t>8:45:=COUNTIF(J$3:OFFSET(J207,-1,0),"Subtotal:")+15:2:148:45:=IF(OFFSET(B207,1,0)&lt;&gt;"",OFFSET(B207,1,0),"")8:0:8:0:0:0:8:6:BP17008:6:BP17008:13:=LEFT(F207,3)8:3:#138:20:#13 Primer Booth ASU8:20:#13 Primer Booth ASU8:18:Insulation package8:18:Insulation package8:3:ASU8:3:ASU8:102:=IF(J207&lt;&gt;"",J207 - ('Shipping Program'!$D$9 + 'Shipping Program'!$F$9 + 'Shipping Program'!$H$9), "")5:5:465488:5:465955:5:465958:39:=IF(SUM(M207:N207)=0,"",SUM(M207:N207))8:0:8:0:0:0:8:0:0:0:8:0:0:0:8:49:=VLOOKUP(I207,'Shipping Program'!$A$32:$B$78,2)-15:2:148:5:=O2075:2:148:7:=R207-75:5:465318:155:=IFERROR(XLOOKUP(P207,'Shipping Program'!$B$32:$B$78,'Shipping Program'!$A$32:$A$78),IFERROR(INDEX(_V7Batches!$B:$B,MATCH(P207&amp;"",_V7Batches!$A:$A,0)),""))5:5:465388:155:=IFERROR(XLOOKUP(P207,'Shipping Program'!$B$32:$B$78,'Shipping Program'!$E$32:$E$78),IFERROR(INDEX(_V7Batches!$D:$D,MATCH(P207&amp;"",_V7Batches!$A:$A,0)),""))5:5:465688:29:=S207+'Shipping Program'!$H$95:5:465758:42:=IFERROR(IF(J207*T207&lt;&gt;0,J207-T207,""),"")5:2:208:66:=IF(U207&lt;&gt;"",IF(U207&gt;28,"Too early",IF(U207&lt;14,"Too late","")),"")8:0:8:0:0:0:8:46:=IF(OFFSET(X207,1,0)="",R207,OFFSET(X207,1,0))5:5:465388:70:=IF(OFFSET(Y207,1,0)="",X207+'Shipping Program'!$F$9,OFFSET(Y207,1,0))5:5:465688:70:=IF(OFFSET(Z207,1,0)="",Y207+'Shipping Program'!$H$9,OFFSET(Z207,1,0))5:5:465758:42:=IFERROR(IF(J207*Z207&lt;&gt;0,J207-Z207,""),"")5:2:208:69:=IF(AA207&lt;&gt;"",IF(AA207&gt;28,"Too early",IF(AA207&lt;14,"Too late","")),"")8:0:8:0:0:0:8:0:0:0:8:3:AES8:3:AES8:0:0:0:8:0:0:0:8:49:=IF(AI207="","",AI207*AJ207*AK207/1000/1000/1000)8:0:8:0:0:0:8:0:0:0:8:0:0:0:</t>
  </si>
  <si>
    <t>8:45:=COUNTIF(J$3:OFFSET(J208,-1,0),"Subtotal:")+15:2:148:45:=IF(OFFSET(B208,1,0)&lt;&gt;"",OFFSET(B208,1,0),"")8:0:8:0:0:0:8:11:BP2110&amp;21208:11:BP2110&amp;21208:13:=LEFT(F208,3)8:3:#068:24:#06 AP12 Dust Protection8:24:#06 AP12 Dust Protection8:32:Internal ducting incl. Equipment8:32:Internal ducting incl. Equipment8:0:0:0:8:102:=IF(J208&lt;&gt;"",J208 - ('Shipping Program'!$D$9 + 'Shipping Program'!$F$9 + 'Shipping Program'!$H$9), "")5:5:465508:5:465975:5:465978:39:=IF(SUM(M208:N208)=0,"",SUM(M208:N208))8:0:8:0:0:0:8:0:0:0:8:0:0:0:8:49:=VLOOKUP(I208,'Shipping Program'!$A$32:$B$78,2)-15:2:148:5:=O2085:2:148:7:=R208-75:5:465318:155:=IFERROR(XLOOKUP(P208,'Shipping Program'!$B$32:$B$78,'Shipping Program'!$A$32:$A$78),IFERROR(INDEX(_V7Batches!$B:$B,MATCH(P208&amp;"",_V7Batches!$A:$A,0)),""))5:5:465388:155:=IFERROR(XLOOKUP(P208,'Shipping Program'!$B$32:$B$78,'Shipping Program'!$E$32:$E$78),IFERROR(INDEX(_V7Batches!$D:$D,MATCH(P208&amp;"",_V7Batches!$A:$A,0)),""))5:5:465688:29:=S208+'Shipping Program'!$H$95:5:465758:42:=IFERROR(IF(J208*T208&lt;&gt;0,J208-T208,""),"")5:2:228:66:=IF(U208&lt;&gt;"",IF(U208&gt;28,"Too early",IF(U208&lt;14,"Too late","")),"")8:0:8:0:0:0:8:46:=IF(OFFSET(X208,1,0)="",R208,OFFSET(X208,1,0))5:5:465388:70:=IF(OFFSET(Y208,1,0)="",X208+'Shipping Program'!$F$9,OFFSET(Y208,1,0))5:5:465688:70:=IF(OFFSET(Z208,1,0)="",Y208+'Shipping Program'!$H$9,OFFSET(Z208,1,0))5:5:465758:42:=IFERROR(IF(J208*Z208&lt;&gt;0,J208-Z208,""),"")5:2:228:69:=IF(AA208&lt;&gt;"",IF(AA208&gt;28,"Too early",IF(AA208&lt;14,"Too late","")),"")8:0:8:0:0:0:8:0:0:0:8:4:Durr8:4:Durr8:3:CNF8:3:CNF8:2:NR8:2:NR8:49:=IF(AI208="","",AI208*AJ208*AK208/1000/1000/1000)8:0:8:0:0:0:8:0:0:0:8:0:0:0:</t>
  </si>
  <si>
    <t>8:45:=COUNTIF(J$3:OFFSET(J209,-1,0),"Subtotal:")+15:2:148:45:=IF(OFFSET(B209,1,0)&lt;&gt;"",OFFSET(B209,1,0),"")8:0:8:0:0:0:8:6:BP13318:6:BP13318:13:=LEFT(F209,3)8:3:#208:14:#20 CS TC Oven8:14:#20 CS TC Oven8:23:Control cabinets set up8:23:Control cabinets set up8:0:0:0:8:102:=IF(J209&lt;&gt;"",J209 - ('Shipping Program'!$D$9 + 'Shipping Program'!$F$9 + 'Shipping Program'!$H$9), "")5:5:465478:5:465945:5:465948:39:=IF(SUM(M209:N209)=0,"",SUM(M209:N209))8:0:8:0:0:0:8:0:0:0:8:0:0:0:8:49:=VLOOKUP(I209,'Shipping Program'!$A$32:$B$78,2)-15:2:148:5:=O2095:2:148:7:=R209-75:5:465318:155:=IFERROR(XLOOKUP(P209,'Shipping Program'!$B$32:$B$78,'Shipping Program'!$A$32:$A$78),IFERROR(INDEX(_V7Batches!$B:$B,MATCH(P209&amp;"",_V7Batches!$A:$A,0)),""))5:5:465388:155:=IFERROR(XLOOKUP(P209,'Shipping Program'!$B$32:$B$78,'Shipping Program'!$E$32:$E$78),IFERROR(INDEX(_V7Batches!$D:$D,MATCH(P209&amp;"",_V7Batches!$A:$A,0)),""))5:5:465688:29:=S209+'Shipping Program'!$H$95:5:465758:42:=IFERROR(IF(J209*T209&lt;&gt;0,J209-T209,""),"")5:2:198:66:=IF(U209&lt;&gt;"",IF(U209&gt;28,"Too early",IF(U209&lt;14,"Too late","")),"")8:0:8:0:0:0:8:46:=IF(OFFSET(X209,1,0)="",R209,OFFSET(X209,1,0))5:5:465388:70:=IF(OFFSET(Y209,1,0)="",X209+'Shipping Program'!$F$9,OFFSET(Y209,1,0))5:5:465688:70:=IF(OFFSET(Z209,1,0)="",Y209+'Shipping Program'!$H$9,OFFSET(Z209,1,0))5:5:465758:42:=IFERROR(IF(J209*Z209&lt;&gt;0,J209-Z209,""),"")5:2:198:69:=IF(AA209&lt;&gt;"",IF(AA209&gt;28,"Too early",IF(AA209&lt;14,"Too late","")),"")8:0:8:0:0:0:8:0:0:0:8:4:Durr8:4:Durr8:3:FOB8:3:FOB8:2:NR8:2:NR8:49:=IF(AI209="","",AI209*AJ209*AK209/1000/1000/1000)8:0:8:0:0:0:8:0:0:0:8:0:0:0:</t>
  </si>
  <si>
    <t>8:45:=COUNTIF(J$3:OFFSET(J210,-1,0),"Subtotal:")+15:2:148:0:0:0:8:0:0:0:8:0:0:0:8:0:0:0:8:0:0:0:8:0:0:0:8:0:0:0:8:0:0:0:8:9:Subtotal:8:9:Subtotal:8:56:=SUMIF(A$3:OFFSET(A210,-1,0),A210,K$3:OFFSET(K210,-1,0))5:1:08:56:=SUMIF(A$3:OFFSET(A210,-1,0),A210,L$3:OFFSET(L210,-1,0))5:1:08:0:0:0:8:0:0:0:8:0:0:0:8:0:0:0:8:7:=R210-75:5:465318:42:=IF(J210="Subtotal:",OFFSET(R210,-1,0),"")5:5:465388:42:=IF(J210="Subtotal:",OFFSET(S210,-1,0),"")5:5:465688:42:=IF(J210="Subtotal:",OFFSET(T210,-1,0),"")5:5:465758:42:=IFERROR(IF(J210*T210&lt;&gt;0,J210-T210,""),"")8:0:8:66:=IF(U210&lt;&gt;"",IF(U210&gt;28,"Too early",IF(U210&lt;14,"Too late","")),"")8:0:8:147:=(SUMIFS($K:$K,$J:$J,"&lt;&gt;Subtotal:",$J:$J,"&gt;"&amp;S210,$S:$S,"&lt;="&amp;S210))*24*1.3+(SUMIFS($L:$L,$J:$J,"&lt;&gt;Subtotal:",$J:$J,"&gt;"&amp;S210,$S:$S,"&lt;="&amp;S210))/3*1.35:1:08:0:0:0:8:0:0:0:8:0:0:0:8:42:=IFERROR(IF(J210*Z210&lt;&gt;0,J210-Z210,""),"")8:0:8:69:=IF(AA210&lt;&gt;"",IF(AA210&gt;28,"Too early",IF(AA210&lt;14,"Too late","")),"")8:0:8:147:=(SUMIFS($K:$K,$J:$J,"&lt;&gt;Subtotal:",$J:$J,"&gt;"&amp;Y210,$Y:$Y,"&lt;="&amp;Y210))*24*1.3+(SUMIFS($L:$L,$J:$J,"&lt;&gt;Subtotal:",$J:$J,"&gt;"&amp;Y210,$Y:$Y,"&lt;="&amp;Y210))/3*1.35:1:08:0:0:0:8:0:0:0:8:0:0:0:8:0:0:0:8:0:0:0:8:0:0:0:8:0:0:0:8:0:0:0:</t>
  </si>
  <si>
    <t>8:45:=COUNTIF(J$3:OFFSET(J211,-1,0),"Subtotal:")+15:2:158:45:=IF(OFFSET(B211,1,0)&lt;&gt;"",OFFSET(B211,1,0),"")8:0:8:0:0:0:8:6:BP17008:6:BP17008:13:=LEFT(F211,3)8:3:#118:11:#11 PMR ASU8:11:#11 PMR ASU8:16:Regulation train8:16:Regulation train8:3:ASU8:3:ASU8:102:=IF(J211&lt;&gt;"",J211 - ('Shipping Program'!$D$9 + 'Shipping Program'!$F$9 + 'Shipping Program'!$H$9), "")5:5:465578:5:466045:5:466048:39:=IF(SUM(M211:N211)=0,"",SUM(M211:N211))8:0:8:0:0:0:8:0:0:0:8:0:0:0:8:49:=VLOOKUP(I211,'Shipping Program'!$A$32:$B$78,2)-15:2:158:5:=O2115:2:158:7:=R211-75:5:465388:155:=IFERROR(XLOOKUP(P211,'Shipping Program'!$B$32:$B$78,'Shipping Program'!$A$32:$A$78),IFERROR(INDEX(_V7Batches!$B:$B,MATCH(P211&amp;"",_V7Batches!$A:$A,0)),""))5:5:465458:155:=IFERROR(XLOOKUP(P211,'Shipping Program'!$B$32:$B$78,'Shipping Program'!$E$32:$E$78),IFERROR(INDEX(_V7Batches!$D:$D,MATCH(P211&amp;"",_V7Batches!$A:$A,0)),""))5:5:465758:29:=S211+'Shipping Program'!$H$95:5:465828:42:=IFERROR(IF(J211*T211&lt;&gt;0,J211-T211,""),"")5:2:228:66:=IF(U211&lt;&gt;"",IF(U211&gt;28,"Too early",IF(U211&lt;14,"Too late","")),"")8:0:8:0:0:0:8:46:=IF(OFFSET(X211,1,0)="",R211,OFFSET(X211,1,0))5:5:465458:70:=IF(OFFSET(Y211,1,0)="",X211+'Shipping Program'!$F$9,OFFSET(Y211,1,0))5:5:465758:70:=IF(OFFSET(Z211,1,0)="",Y211+'Shipping Program'!$H$9,OFFSET(Z211,1,0))5:5:465828:42:=IFERROR(IF(J211*Z211&lt;&gt;0,J211-Z211,""),"")5:2:228:69:=IF(AA211&lt;&gt;"",IF(AA211&gt;28,"Too early",IF(AA211&lt;14,"Too late","")),"")8:0:8:0:0:0:8:0:0:0:8:4:Durr8:4:Durr8:3:CNF8:3:CNF8:2:NR8:2:NR8:49:=IF(AI211="","",AI211*AJ211*AK211/1000/1000/1000)8:0:8:0:0:0:8:0:0:0:8:0:0:0:</t>
  </si>
  <si>
    <t>8:45:=COUNTIF(J$3:OFFSET(J212,-1,0),"Subtotal:")+15:2:158:45:=IF(OFFSET(B212,1,0)&lt;&gt;"",OFFSET(B212,1,0),"")8:0:8:0:0:0:8:6:BP17008:6:BP17008:13:=LEFT(F212,3)8:3:#118:12:#11 Shop ASU8:12:#11 Shop ASU8:14:Piping package8:14:Piping package8:3:ASU8:3:ASU8:102:=IF(J212&lt;&gt;"",J212 - ('Shipping Program'!$D$9 + 'Shipping Program'!$F$9 + 'Shipping Program'!$H$9), "")5:5:465548:5:466015:5:466018:39:=IF(SUM(M212:N212)=0,"",SUM(M212:N212))8:0:8:0:0:0:8:0:0:0:8:0:0:0:8:49:=VLOOKUP(I212,'Shipping Program'!$A$32:$B$78,2)-15:2:158:5:=O2125:2:158:7:=R212-75:5:465388:155:=IFERROR(XLOOKUP(P212,'Shipping Program'!$B$32:$B$78,'Shipping Program'!$A$32:$A$78),IFERROR(INDEX(_V7Batches!$B:$B,MATCH(P212&amp;"",_V7Batches!$A:$A,0)),""))5:5:465458:155:=IFERROR(XLOOKUP(P212,'Shipping Program'!$B$32:$B$78,'Shipping Program'!$E$32:$E$78),IFERROR(INDEX(_V7Batches!$D:$D,MATCH(P212&amp;"",_V7Batches!$A:$A,0)),""))5:5:465758:29:=S212+'Shipping Program'!$H$95:5:465828:42:=IFERROR(IF(J212*T212&lt;&gt;0,J212-T212,""),"")5:2:198:66:=IF(U212&lt;&gt;"",IF(U212&gt;28,"Too early",IF(U212&lt;14,"Too late","")),"")8:0:8:0:0:0:8:46:=IF(OFFSET(X212,1,0)="",R212,OFFSET(X212,1,0))5:5:465458:70:=IF(OFFSET(Y212,1,0)="",X212+'Shipping Program'!$F$9,OFFSET(Y212,1,0))5:5:465758:70:=IF(OFFSET(Z212,1,0)="",Y212+'Shipping Program'!$H$9,OFFSET(Z212,1,0))5:5:465828:42:=IFERROR(IF(J212*Z212&lt;&gt;0,J212-Z212,""),"")5:2:198:69:=IF(AA212&lt;&gt;"",IF(AA212&gt;28,"Too early",IF(AA212&lt;14,"Too late","")),"")8:0:8:0:0:0:8:0:0:0:8:3:AES8:3:AES8:0:0:0:8:0:0:0:8:49:=IF(AI212="","",AI212*AJ212*AK212/1000/1000/1000)8:0:8:0:0:0:8:0:0:0:8:0:0:0:</t>
  </si>
  <si>
    <t>8:45:=COUNTIF(J$3:OFFSET(J213,-1,0),"Subtotal:")+15:2:158:0:0:0:8:0:0:0:8:0:0:0:8:0:0:0:8:0:0:0:8:0:0:0:8:0:0:0:8:0:0:0:8:9:Subtotal:8:9:Subtotal:8:56:=SUMIF(A$3:OFFSET(A213,-1,0),A213,K$3:OFFSET(K213,-1,0))5:1:08:56:=SUMIF(A$3:OFFSET(A213,-1,0),A213,L$3:OFFSET(L213,-1,0))5:1:08:0:0:0:8:0:0:0:8:0:0:0:8:0:0:0:8:7:=R213-75:5:465388:42:=IF(J213="Subtotal:",OFFSET(R213,-1,0),"")5:5:465458:42:=IF(J213="Subtotal:",OFFSET(S213,-1,0),"")5:5:465758:42:=IF(J213="Subtotal:",OFFSET(T213,-1,0),"")5:5:465828:42:=IFERROR(IF(J213*T213&lt;&gt;0,J213-T213,""),"")8:0:8:66:=IF(U213&lt;&gt;"",IF(U213&gt;28,"Too early",IF(U213&lt;14,"Too late","")),"")8:0:8:147:=(SUMIFS($K:$K,$J:$J,"&lt;&gt;Subtotal:",$J:$J,"&gt;"&amp;S213,$S:$S,"&lt;="&amp;S213))*24*1.3+(SUMIFS($L:$L,$J:$J,"&lt;&gt;Subtotal:",$J:$J,"&gt;"&amp;S213,$S:$S,"&lt;="&amp;S213))/3*1.35:1:08:0:0:0:8:0:0:0:8:0:0:0:8:42:=IFERROR(IF(J213*Z213&lt;&gt;0,J213-Z213,""),"")8:0:8:69:=IF(AA213&lt;&gt;"",IF(AA213&gt;28,"Too early",IF(AA213&lt;14,"Too late","")),"")8:0:8:147:=(SUMIFS($K:$K,$J:$J,"&lt;&gt;Subtotal:",$J:$J,"&gt;"&amp;Y213,$Y:$Y,"&lt;="&amp;Y213))*24*1.3+(SUMIFS($L:$L,$J:$J,"&lt;&gt;Subtotal:",$J:$J,"&gt;"&amp;Y213,$Y:$Y,"&lt;="&amp;Y213))/3*1.35:1:08:0:0:0:8:0:0:0:8:0:0:0:8:0:0:0:8:0:0:0:8:0:0:0:8:0:0:0:8:0:0:0:</t>
  </si>
  <si>
    <t>8:45:=COUNTIF(J$3:OFFSET(J214,-1,0),"Subtotal:")+15:2:168:45:=IF(OFFSET(B214,1,0)&lt;&gt;"",OFFSET(B214,1,0),"")8:0:8:0:0:0:8:6:BP17008:6:BP17008:13:=LEFT(F214,3)8:3:#118:11:#11 PMR ASU8:11:#11 PMR ASU8:14:Piping package8:14:Piping package8:3:ASU8:3:ASU8:102:=IF(J214&lt;&gt;"",J214 - ('Shipping Program'!$D$9 + 'Shipping Program'!$F$9 + 'Shipping Program'!$H$9), "")5:5:465638:5:466105:5:466108:39:=IF(SUM(M214:N214)=0,"",SUM(M214:N214))8:0:8:0:0:0:8:0:0:0:8:0:0:0:8:49:=VLOOKUP(I214,'Shipping Program'!$A$32:$B$78,2)-15:2:168:5:=O2145:2:168:7:=R214-75:5:465458:155:=IFERROR(XLOOKUP(P214,'Shipping Program'!$B$32:$B$78,'Shipping Program'!$A$32:$A$78),IFERROR(INDEX(_V7Batches!$B:$B,MATCH(P214&amp;"",_V7Batches!$A:$A,0)),""))5:5:465528:155:=IFERROR(XLOOKUP(P214,'Shipping Program'!$B$32:$B$78,'Shipping Program'!$E$32:$E$78),IFERROR(INDEX(_V7Batches!$D:$D,MATCH(P214&amp;"",_V7Batches!$A:$A,0)),""))5:5:465828:29:=S214+'Shipping Program'!$H$95:5:465898:42:=IFERROR(IF(J214*T214&lt;&gt;0,J214-T214,""),"")5:2:218:66:=IF(U214&lt;&gt;"",IF(U214&gt;28,"Too early",IF(U214&lt;14,"Too late","")),"")8:0:8:0:0:0:8:46:=IF(OFFSET(X214,1,0)="",R214,OFFSET(X214,1,0))5:5:465528:70:=IF(OFFSET(Y214,1,0)="",X214+'Shipping Program'!$F$9,OFFSET(Y214,1,0))5:5:465828:70:=IF(OFFSET(Z214,1,0)="",Y214+'Shipping Program'!$H$9,OFFSET(Z214,1,0))5:5:465898:42:=IFERROR(IF(J214*Z214&lt;&gt;0,J214-Z214,""),"")5:2:218:69:=IF(AA214&lt;&gt;"",IF(AA214&gt;28,"Too early",IF(AA214&lt;14,"Too late","")),"")8:0:8:0:0:0:8:0:0:0:8:3:AES8:3:AES8:0:0:0:8:0:0:0:8:49:=IF(AI214="","",AI214*AJ214*AK214/1000/1000/1000)8:0:8:0:0:0:8:0:0:0:8:0:0:0:</t>
  </si>
  <si>
    <t>8:45:=COUNTIF(J$3:OFFSET(J215,-1,0),"Subtotal:")+15:2:168:45:=IF(OFFSET(B215,1,0)&lt;&gt;"",OFFSET(B215,1,0),"")8:0:8:0:0:0:8:6:BP13328:6:BP13328:13:=LEFT(F215,3)8:3:#198:30:#19 Supervisory Control System8:30:#19 Supervisory Control System8:29:Installation Server- Hardware8:29:Installation Server- Hardware8:0:0:0:8:102:=IF(J215&lt;&gt;"",J215 - ('Shipping Program'!$D$9 + 'Shipping Program'!$F$9 + 'Shipping Program'!$H$9), "")5:5:465618:5:466085:5:466088:39:=IF(SUM(M215:N215)=0,"",SUM(M215:N215))8:0:8:0:0:0:8:0:0:0:8:0:0:0:8:49:=VLOOKUP(I215,'Shipping Program'!$A$32:$B$78,2)-15:2:168:5:=O2155:2:168:7:=R215-75:5:465458:155:=IFERROR(XLOOKUP(P215,'Shipping Program'!$B$32:$B$78,'Shipping Program'!$A$32:$A$78),IFERROR(INDEX(_V7Batches!$B:$B,MATCH(P215&amp;"",_V7Batches!$A:$A,0)),""))5:5:465528:155:=IFERROR(XLOOKUP(P215,'Shipping Program'!$B$32:$B$78,'Shipping Program'!$E$32:$E$78),IFERROR(INDEX(_V7Batches!$D:$D,MATCH(P215&amp;"",_V7Batches!$A:$A,0)),""))5:5:465828:29:=S215+'Shipping Program'!$H$95:5:465898:42:=IFERROR(IF(J215*T215&lt;&gt;0,J215-T215,""),"")5:2:198:66:=IF(U215&lt;&gt;"",IF(U215&gt;28,"Too early",IF(U215&lt;14,"Too late","")),"")8:0:8:0:0:0:8:46:=IF(OFFSET(X215,1,0)="",R215,OFFSET(X215,1,0))5:5:465528:70:=IF(OFFSET(Y215,1,0)="",X215+'Shipping Program'!$F$9,OFFSET(Y215,1,0))5:5:465828:70:=IF(OFFSET(Z215,1,0)="",Y215+'Shipping Program'!$H$9,OFFSET(Z215,1,0))5:5:465898:42:=IFERROR(IF(J215*Z215&lt;&gt;0,J215-Z215,""),"")5:2:198:69:=IF(AA215&lt;&gt;"",IF(AA215&gt;28,"Too early",IF(AA215&lt;14,"Too late","")),"")8:0:8:0:0:0:8:0:0:0:8:4:Durr8:4:Durr8:3:CNF8:3:CNF8:2:NR8:2:NR8:49:=IF(AI215="","",AI215*AJ215*AK215/1000/1000/1000)8:0:8:0:0:0:8:0:0:0:8:0:0:0:</t>
  </si>
  <si>
    <t>8:45:=COUNTIF(J$3:OFFSET(J216,-1,0),"Subtotal:")+15:2:168:0:0:0:8:0:0:0:8:0:0:0:8:0:0:0:8:0:0:0:8:0:0:0:8:0:0:0:8:0:0:0:8:9:Subtotal:8:9:Subtotal:8:56:=SUMIF(A$3:OFFSET(A216,-1,0),A216,K$3:OFFSET(K216,-1,0))5:1:08:56:=SUMIF(A$3:OFFSET(A216,-1,0),A216,L$3:OFFSET(L216,-1,0))5:1:08:0:0:0:8:0:0:0:8:0:0:0:8:0:0:0:8:7:=R216-75:5:465458:42:=IF(J216="Subtotal:",OFFSET(R216,-1,0),"")5:5:465528:42:=IF(J216="Subtotal:",OFFSET(S216,-1,0),"")5:5:465828:42:=IF(J216="Subtotal:",OFFSET(T216,-1,0),"")5:5:465898:42:=IFERROR(IF(J216*T216&lt;&gt;0,J216-T216,""),"")8:0:8:66:=IF(U216&lt;&gt;"",IF(U216&gt;28,"Too early",IF(U216&lt;14,"Too late","")),"")8:0:8:147:=(SUMIFS($K:$K,$J:$J,"&lt;&gt;Subtotal:",$J:$J,"&gt;"&amp;S216,$S:$S,"&lt;="&amp;S216))*24*1.3+(SUMIFS($L:$L,$J:$J,"&lt;&gt;Subtotal:",$J:$J,"&gt;"&amp;S216,$S:$S,"&lt;="&amp;S216))/3*1.35:1:08:0:0:0:8:0:0:0:8:0:0:0:8:42:=IFERROR(IF(J216*Z216&lt;&gt;0,J216-Z216,""),"")8:0:8:69:=IF(AA216&lt;&gt;"",IF(AA216&gt;28,"Too early",IF(AA216&lt;14,"Too late","")),"")8:0:8:147:=(SUMIFS($K:$K,$J:$J,"&lt;&gt;Subtotal:",$J:$J,"&gt;"&amp;Y216,$Y:$Y,"&lt;="&amp;Y216))*24*1.3+(SUMIFS($L:$L,$J:$J,"&lt;&gt;Subtotal:",$J:$J,"&gt;"&amp;Y216,$Y:$Y,"&lt;="&amp;Y216))/3*1.35:1:08:0:0:0:8:0:0:0:8:0:0:0:8:0:0:0:8:0:0:0:8:0:0:0:8:0:0:0:8:0:0:0:</t>
  </si>
  <si>
    <t>8:45:=COUNTIF(J$3:OFFSET(J217,-1,0),"Subtotal:")+15:2:178:45:=IF(OFFSET(B217,1,0)&lt;&gt;"",OFFSET(B217,1,0),"")8:0:8:0:0:0:8:6:BP17008:6:BP17008:13:=LEFT(F217,3)8:3:#118:11:#11 PMR ASU8:11:#11 PMR ASU8:18:Insulation package8:18:Insulation package8:3:ASU8:3:ASU8:102:=IF(J217&lt;&gt;"",J217 - ('Shipping Program'!$D$9 + 'Shipping Program'!$F$9 + 'Shipping Program'!$H$9), "")5:5:465708:5:466175:5:466178:39:=IF(SUM(M217:N217)=0,"",SUM(M217:N217))8:0:8:0:0:0:8:0:0:0:8:0:0:0:8:49:=VLOOKUP(I217,'Shipping Program'!$A$32:$B$78,2)-15:2:178:5:=O2175:2:178:7:=R217-75:5:465528:155:=IFERROR(XLOOKUP(P217,'Shipping Program'!$B$32:$B$78,'Shipping Program'!$A$32:$A$78),IFERROR(INDEX(_V7Batches!$B:$B,MATCH(P217&amp;"",_V7Batches!$A:$A,0)),""))5:5:465598:155:=IFERROR(XLOOKUP(P217,'Shipping Program'!$B$32:$B$78,'Shipping Program'!$E$32:$E$78),IFERROR(INDEX(_V7Batches!$D:$D,MATCH(P217&amp;"",_V7Batches!$A:$A,0)),""))5:5:465898:29:=S217+'Shipping Program'!$H$95:5:465968:42:=IFERROR(IF(J217*T217&lt;&gt;0,J217-T217,""),"")5:2:218:66:=IF(U217&lt;&gt;"",IF(U217&gt;28,"Too early",IF(U217&lt;14,"Too late","")),"")8:0:8:0:0:0:8:46:=IF(OFFSET(X217,1,0)="",R217,OFFSET(X217,1,0))5:5:465598:70:=IF(OFFSET(Y217,1,0)="",X217+'Shipping Program'!$F$9,OFFSET(Y217,1,0))5:5:465898:70:=IF(OFFSET(Z217,1,0)="",Y217+'Shipping Program'!$H$9,OFFSET(Z217,1,0))5:5:465968:42:=IFERROR(IF(J217*Z217&lt;&gt;0,J217-Z217,""),"")5:2:218:69:=IF(AA217&lt;&gt;"",IF(AA217&gt;28,"Too early",IF(AA217&lt;14,"Too late","")),"")8:0:8:0:0:0:8:0:0:0:8:3:AES8:3:AES8:0:0:0:8:0:0:0:8:49:=IF(AI217="","",AI217*AJ217*AK217/1000/1000/1000)8:0:8:0:0:0:8:0:0:0:8:0:0:0:</t>
  </si>
  <si>
    <t>8:45:=COUNTIF(J$3:OFFSET(J218,-1,0),"Subtotal:")+15:2:178:45:=IF(OFFSET(B218,1,0)&lt;&gt;"",OFFSET(B218,1,0),"")8:0:8:0:0:0:8:6:BP17008:6:BP17008:13:=LEFT(F218,3)8:3:#118:12:#11 Shop ASU8:12:#11 Shop ASU8:18:Insulation package8:18:Insulation package8:3:ASU8:3:ASU8:102:=IF(J218&lt;&gt;"",J218 - ('Shipping Program'!$D$9 + 'Shipping Program'!$F$9 + 'Shipping Program'!$H$9), "")5:5:465698:5:466165:5:466168:39:=IF(SUM(M218:N218)=0,"",SUM(M218:N218))8:0:8:0:0:0:8:0:0:0:8:0:0:0:8:49:=VLOOKUP(I218,'Shipping Program'!$A$32:$B$78,2)-15:2:178:5:=O2185:2:178:7:=R218-75:5:465528:155:=IFERROR(XLOOKUP(P218,'Shipping Program'!$B$32:$B$78,'Shipping Program'!$A$32:$A$78),IFERROR(INDEX(_V7Batches!$B:$B,MATCH(P218&amp;"",_V7Batches!$A:$A,0)),""))5:5:465598:155:=IFERROR(XLOOKUP(P218,'Shipping Program'!$B$32:$B$78,'Shipping Program'!$E$32:$E$78),IFERROR(INDEX(_V7Batches!$D:$D,MATCH(P218&amp;"",_V7Batches!$A:$A,0)),""))5:5:465898:29:=S218+'Shipping Program'!$H$95:5:465968:42:=IFERROR(IF(J218*T218&lt;&gt;0,J218-T218,""),"")5:2:208:66:=IF(U218&lt;&gt;"",IF(U218&gt;28,"Too early",IF(U218&lt;14,"Too late","")),"")8:0:8:0:0:0:8:46:=IF(OFFSET(X218,1,0)="",R218,OFFSET(X218,1,0))5:5:465598:70:=IF(OFFSET(Y218,1,0)="",X218+'Shipping Program'!$F$9,OFFSET(Y218,1,0))5:5:465898:70:=IF(OFFSET(Z218,1,0)="",Y218+'Shipping Program'!$H$9,OFFSET(Z218,1,0))5:5:465968:42:=IFERROR(IF(J218*Z218&lt;&gt;0,J218-Z218,""),"")5:2:208:69:=IF(AA218&lt;&gt;"",IF(AA218&gt;28,"Too early",IF(AA218&lt;14,"Too late","")),"")8:0:8:0:0:0:8:0:0:0:8:3:AES8:3:AES8:0:0:0:8:0:0:0:8:49:=IF(AI218="","",AI218*AJ218*AK218/1000/1000/1000)8:0:8:0:0:0:8:0:0:0:8:0:0:0:</t>
  </si>
  <si>
    <t>8:45:=COUNTIF(J$3:OFFSET(J219,-1,0),"Subtotal:")+15:2:178:45:=IF(OFFSET(B219,1,0)&lt;&gt;"",OFFSET(B219,1,0),"")8:0:8:0:0:0:8:6:BP79308:6:BP79308:13:=LEFT(F219,3)8:3:#108:11:#10 RoDip E8:11:#10 RoDip E8:13:RoDip carrier8:13:RoDip carrier8:0:0:0:8:102:=IF(J219&lt;&gt;"",J219 - ('Shipping Program'!$D$9 + 'Shipping Program'!$F$9 + 'Shipping Program'!$H$9), "")5:5:465698:5:466165:5:466168:39:=IF(SUM(M219:N219)=0,"",SUM(M219:N219))8:0:8:0:0:0:8:0:0:0:8:0:0:0:8:49:=VLOOKUP(I219,'Shipping Program'!$A$32:$B$78,2)-15:2:178:5:=O2195:2:178:7:=R219-75:5:465528:155:=IFERROR(XLOOKUP(P219,'Shipping Program'!$B$32:$B$78,'Shipping Program'!$A$32:$A$78),IFERROR(INDEX(_V7Batches!$B:$B,MATCH(P219&amp;"",_V7Batches!$A:$A,0)),""))5:5:465598:155:=IFERROR(XLOOKUP(P219,'Shipping Program'!$B$32:$B$78,'Shipping Program'!$E$32:$E$78),IFERROR(INDEX(_V7Batches!$D:$D,MATCH(P219&amp;"",_V7Batches!$A:$A,0)),""))5:5:465898:29:=S219+'Shipping Program'!$H$95:5:465968:42:=IFERROR(IF(J219*T219&lt;&gt;0,J219-T219,""),"")5:2:208:66:=IF(U219&lt;&gt;"",IF(U219&gt;28,"Too early",IF(U219&lt;14,"Too late","")),"")8:0:8:0:0:0:8:46:=IF(OFFSET(X219,1,0)="",R219,OFFSET(X219,1,0))5:5:465598:70:=IF(OFFSET(Y219,1,0)="",X219+'Shipping Program'!$F$9,OFFSET(Y219,1,0))5:5:465898:70:=IF(OFFSET(Z219,1,0)="",Y219+'Shipping Program'!$H$9,OFFSET(Z219,1,0))5:5:465968:42:=IFERROR(IF(J219*Z219&lt;&gt;0,J219-Z219,""),"")5:2:208:69:=IF(AA219&lt;&gt;"",IF(AA219&gt;28,"Too early",IF(AA219&lt;14,"Too late","")),"")8:0:8:0:0:0:8:0:0:0:8:4:Durr8:4:Durr8:3:FOB8:3:FOB8:2:NR8:2:NR8:49:=IF(AI219="","",AI219*AJ219*AK219/1000/1000/1000)8:0:8:0:0:0:8:0:0:0:8:0:0:0:</t>
  </si>
  <si>
    <t>8:45:=COUNTIF(J$3:OFFSET(J220,-1,0),"Subtotal:")+15:2:178:45:=IF(OFFSET(B220,1,0)&lt;&gt;"",OFFSET(B220,1,0),"")8:0:8:0:0:0:8:6:BP79308:6:BP79308:13:=LEFT(F220,3)8:3:#108:11:#10 RoDip E8:11:#10 RoDip E8:13:RoDip trolley8:13:RoDip trolley8:0:0:0:8:102:=IF(J220&lt;&gt;"",J220 - ('Shipping Program'!$D$9 + 'Shipping Program'!$F$9 + 'Shipping Program'!$H$9), "")5:5:465698:5:466165:5:466168:39:=IF(SUM(M220:N220)=0,"",SUM(M220:N220))8:0:8:0:0:0:8:0:0:0:8:0:0:0:8:49:=VLOOKUP(I220,'Shipping Program'!$A$32:$B$78,2)-15:2:178:5:=O2205:2:178:7:=R220-75:5:465528:155:=IFERROR(XLOOKUP(P220,'Shipping Program'!$B$32:$B$78,'Shipping Program'!$A$32:$A$78),IFERROR(INDEX(_V7Batches!$B:$B,MATCH(P220&amp;"",_V7Batches!$A:$A,0)),""))5:5:465598:155:=IFERROR(XLOOKUP(P220,'Shipping Program'!$B$32:$B$78,'Shipping Program'!$E$32:$E$78),IFERROR(INDEX(_V7Batches!$D:$D,MATCH(P220&amp;"",_V7Batches!$A:$A,0)),""))5:5:465898:29:=S220+'Shipping Program'!$H$95:5:465968:42:=IFERROR(IF(J220*T220&lt;&gt;0,J220-T220,""),"")5:2:208:66:=IF(U220&lt;&gt;"",IF(U220&gt;28,"Too early",IF(U220&lt;14,"Too late","")),"")8:0:8:0:0:0:8:46:=IF(OFFSET(X220,1,0)="",R220,OFFSET(X220,1,0))5:5:465598:70:=IF(OFFSET(Y220,1,0)="",X220+'Shipping Program'!$F$9,OFFSET(Y220,1,0))5:5:465898:70:=IF(OFFSET(Z220,1,0)="",Y220+'Shipping Program'!$H$9,OFFSET(Z220,1,0))5:5:465968:42:=IFERROR(IF(J220*Z220&lt;&gt;0,J220-Z220,""),"")5:2:208:69:=IF(AA220&lt;&gt;"",IF(AA220&gt;28,"Too early",IF(AA220&lt;14,"Too late","")),"")8:0:8:0:0:0:8:0:0:0:8:4:Durr8:4:Durr8:3:FOB8:3:FOB8:2:NR8:2:NR8:49:=IF(AI220="","",AI220*AJ220*AK220/1000/1000/1000)8:0:8:0:0:0:8:0:0:0:8:0:0:0:</t>
  </si>
  <si>
    <t>8:45:=COUNTIF(J$3:OFFSET(J221,-1,0),"Subtotal:")+15:2:178:0:0:0:8:0:0:0:8:0:0:0:8:0:0:0:8:0:0:0:8:0:0:0:8:0:0:0:8:0:0:0:8:9:Subtotal:8:9:Subtotal:8:56:=SUMIF(A$3:OFFSET(A221,-1,0),A221,K$3:OFFSET(K221,-1,0))5:1:08:56:=SUMIF(A$3:OFFSET(A221,-1,0),A221,L$3:OFFSET(L221,-1,0))5:1:08:0:0:0:8:0:0:0:8:0:0:0:8:0:0:0:8:7:=R221-75:5:465528:42:=IF(J221="Subtotal:",OFFSET(R221,-1,0),"")5:5:465598:42:=IF(J221="Subtotal:",OFFSET(S221,-1,0),"")5:5:465898:42:=IF(J221="Subtotal:",OFFSET(T221,-1,0),"")5:5:465968:42:=IFERROR(IF(J221*T221&lt;&gt;0,J221-T221,""),"")8:0:8:66:=IF(U221&lt;&gt;"",IF(U221&gt;28,"Too early",IF(U221&lt;14,"Too late","")),"")8:0:8:147:=(SUMIFS($K:$K,$J:$J,"&lt;&gt;Subtotal:",$J:$J,"&gt;"&amp;S221,$S:$S,"&lt;="&amp;S221))*24*1.3+(SUMIFS($L:$L,$J:$J,"&lt;&gt;Subtotal:",$J:$J,"&gt;"&amp;S221,$S:$S,"&lt;="&amp;S221))/3*1.35:1:08:0:0:0:8:0:0:0:8:0:0:0:8:42:=IFERROR(IF(J221*Z221&lt;&gt;0,J221-Z221,""),"")8:0:8:69:=IF(AA221&lt;&gt;"",IF(AA221&gt;28,"Too early",IF(AA221&lt;14,"Too late","")),"")8:0:8:147:=(SUMIFS($K:$K,$J:$J,"&lt;&gt;Subtotal:",$J:$J,"&gt;"&amp;Y221,$Y:$Y,"&lt;="&amp;Y221))*24*1.3+(SUMIFS($L:$L,$J:$J,"&lt;&gt;Subtotal:",$J:$J,"&gt;"&amp;Y221,$Y:$Y,"&lt;="&amp;Y221))/3*1.35:1:08:0:0:0:8:0:0:0:8:0:0:0:8:0:0:0:8:0:0:0:8:0:0:0:8:0:0:0:8:0:0:0:</t>
  </si>
  <si>
    <t>8:0:0:0:8:0:0:0:8:0:0:0:8:0:0:0:8:0:0:0:8:0:0:0:8:0:0:0:8:0:0:0:8:0:0:0:8:0:0:0:8:39:=IF(SUM(M310:N310)=0,"",SUM(M310:N310))8:0:8:0:0:0:8:0:0:0:8:0:0:0:8:0:0:0:8:0:0:0:8:0:0:0:8:0:0:0:8:0:0:0:8:0:0:0:8:0:0:0:8:0:0:0:8:0:0:0:8:0:0:0:8:0:0:0:8:0:0:0:8:0:0:0:8:0:0:0:8:0:0:0:8:0:0:0:8:0:0:0:8:0:0:0:8:0:0:0:8:49:=IF(AI310="","",AI310*AJ310*AK310/1000/1000/1000)8:0:8:0:0:0:8:0:0:0:8:0:0:0:</t>
  </si>
  <si>
    <t>8:0:0:0:8:0:0:0:8:0:0:0:8:0:0:0:8:0:0:0:8:0:0:0:8:0:0:0:8:0:0:0:8:0:0:0:8:0:0:0:8:39:=IF(SUM(M311:N311)=0,"",SUM(M311:N311))8:0:8:0:0:0:8:0:0:0:8:0:0:0:8:0:0:0:8:0:0:0:8:0:0:0:8:0:0:0:8:0:0:0:8:0:0:0:8:0:0:0:8:0:0:0:8:0:0:0:8:0:0:0:8:0:0:0:8:0:0:0:8:0:0:0:8:0:0:0:8:0:0:0:8:0:0:0:8:0:0:0:8:0:0:0:8:0:0:0:8:49:=IF(AI311="","",AI311*AJ311*AK311/1000/1000/1000)8:0:8:0:0:0:8:0:0:0:8:0:0:0:</t>
  </si>
  <si>
    <t>8:0:0:0:8:0:0:0:8:0:0:0:8:0:0:0:8:0:0:0:8:0:0:0:8:0:0:0:8:0:0:0:8:0:0:0:8:0:0:0:8:39:=IF(SUM(M312:N312)=0,"",SUM(M312:N312))8:0:8:0:0:0:8:0:0:0:8:0:0:0:8:0:0:0:8:0:0:0:8:0:0:0:8:0:0:0:8:0:0:0:8:0:0:0:8:0:0:0:8:0:0:0:8:0:0:0:8:0:0:0:8:0:0:0:8:0:0:0:8:0:0:0:8:0:0:0:8:0:0:0:8:0:0:0:8:0:0:0:8:0:0:0:8:0:0:0:8:49:=IF(AI312="","",AI312*AJ312*AK312/1000/1000/1000)8:0:8:0:0:0:8:0:0:0:8:0:0:0:</t>
  </si>
  <si>
    <t>8:0:0:0:8:0:0:0:8:0:0:0:8:0:0:0:8:0:0:0:8:0:0:0:8:0:0:0:8:0:0:0:8:0:0:0:8:0:0:0:8:39:=IF(SUM(M313:N313)=0,"",SUM(M313:N313))8:0:8:0:0:0:8:0:0:0:8:0:0:0:8:0:0:0:8:0:0:0:8:0:0:0:8:0:0:0:8:0:0:0:8:0:0:0:8:0:0:0:8:0:0:0:8:0:0:0:8:0:0:0:8:0:0:0:8:0:0:0:8:0:0:0:8:0:0:0:8:0:0:0:8:0:0:0:8:0:0:0:8:0:0:0:8:0:0:0:8:49:=IF(AI313="","",AI313*AJ313*AK313/1000/1000/1000)8:0:8:0:0:0:8:0:0:0:8:0:0:0:</t>
  </si>
  <si>
    <t>8:0:0:0:8:0:0:0:8:0:0:0:8:0:0:0:8:0:0:0:8:0:0:0:8:0:0:0:8:0:0:0:8:0:0:0:8:0:0:0:8:39:=IF(SUM(M315:N315)=0,"",SUM(M315:N315))8:0:8:0:0:0:8:0:0:0:8:0:0:0:8:0:0:0:8:0:0:0:8:0:0:0:8:0:0:0:8:0:0:0:8:0:0:0:8:0:0:0:8:0:0:0:8:0:0:0:8:0:0:0:8:0:0:0:8:0:0:0:8:0:0:0:8:0:0:0:8:0:0:0:8:0:0:0:8:0:0:0:8:0:0:0:8:0:0:0:8:49:=IF(AI315="","",AI315*AJ315*AK315/1000/1000/1000)8:0:8:0:0:0:8:0:0:0:8:0:0:0:</t>
  </si>
  <si>
    <t>8:0:0:0:8:0:0:0:8:0:0:0:8:0:0:0:8:0:0:0:8:0:0:0:8:0:0:0:8:0:0:0:8:0:0:0:8:0:0:0:8:39:=IF(SUM(M316:N316)=0,"",SUM(M316:N316))8:0:8:0:0:0:8:0:0:0:8:0:0:0:8:0:0:0:8:0:0:0:8:0:0:0:8:0:0:0:8:0:0:0:8:0:0:0:8:0:0:0:8:0:0:0:8:0:0:0:8:0:0:0:8:0:0:0:8:0:0:0:8:0:0:0:8:0:0:0:8:0:0:0:8:0:0:0:8:0:0:0:8:0:0:0:8:0:0:0:8:49:=IF(AI316="","",AI316*AJ316*AK316/1000/1000/1000)8:0:8:0:0:0:8:0:0:0:8:0:0:0:</t>
  </si>
  <si>
    <t>8:0:0:0:8:0:0:0:8:0:0:0:8:0:0:0:8:0:0:0:8:0:0:0:8:0:0:0:8:0:0:0:8:0:0:0:8:0:0:0:8:39:=IF(SUM(M317:N317)=0,"",SUM(M317:N317))8:0:8:0:0:0:8:0:0:0:8:0:0:0:8:0:0:0:8:0:0:0:8:0:0:0:8:0:0:0:8:0:0:0:8:0:0:0:8:0:0:0:8:0:0:0:8:0:0:0:8:0:0:0:8:0:0:0:8:0:0:0:8:0:0:0:8:0:0:0:8:0:0:0:8:0:0:0:8:0:0:0:8:0:0:0:8:0:0:0:8:49:=IF(AI317="","",AI317*AJ317*AK317/1000/1000/1000)8:0:8:0:0:0:8:0:0:0:8:0:0:0:</t>
  </si>
  <si>
    <t>8:0:0:0:8:0:0:0:8:0:0:0:8:0:0:0:8:0:0:0:8:0:0:0:8:0:0:0:8:0:0:0:8:0:0:0:8:0:0:0:8:39:=IF(SUM(M318:N318)=0,"",SUM(M318:N318))8:0:8:0:0:0:8:0:0:0:8:0:0:0:8:0:0:0:8:0:0:0:8:0:0:0:8:0:0:0:8:0:0:0:8:0:0:0:8:0:0:0:8:0:0:0:8:0:0:0:8:0:0:0:8:0:0:0:8:0:0:0:8:0:0:0:8:0:0:0:8:0:0:0:8:0:0:0:8:0:0:0:8:0:0:0:8:0:0:0:8:49:=IF(AI318="","",AI318*AJ318*AK318/1000/1000/1000)8:0:8:0:0:0:8:0:0:0:8:0:0:0:</t>
  </si>
  <si>
    <t>8:0:0:0:8:0:0:0:8:0:0:0:8:0:0:0:8:0:0:0:8:0:0:0:8:0:0:0:8:0:0:0:8:0:0:0:8:0:0:0:8:39:=IF(SUM(M319:N319)=0,"",SUM(M319:N319))8:0:8:0:0:0:8:0:0:0:8:0:0:0:8:0:0:0:8:0:0:0:8:0:0:0:8:0:0:0:8:0:0:0:8:0:0:0:8:0:0:0:8:0:0:0:8:0:0:0:8:0:0:0:8:0:0:0:8:0:0:0:8:0:0:0:8:0:0:0:8:0:0:0:8:0:0:0:8:0:0:0:8:0:0:0:8:0:0:0:8:49:=IF(AI319="","",AI319*AJ319*AK319/1000/1000/1000)8:0:8:0:0:0:8:0:0:0:8:0:0:0:</t>
  </si>
  <si>
    <t>8:0:0:0:8:0:0:0:8:0:0:0:8:0:0:0:8:0:0:0:8:0:0:0:8:0:0:0:8:0:0:0:8:0:0:0:8:0:0:0:8:39:=IF(SUM(M320:N320)=0,"",SUM(M320:N320))8:0:8:0:0:0:8:0:0:0:8:0:0:0:8:0:0:0:8:0:0:0:8:0:0:0:8:0:0:0:8:0:0:0:8:0:0:0:8:0:0:0:8:0:0:0:8:0:0:0:8:0:0:0:8:0:0:0:8:0:0:0:8:0:0:0:8:0:0:0:8:0:0:0:8:0:0:0:8:0:0:0:8:0:0:0:8:0:0:0:8:49:=IF(AI320="","",AI320*AJ320*AK320/1000/1000/1000)8:0:8:0:0:0:8:0:0:0:8:0:0:0:</t>
  </si>
  <si>
    <t>8:0:0:0:8:0:0:0:8:0:0:0:8:0:0:0:8:0:0:0:8:0:0:0:8:0:0:0:8:0:0:0:8:0:0:0:8:0:0:0:8:39:=IF(SUM(M321:N321)=0,"",SUM(M321:N321))8:0:8:0:0:0:8:0:0:0:8:0:0:0:8:0:0:0:8:0:0:0:8:0:0:0:8:0:0:0:8:0:0:0:8:0:0:0:8:0:0:0:8:0:0:0:8:0:0:0:8:0:0:0:8:0:0:0:8:0:0:0:8:0:0:0:8:0:0:0:8:0:0:0:8:0:0:0:8:0:0:0:8:0:0:0:8:0:0:0:8:49:=IF(AI321="","",AI321*AJ321*AK321/1000/1000/1000)8:0:8:0:0:0:8:0:0:0:8:0:0:0:</t>
  </si>
  <si>
    <t>8:0:0:0:8:0:0:0:8:0:0:0:8:0:0:0:8:0:0:0:8:0:0:0:8:0:0:0:8:0:0:0:8:0:0:0:8:0:0:0:8:39:=IF(SUM(M322:N322)=0,"",SUM(M322:N322))8:0:8:0:0:0:8:0:0:0:8:0:0:0:8:0:0:0:8:0:0:0:8:0:0:0:8:0:0:0:8:0:0:0:8:0:0:0:8:0:0:0:8:0:0:0:8:0:0:0:8:0:0:0:8:0:0:0:8:0:0:0:8:0:0:0:8:0:0:0:8:0:0:0:8:0:0:0:8:0:0:0:8:0:0:0:8:0:0:0:8:49:=IF(AI322="","",AI322*AJ322*AK322/1000/1000/1000)8:0:8:0:0:0:8:0:0:0:8:0:0:0:</t>
  </si>
  <si>
    <t>8:0:0:0:8:0:0:0:8:0:0:0:8:0:0:0:8:0:0:0:8:0:0:0:8:0:0:0:8:0:0:0:8:0:0:0:8:0:0:0:8:39:=IF(SUM(M324:N324)=0,"",SUM(M324:N324))8:0:8:0:0:0:8:0:0:0:8:0:0:0:8:0:0:0:8:0:0:0:8:0:0:0:8:0:0:0:8:0:0:0:8:0:0:0:8:0:0:0:8:0:0:0:8:0:0:0:8:0:0:0:8:0:0:0:8:0:0:0:8:0:0:0:8:0:0:0:8:0:0:0:8:0:0:0:8:0:0:0:8:0:0:0:8:0:0:0:8:49:=IF(AI324="","",AI324*AJ324*AK324/1000/1000/1000)8:0:8:0:0:0:8:0:0:0:8:0:0:0:</t>
  </si>
  <si>
    <t>8:0:0:0:8:0:0:0:8:0:0:0:8:0:0:0:8:0:0:0:8:0:0:0:8:0:0:0:8:0:0:0:8:0:0:0:8:0:0:0:8:39:=IF(SUM(M334:N334)=0,"",SUM(M334:N334))8:0:8:0:0:0:8:0:0:0:8:0:0:0:8:0:0:0:8:0:0:0:8:0:0:0:8:0:0:0:8:0:0:0:8:0:0:0:8:0:0:0:8:0:0:0:8:0:0:0:8:0:0:0:8:0:0:0:8:0:0:0:8:0:0:0:8:0:0:0:8:0:0:0:8:0:0:0:8:0:0:0:8:0:0:0:8:0:0:0:8:49:=IF(AI334="","",AI334*AJ334*AK334/1000/1000/1000)8:0:8:0:0:0:8:0:0:0:8:0:0:0:</t>
  </si>
  <si>
    <t>8:0:0:0:8:0:0:0:8:0:0:0:8:0:0:0:8:0:0:0:8:0:0:0:8:0:0:0:8:0:0:0:8:0:0:0:8:0:0:0:8:39:=IF(SUM(M340:N340)=0,"",SUM(M340:N340))8:0:8:0:0:0:8:0:0:0:8:0:0:0:8:0:0:0:8:0:0:0:8:0:0:0:8:0:0:0:8:0:0:0:8:0:0:0:8:0:0:0:8:0:0:0:8:0:0:0:8:0:0:0:8:0:0:0:8:0:0:0:8:0:0:0:8:0:0:0:8:0:0:0:8:0:0:0:8:0:0:0:8:0:0:0:8:0:0:0:8:49:=IF(AI340="","",AI340*AJ340*AK340/1000/1000/1000)8:0:8:0:0:0:8:0:0:0:8:0:0:0:</t>
  </si>
  <si>
    <t>8:0:0:0:8:0:0:0:8:0:0:0:8:0:0:0:8:0:0:0:8:0:0:0:8:0:0:0:8:0:0:0:8:0:0:0:8:0:0:0:8:39:=IF(SUM(M341:N341)=0,"",SUM(M341:N341))8:0:8:0:0:0:8:0:0:0:8:0:0:0:8:0:0:0:8:0:0:0:8:0:0:0:8:0:0:0:8:0:0:0:8:0:0:0:8:0:0:0:8:0:0:0:8:0:0:0:8:0:0:0:8:0:0:0:8:0:0:0:8:0:0:0:8:0:0:0:8:0:0:0:8:0:0:0:8:0:0:0:8:0:0:0:8:0:0:0:8:49:=IF(AI341="","",AI341*AJ341*AK341/1000/1000/1000)8:0:8:0:0:0:8:0:0:0:8:0:0:0:</t>
  </si>
  <si>
    <t>8:0:0:0:8:0:0:0:8:0:0:0:8:0:0:0:8:0:0:0:8:0:0:0:8:0:0:0:8:0:0:0:8:0:0:0:8:0:0:0:8:39:=IF(SUM(M343:N343)=0,"",SUM(M343:N343))8:0:8:0:0:0:8:0:0:0:8:0:0:0:8:0:0:0:8:0:0:0:8:0:0:0:8:0:0:0:8:0:0:0:8:0:0:0:8:0:0:0:8:0:0:0:8:0:0:0:8:0:0:0:8:0:0:0:8:0:0:0:8:0:0:0:8:0:0:0:8:0:0:0:8:0:0:0:8:0:0:0:8:0:0:0:8:0:0:0:8:49:=IF(AI343="","",AI343*AJ343*AK343/1000/1000/1000)8:0:8:0:0:0:8:0:0:0:8:0:0:0:</t>
  </si>
  <si>
    <t>8:0:0:0:8:0:0:0:8:0:0:0:8:0:0:0:8:0:0:0:8:0:0:0:8:0:0:0:8:0:0:0:8:0:0:0:8:12:All in Total8:12:All in Total8:35:=SUMIF(J3:J343,"Subtotal:",K3:K343)5:1:08:35:=SUMIF(J3:J343,"Subtotal:",L3:L343)5:1:08:0:0:0:8:0:0:0:8:0:0:0:8:0:0:0:8:0:0:0:8:0:0:0:8:0:0:0:8:46:=IF(K344="Subtotal:",INDIRECT("P"&amp;ROW()-1),"")8:0:8:0:0:0:8:9:Max Area:8:9:Max Area:8:13:=MAX(W4:W343)5:1:08:0:0:0:8:0:0:0:8:0:0:0:8:0:0:0:8:0:0:0:8:0:0:0:8:0:0:0:8:0:0:0:8:0:0:0:8:0:0:0:8:0:0:0:8:0:0:0:8:0:0:0:8:0:0:0:</t>
  </si>
  <si>
    <t>8:5:Plant8:5:Plant8:9:Task_Name8:9:Task_Name8:10:Start_Date8:10:Start_Date8:18:Project_Step_Phase8:18:Project_Step_Phase</t>
  </si>
  <si>
    <t>8:15:#20 CS Conveyor8:15:#20 CS Conveyor8:16:5 - Installation8:16:5 - Installation8:5:465805:5:465808:16:5 - Installation8:16:5 - Installation</t>
  </si>
  <si>
    <t>8:15:#20 CS Conveyor8:15:#20 CS Conveyor8:23:Control cabinets set up8:23:Control cabinets set up8:5:465805:5:465808:16:5 - Installation8:16:5 - Installation</t>
  </si>
  <si>
    <t>8:15:#20 CS Conveyor8:15:#20 CS Conveyor8:21:Installation of Panel8:21:Installation of Panel8:5:465825:5:465828:16:5 - Installation8:16:5 - Installation</t>
  </si>
  <si>
    <t>8:15:#20 CS Conveyor8:15:#20 CS Conveyor8:11:Cable Trays8:11:Cable Trays8:5:465845:5:465848:16:5 - Installation8:16:5 - Installation</t>
  </si>
  <si>
    <t>8:15:#20 CS Conveyor8:15:#20 CS Conveyor8:13:Cable Pulling8:13:Cable Pulling8:5:466165:5:466168:16:5 - Installation8:16:5 - Installation</t>
  </si>
  <si>
    <t>8:15:#20 CS Conveyor8:15:#20 CS Conveyor8:17:Cable Connections8:17:Cable Connections8:5:466235:5:466238:16:5 - Installation8:16:5 - Installation</t>
  </si>
  <si>
    <t>8:15:#20 CS Conveyor8:15:#20 CS Conveyor8:20:Profinet measurement8:20:Profinet measurement8:5:466375:5:466378:16:5 - Installation8:16:5 - Installation</t>
  </si>
  <si>
    <t>8:15:#20 CS Conveyor8:15:#20 CS Conveyor8:22:Potential equalization8:22:Potential equalization8:5:466375:5:466378:16:5 - Installation8:16:5 - Installation</t>
  </si>
  <si>
    <t>8:15:#20 CS Conveyor8:15:#20 CS Conveyor8:25:Cable labeling+Tray cover8:25:Cable labeling+Tray cover8:5:466455:5:466458:16:5 - Installation8:16:5 - Installation</t>
  </si>
  <si>
    <t>8:15:#20 CS Conveyor8:15:#20 CS Conveyor8:33:Power supply for control cabinets8:33:Power supply for control cabinets8:5:466235:5:466238:16:5 - Installation8:16:5 - Installation</t>
  </si>
  <si>
    <t>8:15:#20 CS Conveyor8:15:#20 CS Conveyor8:22:Feed in control panels8:22:Feed in control panels8:5:466445:5:466448:16:5 - Installation8:16:5 - Installation</t>
  </si>
  <si>
    <t>8:32:#06 AP001,004 PreClean,ECSandOff8:32:#06 AP001,004 PreClean,ECSandOff8:16:5 - Installation8:16:5 - Installation8:5:465355:5:465358:16:5 - Installation8:16:5 - Installation</t>
  </si>
  <si>
    <t>8:32:#06 AP001,004 PreClean,ECSandOff8:32:#06 AP001,004 PreClean,ECSandOff8:9:Axis line8:9:Axis line8:5:465355:5:465358:16:5 - Installation8:16:5 - Installation</t>
  </si>
  <si>
    <t>8:32:#06 AP001,004 PreClean,ECSandOff8:32:#06 AP001,004 PreClean,ECSandOff8:12:Floor module8:12:Floor module8:5:465385:5:465388:16:5 - Installation8:16:5 - Installation</t>
  </si>
  <si>
    <t>8:32:#06 AP001,004 PreClean,ECSandOff8:32:#06 AP001,004 PreClean,ECSandOff8:4:Fans8:4:Fans8:5:465505:5:465508:16:5 - Installation8:16:5 - Installation</t>
  </si>
  <si>
    <t>8:32:#06 AP001,004 PreClean,ECSandOff8:32:#06 AP001,004 PreClean,ECSandOff8:13:Portal system8:13:Portal system8:5:465445:5:465448:16:5 - Installation8:16:5 - Installation</t>
  </si>
  <si>
    <t>8:32:#06 AP001,004 PreClean,ECSandOff8:32:#06 AP001,004 PreClean,ECSandOff8:11:Floor cover8:11:Floor cover8:5:465475:5:465478:16:5 - Installation8:16:5 - Installation</t>
  </si>
  <si>
    <t>8:32:#06 AP001,004 PreClean,ECSandOff8:32:#06 AP001,004 PreClean,ECSandOff8:8:Lighting8:8:Lighting8:5:465585:5:465588:16:5 - Installation8:16:5 - Installation</t>
  </si>
  <si>
    <t>8:32:#06 AP001,004 PreClean,ECSandOff8:32:#06 AP001,004 PreClean,ECSandOff8:10:Floor pans8:10:Floor pans8:5:465415:5:465418:16:5 - Installation8:16:5 - Installation</t>
  </si>
  <si>
    <t>8:32:#06 AP001,004 PreClean,ECSandOff8:32:#06 AP001,004 PreClean,ECSandOff8:13:Booth housing8:13:Booth housing8:5:465445:5:465448:16:5 - Installation8:16:5 - Installation</t>
  </si>
  <si>
    <t>8:32:#06 AP001,004 PreClean,ECSandOff8:32:#06 AP001,004 PreClean,ECSandOff8:18:Equipment workdeck8:18:Equipment workdeck8:5:465555:5:465558:16:5 - Installation8:16:5 - Installation</t>
  </si>
  <si>
    <t>8:32:#06 AP001,004 PreClean,ECSandOff8:32:#06 AP001,004 PreClean,ECSandOff8:17:Internal conveyor8:17:Internal conveyor8:5:465425:5:465428:16:5 - Installation8:16:5 - Installation</t>
  </si>
  <si>
    <t>8:32:#06 AP001,004 PreClean,ECSandOff8:32:#06 AP001,004 PreClean,ECSandOff8:13:I&amp;C equipment8:13:I&amp;C equipment8:5:465555:5:465558:16:5 - Installation8:16:5 - Installation</t>
  </si>
  <si>
    <t>8:32:#06 AP001,004 PreClean,ECSandOff8:32:#06 AP001,004 PreClean,ECSandOff8:35:Piping package waste water disposal8:35:Piping package waste water disposal8:5:465525:5:465528:16:5 - Installation8:16:5 - Installation</t>
  </si>
  <si>
    <t>8:32:#06 AP001,004 PreClean,ECSandOff8:32:#06 AP001,004 PreClean,ECSandOff8:40:Piping package utilities supply/disposal8:40:Piping package utilities supply/disposal8:5:465525:5:465528:16:5 - Installation8:16:5 - Installation</t>
  </si>
  <si>
    <t>8:32:#06 AP001,004 PreClean,ECSandOff8:32:#06 AP001,004 PreClean,ECSandOff8:29:Piping package compressed air8:29:Piping package compressed air8:5:465525:5:465528:16:5 - Installation8:16:5 - Installation</t>
  </si>
  <si>
    <t>8:32:#06 AP001,004 PreClean,ECSandOff8:32:#06 AP001,004 PreClean,ECSandOff8:6:Filter8:6:Filter8:5:465965:5:465968:16:5 - Installation8:16:5 - Installation</t>
  </si>
  <si>
    <t>8:32:#06 AP001,004 PreClean,ECSandOff8:32:#06 AP001,004 PreClean,ECSandOff8:32:Internal ducting incl. Equipment8:32:Internal ducting incl. Equipment8:5:465525:5:465528:16:5 - Installation8:16:5 - Installation</t>
  </si>
  <si>
    <t>8:32:#06 AP001,004 PreClean,ECSandOff8:32:#06 AP001,004 PreClean,ECSandOff8:11:Air outlets8:11:Air outlets8:5:465505:5:465508:16:5 - Installation8:16:5 - Installation</t>
  </si>
  <si>
    <t>8:32:#06 AP001,004 PreClean,ECSandOff8:32:#06 AP001,004 PreClean,ECSandOff8:8:Labeling8:8:Labeling8:5:465695:5:465698:16:5 - Installation8:16:5 - Installation</t>
  </si>
  <si>
    <t>8:32:#06 AP001,004 PreClean,ECSandOff8:32:#06 AP001,004 PreClean,ECSandOff8:33:Ready for Control cabinets set up8:33:Ready for Control cabinets set up8:5:465625:5:465628:16:5 - Installation8:16:5 - Installation</t>
  </si>
  <si>
    <t>8:32:#06 AP001,004 PreClean,ECSandOff8:32:#06 AP001,004 PreClean,ECSandOff8:11:Brush clean8:11:Brush clean8:5:465815:5:465818:16:5 - Installation8:16:5 - Installation</t>
  </si>
  <si>
    <t>8:32:#06 AP001,004 PreClean,ECSandOff8:32:#06 AP001,004 PreClean,ECSandOff8:13:Deep cleaning8:13:Deep cleaning8:5:465825:5:465828:16:5 - Installation8:16:5 - Installation</t>
  </si>
  <si>
    <t>8:32:#06 AP001,004 PreClean,ECSandOff8:32:#06 AP001,004 PreClean,ECSandOff8:16:Utilities supply8:16:Utilities supply8:5:465975:5:465978:16:5 - Installation8:16:5 - Installation</t>
  </si>
  <si>
    <t>8:32:#06 AP001,004 PreClean,ECSandOff8:32:#06 AP001,004 PreClean,ECSandOff8:35:Risk assessment&amp; checklist reviewed8:35:Risk assessment&amp; checklist reviewed8:5:465965:5:465968:16:5 - Installation8:16:5 - Installation</t>
  </si>
  <si>
    <t>8:32:#06 AP001,004 PreClean,ECSandOff8:32:#06 AP001,004 PreClean,ECSandOff8:23:Ready for commissioning8:23:Ready for commissioning8:5:465975:5:465978:16:5 - Installation8:16:5 - Installation</t>
  </si>
  <si>
    <t>8:35:#06 AP2,3,5 MatelRepair,ECSand,Seal8:35:#06 AP2,3,5 MatelRepair,ECSand,Seal8:16:5 - Installation8:16:5 - Installation8:5:465065:5:465068:16:5 - Installation8:16:5 - Installation</t>
  </si>
  <si>
    <t>8:35:#06 AP2,3,5 MatelRepair,ECSand,Seal8:35:#06 AP2,3,5 MatelRepair,ECSand,Seal8:9:Axis line8:9:Axis line8:5:465065:5:465068:16:5 - Installation8:16:5 - Installation</t>
  </si>
  <si>
    <t>8:35:#06 AP2,3,5 MatelRepair,ECSand,Seal8:35:#06 AP2,3,5 MatelRepair,ECSand,Seal8:12:Floor module8:12:Floor module8:5:465075:5:465078:16:5 - Installation8:16:5 - Installation</t>
  </si>
  <si>
    <t>8:35:#06 AP2,3,5 MatelRepair,ECSand,Seal8:35:#06 AP2,3,5 MatelRepair,ECSand,Seal8:4:Fans8:4:Fans8:5:465305:5:465308:16:5 - Installation8:16:5 - Installation</t>
  </si>
  <si>
    <t>8:35:#06 AP2,3,5 MatelRepair,ECSand,Seal8:35:#06 AP2,3,5 MatelRepair,ECSand,Seal8:13:Portal system8:13:Portal system8:5:465205:5:465208:16:5 - Installation8:16:5 - Installation</t>
  </si>
  <si>
    <t>8:35:#06 AP2,3,5 MatelRepair,ECSand,Seal8:35:#06 AP2,3,5 MatelRepair,ECSand,Seal8:11:Floor cover8:11:Floor cover8:5:465285:5:465288:16:5 - Installation8:16:5 - Installation</t>
  </si>
  <si>
    <t>8:35:#06 AP2,3,5 MatelRepair,ECSand,Seal8:35:#06 AP2,3,5 MatelRepair,ECSand,Seal8:8:Lighting8:8:Lighting8:5:465515:5:465518:16:5 - Installation8:16:5 - Installation</t>
  </si>
  <si>
    <t>8:35:#06 AP2,3,5 MatelRepair,ECSand,Seal8:35:#06 AP2,3,5 MatelRepair,ECSand,Seal8:10:Floor pans8:10:Floor pans8:5:465135:5:465138:16:5 - Installation8:16:5 - Installation</t>
  </si>
  <si>
    <t>8:35:#06 AP2,3,5 MatelRepair,ECSand,Seal8:35:#06 AP2,3,5 MatelRepair,ECSand,Seal8:13:Booth housing8:13:Booth housing8:5:465205:5:465208:16:5 - Installation8:16:5 - Installation</t>
  </si>
  <si>
    <t>8:35:#06 AP2,3,5 MatelRepair,ECSand,Seal8:35:#06 AP2,3,5 MatelRepair,ECSand,Seal8:18:Equipment workdeck8:18:Equipment workdeck8:5:465465:5:465468:16:5 - Installation8:16:5 - Installation</t>
  </si>
  <si>
    <t>8:35:#06 AP2,3,5 MatelRepair,ECSand,Seal8:35:#06 AP2,3,5 MatelRepair,ECSand,Seal8:17:Internal conveyor8:17:Internal conveyor8:5:465315:5:465318:16:5 - Installation8:16:5 - Installation</t>
  </si>
  <si>
    <t>8:35:#06 AP2,3,5 MatelRepair,ECSand,Seal8:35:#06 AP2,3,5 MatelRepair,ECSand,Seal8:13:I&amp;C equipment8:13:I&amp;C equipment8:5:465535:5:465538:16:5 - Installation8:16:5 - Installation</t>
  </si>
  <si>
    <t>8:35:#06 AP2,3,5 MatelRepair,ECSand,Seal8:35:#06 AP2,3,5 MatelRepair,ECSand,Seal8:35:Piping package waste water disposal8:35:Piping package waste water disposal8:5:465425:5:465428:16:5 - Installation8:16:5 - Installation</t>
  </si>
  <si>
    <t>8:35:#06 AP2,3,5 MatelRepair,ECSand,Seal8:35:#06 AP2,3,5 MatelRepair,ECSand,Seal8:40:Piping package utilities supply/disposal8:40:Piping package utilities supply/disposal8:5:465425:5:465428:16:5 - Installation8:16:5 - Installation</t>
  </si>
  <si>
    <t>8:35:#06 AP2,3,5 MatelRepair,ECSand,Seal8:35:#06 AP2,3,5 MatelRepair,ECSand,Seal8:29:Piping package compressed air8:29:Piping package compressed air8:5:465425:5:465428:16:5 - Installation8:16:5 - Installation</t>
  </si>
  <si>
    <t>8:35:#06 AP2,3,5 MatelRepair,ECSand,Seal8:35:#06 AP2,3,5 MatelRepair,ECSand,Seal8:6:Filter8:6:Filter8:5:465945:5:465948:16:5 - Installation8:16:5 - Installation</t>
  </si>
  <si>
    <t>8:35:#06 AP2,3,5 MatelRepair,ECSand,Seal8:35:#06 AP2,3,5 MatelRepair,ECSand,Seal8:32:Internal ducting incl. Equipment8:32:Internal ducting incl. Equipment8:5:465305:5:465308:16:5 - Installation8:16:5 - Installation</t>
  </si>
  <si>
    <t>8:35:#06 AP2,3,5 MatelRepair,ECSand,Seal8:35:#06 AP2,3,5 MatelRepair,ECSand,Seal8:11:Air outlets8:11:Air outlets8:5:465245:5:465248:16:5 - Installation8:16:5 - Installation</t>
  </si>
  <si>
    <t>8:35:#06 AP2,3,5 MatelRepair,ECSand,Seal8:35:#06 AP2,3,5 MatelRepair,ECSand,Seal8:8:Labeling8:8:Labeling8:5:465675:5:465678:16:5 - Installation8:16:5 - Installation</t>
  </si>
  <si>
    <t>8:35:#06 AP2,3,5 MatelRepair,ECSand,Seal8:35:#06 AP2,3,5 MatelRepair,ECSand,Seal8:33:Ready for Control cabinets set up8:33:Ready for Control cabinets set up8:5:465605:5:465608:16:5 - Installation8:16:5 - Installation</t>
  </si>
  <si>
    <t>8:35:#06 AP2,3,5 MatelRepair,ECSand,Seal8:35:#06 AP2,3,5 MatelRepair,ECSand,Seal8:11:Brush clean8:11:Brush clean8:5:465775:5:465778:16:5 - Installation8:16:5 - Installation</t>
  </si>
  <si>
    <t>8:35:#06 AP2,3,5 MatelRepair,ECSand,Seal8:35:#06 AP2,3,5 MatelRepair,ECSand,Seal8:13:Deep cleaning8:13:Deep cleaning8:5:465805:5:465808:16:5 - Installation8:16:5 - Installation</t>
  </si>
  <si>
    <t>8:35:#06 AP2,3,5 MatelRepair,ECSand,Seal8:35:#06 AP2,3,5 MatelRepair,ECSand,Seal8:16:Utilities supply8:16:Utilities supply8:5:465955:5:465958:16:5 - Installation8:16:5 - Installation</t>
  </si>
  <si>
    <t>8:35:#06 AP2,3,5 MatelRepair,ECSand,Seal8:35:#06 AP2,3,5 MatelRepair,ECSand,Seal8:35:Risk assessment&amp; checklist reviewed8:35:Risk assessment&amp; checklist reviewed8:5:465945:5:465948:16:5 - Installation8:16:5 - Installation</t>
  </si>
  <si>
    <t>8:35:#06 AP2,3,5 MatelRepair,ECSand,Seal8:35:#06 AP2,3,5 MatelRepair,ECSand,Seal8:23:Ready for commissioning8:23:Ready for commissioning8:5:465955:5:465958:16:5 - Installation8:16:5 - Installation</t>
  </si>
  <si>
    <t>8:31:#06 AP006-009 UBS line+Transfer8:31:#06 AP006-009 UBS line+Transfer8:16:5 - Installation8:16:5 - Installation8:5:465195:5:465198:16:5 - Installation8:16:5 - Installation</t>
  </si>
  <si>
    <t>8:31:#06 AP006-009 UBS line+Transfer8:31:#06 AP006-009 UBS line+Transfer8:9:Axis line8:9:Axis line8:5:465195:5:465198:16:5 - Installation8:16:5 - Installation</t>
  </si>
  <si>
    <t>8:31:#06 AP006-009 UBS line+Transfer8:31:#06 AP006-009 UBS line+Transfer8:12:Floor module8:12:Floor module8:5:465255:5:465258:16:5 - Installation8:16:5 - Installation</t>
  </si>
  <si>
    <t>8:31:#06 AP006-009 UBS line+Transfer8:31:#06 AP006-009 UBS line+Transfer8:4:Fans8:4:Fans8:5:465445:5:465448:16:5 - Installation8:16:5 - Installation</t>
  </si>
  <si>
    <t>8:31:#06 AP006-009 UBS line+Transfer8:31:#06 AP006-009 UBS line+Transfer8:13:Portal system8:13:Portal system8:5:465315:5:465318:16:5 - Installation8:16:5 - Installation</t>
  </si>
  <si>
    <t>8:31:#06 AP006-009 UBS line+Transfer8:31:#06 AP006-009 UBS line+Transfer8:11:Floor cover8:11:Floor cover8:5:465385:5:465388:16:5 - Installation8:16:5 - Installation</t>
  </si>
  <si>
    <t>8:31:#06 AP006-009 UBS line+Transfer8:31:#06 AP006-009 UBS line+Transfer8:8:Lighting8:8:Lighting8:5:465555:5:465558:16:5 - Installation8:16:5 - Installation</t>
  </si>
  <si>
    <t>8:31:#06 AP006-009 UBS line+Transfer8:31:#06 AP006-009 UBS line+Transfer8:13:Booth housing8:13:Booth housing8:5:465315:5:465318:16:5 - Installation8:16:5 - Installation</t>
  </si>
  <si>
    <t>8:31:#06 AP006-009 UBS line+Transfer8:31:#06 AP006-009 UBS line+Transfer8:18:Equipment workdeck8:18:Equipment workdeck8:5:465565:5:465568:16:5 - Installation8:16:5 - Installation</t>
  </si>
  <si>
    <t>8:31:#06 AP006-009 UBS line+Transfer8:31:#06 AP006-009 UBS line+Transfer8:21:Application equipment8:21:Application equipment8:5:465685:5:465688:16:5 - Installation8:16:5 - Installation</t>
  </si>
  <si>
    <t>8:31:#06 AP006-009 UBS line+Transfer8:31:#06 AP006-009 UBS line+Transfer8:19:Paint supply piping8:19:Paint supply piping8:5:465685:5:465688:16:5 - Installation8:16:5 - Installation</t>
  </si>
  <si>
    <t>8:31:#06 AP006-009 UBS line+Transfer8:31:#06 AP006-009 UBS line+Transfer8:17:Internal conveyor8:17:Internal conveyor8:5:465205:5:465208:16:5 - Installation8:16:5 - Installation</t>
  </si>
  <si>
    <t>8:31:#06 AP006-009 UBS line+Transfer8:31:#06 AP006-009 UBS line+Transfer8:13:I&amp;C equipment8:13:I&amp;C equipment8:5:465565:5:465568:16:5 - Installation8:16:5 - Installation</t>
  </si>
  <si>
    <t>8:31:#06 AP006-009 UBS line+Transfer8:31:#06 AP006-009 UBS line+Transfer8:29:Platform and pedestals CP5.128:29:Platform and pedestals CP5.128:5:465255:5:465258:16:5 - Installation8:16:5 - Installation</t>
  </si>
  <si>
    <t>8:31:#06 AP006-009 UBS line+Transfer8:31:#06 AP006-009 UBS line+Transfer8:40:Piping package utilities supply/disposal8:40:Piping package utilities supply/disposal8:5:465495:5:465498:16:5 - Installation8:16:5 - Installation</t>
  </si>
  <si>
    <t>8:31:#06 AP006-009 UBS line+Transfer8:31:#06 AP006-009 UBS line+Transfer8:29:Piping package compressed air8:29:Piping package compressed air8:5:465495:5:465498:16:5 - Installation8:16:5 - Installation</t>
  </si>
  <si>
    <t>8:31:#06 AP006-009 UBS line+Transfer8:31:#06 AP006-009 UBS line+Transfer8:6:Filter8:6:Filter8:5:466115:5:466118:16:5 - Installation8:16:5 - Installation</t>
  </si>
  <si>
    <t>8:31:#06 AP006-009 UBS line+Transfer8:31:#06 AP006-009 UBS line+Transfer8:32:Internal ducting incl. Equipment8:32:Internal ducting incl. Equipment8:5:465445:5:465448:16:5 - Installation8:16:5 - Installation</t>
  </si>
  <si>
    <t>8:31:#06 AP006-009 UBS line+Transfer8:31:#06 AP006-009 UBS line+Transfer8:11:Air outlets8:11:Air outlets8:5:465385:5:465388:16:5 - Installation8:16:5 - Installation</t>
  </si>
  <si>
    <t>8:31:#06 AP006-009 UBS line+Transfer8:31:#06 AP006-009 UBS line+Transfer8:8:Labeling8:8:Labeling8:5:465845:5:465848:16:5 - Installation8:16:5 - Installation</t>
  </si>
  <si>
    <t>8:31:#06 AP006-009 UBS line+Transfer8:31:#06 AP006-009 UBS line+Transfer8:33:Ready for Control cabinets set up8:33:Ready for Control cabinets set up8:5:465635:5:465638:16:5 - Installation8:16:5 - Installation</t>
  </si>
  <si>
    <t>8:31:#06 AP006-009 UBS line+Transfer8:31:#06 AP006-009 UBS line+Transfer8:11:Brush clean8:11:Brush clean8:5:465965:5:465968:16:5 - Installation8:16:5 - Installation</t>
  </si>
  <si>
    <t>8:31:#06 AP006-009 UBS line+Transfer8:31:#06 AP006-009 UBS line+Transfer8:13:Deep cleaning8:13:Deep cleaning8:5:465975:5:465978:16:5 - Installation8:16:5 - Installation</t>
  </si>
  <si>
    <t>8:31:#06 AP006-009 UBS line+Transfer8:31:#06 AP006-009 UBS line+Transfer8:16:Utilities supply8:16:Utilities supply8:5:466125:5:466128:16:5 - Installation8:16:5 - Installation</t>
  </si>
  <si>
    <t>8:31:#06 AP006-009 UBS line+Transfer8:31:#06 AP006-009 UBS line+Transfer8:35:Risk assessment&amp; checklist reviewed8:35:Risk assessment&amp; checklist reviewed8:5:466115:5:466118:16:5 - Installation8:16:5 - Installation</t>
  </si>
  <si>
    <t>8:31:#06 AP006-009 UBS line+Transfer8:31:#06 AP006-009 UBS line+Transfer8:23:Ready for commissioning8:23:Ready for commissioning8:5:466125:5:466128:16:5 - Installation8:16:5 - Installation</t>
  </si>
  <si>
    <t>8:33:#06 AP10,16 PrimerSand,RepairSand8:33:#06 AP10,16 PrimerSand,RepairSand8:16:5 - Installation8:16:5 - Installation8:5:465565:5:465568:16:5 - Installation8:16:5 - Installation</t>
  </si>
  <si>
    <t>8:33:#06 AP10,16 PrimerSand,RepairSand8:33:#06 AP10,16 PrimerSand,RepairSand8:9:Axis line8:9:Axis line8:5:465565:5:465568:16:5 - Installation8:16:5 - Installation</t>
  </si>
  <si>
    <t>8:33:#06 AP10,16 PrimerSand,RepairSand8:33:#06 AP10,16 PrimerSand,RepairSand8:12:Floor module8:12:Floor module8:5:465595:5:465598:16:5 - Installation8:16:5 - Installation</t>
  </si>
  <si>
    <t>8:33:#06 AP10,16 PrimerSand,RepairSand8:33:#06 AP10,16 PrimerSand,RepairSand8:4:Fans8:4:Fans8:5:465705:5:465708:16:5 - Installation8:16:5 - Installation</t>
  </si>
  <si>
    <t>8:33:#06 AP10,16 PrimerSand,RepairSand8:33:#06 AP10,16 PrimerSand,RepairSand8:13:Portal system8:13:Portal system8:5:465665:5:465668:16:5 - Installation8:16:5 - Installation</t>
  </si>
  <si>
    <t>8:33:#06 AP10,16 PrimerSand,RepairSand8:33:#06 AP10,16 PrimerSand,RepairSand8:11:Floor cover8:11:Floor cover8:5:465695:5:465698:16:5 - Installation8:16:5 - Installation</t>
  </si>
  <si>
    <t>8:33:#06 AP10,16 PrimerSand,RepairSand8:33:#06 AP10,16 PrimerSand,RepairSand8:8:Lighting8:8:Lighting8:5:465805:5:465808:16:5 - Installation8:16:5 - Installation</t>
  </si>
  <si>
    <t>8:33:#06 AP10,16 PrimerSand,RepairSand8:33:#06 AP10,16 PrimerSand,RepairSand8:10:Floor pans8:10:Floor pans8:5:465605:5:465608:16:5 - Installation8:16:5 - Installation</t>
  </si>
  <si>
    <t>8:33:#06 AP10,16 PrimerSand,RepairSand8:33:#06 AP10,16 PrimerSand,RepairSand8:13:Booth housing8:13:Booth housing8:5:465695:5:465698:16:5 - Installation8:16:5 - Installation</t>
  </si>
  <si>
    <t>8:33:#06 AP10,16 PrimerSand,RepairSand8:33:#06 AP10,16 PrimerSand,RepairSand8:18:Equipment workdeck8:18:Equipment workdeck8:5:465805:5:465808:16:5 - Installation8:16:5 - Installation</t>
  </si>
  <si>
    <t>8:33:#06 AP10,16 PrimerSand,RepairSand8:33:#06 AP10,16 PrimerSand,RepairSand8:17:Internal conveyor8:17:Internal conveyor8:5:465705:5:465708:16:5 - Installation8:16:5 - Installation</t>
  </si>
  <si>
    <t>8:33:#06 AP10,16 PrimerSand,RepairSand8:33:#06 AP10,16 PrimerSand,RepairSand8:13:I&amp;C equipment8:13:I&amp;C equipment8:5:465805:5:465808:16:5 - Installation8:16:5 - Installation</t>
  </si>
  <si>
    <t>8:33:#06 AP10,16 PrimerSand,RepairSand8:33:#06 AP10,16 PrimerSand,RepairSand8:35:Piping package waste water disposal8:35:Piping package waste water disposal8:5:465765:5:465768:16:5 - Installation8:16:5 - Installation</t>
  </si>
  <si>
    <t>8:33:#06 AP10,16 PrimerSand,RepairSand8:33:#06 AP10,16 PrimerSand,RepairSand8:40:Piping package utilities supply/disposal8:40:Piping package utilities supply/disposal8:5:465765:5:465768:16:5 - Installation8:16:5 - Installation</t>
  </si>
  <si>
    <t>8:33:#06 AP10,16 PrimerSand,RepairSand8:33:#06 AP10,16 PrimerSand,RepairSand8:29:Piping package compressed air8:29:Piping package compressed air8:5:465765:5:465768:16:5 - Installation8:16:5 - Installation</t>
  </si>
  <si>
    <t>8:33:#06 AP10,16 PrimerSand,RepairSand8:33:#06 AP10,16 PrimerSand,RepairSand8:6:Filter8:6:Filter8:5:466115:5:466118:16:5 - Installation8:16:5 - Installation</t>
  </si>
  <si>
    <t>8:33:#06 AP10,16 PrimerSand,RepairSand8:33:#06 AP10,16 PrimerSand,RepairSand8:32:Internal ducting incl. Equipment8:32:Internal ducting incl. Equipment8:5:465715:5:465718:16:5 - Installation8:16:5 - Installation</t>
  </si>
  <si>
    <t>8:33:#06 AP10,16 PrimerSand,RepairSand8:33:#06 AP10,16 PrimerSand,RepairSand8:11:Air outlets8:11:Air outlets8:5:465675:5:465678:16:5 - Installation8:16:5 - Installation</t>
  </si>
  <si>
    <t>8:33:#06 AP10,16 PrimerSand,RepairSand8:33:#06 AP10,16 PrimerSand,RepairSand8:8:Labeling8:8:Labeling8:5:465845:5:465848:16:5 - Installation8:16:5 - Installation</t>
  </si>
  <si>
    <t>8:33:#06 AP10,16 PrimerSand,RepairSand8:33:#06 AP10,16 PrimerSand,RepairSand8:33:Ready for Control cabinets set up8:33:Ready for Control cabinets set up8:5:465775:5:465778:16:5 - Installation8:16:5 - Installation</t>
  </si>
  <si>
    <t>8:33:#06 AP10,16 PrimerSand,RepairSand8:33:#06 AP10,16 PrimerSand,RepairSand8:11:Brush clean8:11:Brush clean8:5:465965:5:465968:16:5 - Installation8:16:5 - Installation</t>
  </si>
  <si>
    <t>8:33:#06 AP10,16 PrimerSand,RepairSand8:33:#06 AP10,16 PrimerSand,RepairSand8:13:Deep cleaning8:13:Deep cleaning8:5:465975:5:465978:16:5 - Installation8:16:5 - Installation</t>
  </si>
  <si>
    <t>8:33:#06 AP10,16 PrimerSand,RepairSand8:33:#06 AP10,16 PrimerSand,RepairSand8:16:Utilities supply8:16:Utilities supply8:5:466125:5:466128:16:5 - Installation8:16:5 - Installation</t>
  </si>
  <si>
    <t>8:33:#06 AP10,16 PrimerSand,RepairSand8:33:#06 AP10,16 PrimerSand,RepairSand8:35:Risk assessment&amp; checklist reviewed8:35:Risk assessment&amp; checklist reviewed8:5:466115:5:466118:16:5 - Installation8:16:5 - Installation</t>
  </si>
  <si>
    <t>8:33:#06 AP10,16 PrimerSand,RepairSand8:33:#06 AP10,16 PrimerSand,RepairSand8:23:Ready for commissioning8:23:Ready for commissioning8:5:466125:5:466128:16:5 - Installation8:16:5 - Installation</t>
  </si>
  <si>
    <t>8:24:#06 AP12 Dust Protection8:24:#06 AP12 Dust Protection8:16:5 - Installation8:16:5 - Installation8:5:465835:5:465838:16:5 - Installation8:16:5 - Installation</t>
  </si>
  <si>
    <t>8:24:#06 AP12 Dust Protection8:24:#06 AP12 Dust Protection8:9:Axis line8:9:Axis line8:5:465835:5:465838:16:5 - Installation8:16:5 - Installation</t>
  </si>
  <si>
    <t>8:24:#06 AP12 Dust Protection8:24:#06 AP12 Dust Protection8:13:Portal system8:13:Portal system8:5:465905:5:465908:16:5 - Installation8:16:5 - Installation</t>
  </si>
  <si>
    <t>8:24:#06 AP12 Dust Protection8:24:#06 AP12 Dust Protection8:8:Lighting8:8:Lighting8:5:466035:5:466038:16:5 - Installation8:16:5 - Installation</t>
  </si>
  <si>
    <t>8:24:#06 AP12 Dust Protection8:24:#06 AP12 Dust Protection8:13:Booth housing8:13:Booth housing8:5:465885:5:465888:16:5 - Installation8:16:5 - Installation</t>
  </si>
  <si>
    <t>8:24:#06 AP12 Dust Protection8:24:#06 AP12 Dust Protection8:17:Internal conveyor8:17:Internal conveyor8:5:465845:5:465848:16:5 - Installation8:16:5 - Installation</t>
  </si>
  <si>
    <t>8:24:#06 AP12 Dust Protection8:24:#06 AP12 Dust Protection8:13:I&amp;C equipment8:13:I&amp;C equipment8:5:466035:5:466038:16:5 - Installation8:16:5 - Installation</t>
  </si>
  <si>
    <t>8:24:#06 AP12 Dust Protection8:24:#06 AP12 Dust Protection8:40:Piping package utilities supply/disposal8:40:Piping package utilities supply/disposal8:5:465975:5:465978:16:5 - Installation8:16:5 - Installation</t>
  </si>
  <si>
    <t>8:24:#06 AP12 Dust Protection8:24:#06 AP12 Dust Protection8:32:Internal ducting incl. Equipment8:32:Internal ducting incl. Equipment8:5:465975:5:465978:16:5 - Installation8:16:5 - Installation</t>
  </si>
  <si>
    <t>8:24:#06 AP12 Dust Protection8:24:#06 AP12 Dust Protection8:8:Labeling8:8:Labeling8:5:466175:5:466178:16:5 - Installation8:16:5 - Installation</t>
  </si>
  <si>
    <t>8:24:#06 AP12 Dust Protection8:24:#06 AP12 Dust Protection8:33:Ready for Control cabinets set up8:33:Ready for Control cabinets set up8:5:466105:5:466108:16:5 - Installation8:16:5 - Installation</t>
  </si>
  <si>
    <t>8:24:#06 AP12 Dust Protection8:24:#06 AP12 Dust Protection8:11:Brush clean8:11:Brush clean8:5:466305:5:466308:16:5 - Installation8:16:5 - Installation</t>
  </si>
  <si>
    <t>8:24:#06 AP12 Dust Protection8:24:#06 AP12 Dust Protection8:13:Deep cleaning8:13:Deep cleaning8:5:466315:5:466318:16:5 - Installation8:16:5 - Installation</t>
  </si>
  <si>
    <t>8:24:#06 AP12 Dust Protection8:24:#06 AP12 Dust Protection8:16:Utilities supply8:16:Utilities supply8:5:466455:5:466458:16:5 - Installation8:16:5 - Installation</t>
  </si>
  <si>
    <t>8:24:#06 AP12 Dust Protection8:24:#06 AP12 Dust Protection8:35:Risk assessment&amp; checklist reviewed8:35:Risk assessment&amp; checklist reviewed8:5:466445:5:466448:16:5 - Installation8:16:5 - Installation</t>
  </si>
  <si>
    <t>8:24:#06 AP12 Dust Protection8:24:#06 AP12 Dust Protection8:23:Ready for commissioning8:23:Ready for commissioning8:5:466455:5:466458:16:5 - Installation8:16:5 - Installation</t>
  </si>
  <si>
    <t>8:39:#06 AP17-19,21-23 SprDryPol,InsWaxBlack8:39:#06 AP17-19,21-23 SprDryPol,InsWaxBlack8:16:5 - Installation8:16:5 - Installation8:5:465755:5:465758:16:5 - Installation8:16:5 - Installation</t>
  </si>
  <si>
    <t>8:39:#06 AP17-19,21-23 SprDryPol,InsWaxBlack8:39:#06 AP17-19,21-23 SprDryPol,InsWaxBlack8:9:Axis line8:9:Axis line8:5:465755:5:465758:16:5 - Installation8:16:5 - Installation</t>
  </si>
  <si>
    <t>8:39:#06 AP17-19,21-23 SprDryPol,InsWaxBlack8:39:#06 AP17-19,21-23 SprDryPol,InsWaxBlack8:12:Floor module8:12:Floor module8:5:465765:5:465768:16:5 - Installation8:16:5 - Installation</t>
  </si>
  <si>
    <t>8:39:#06 AP17-19,21-23 SprDryPol,InsWaxBlack8:39:#06 AP17-19,21-23 SprDryPol,InsWaxBlack8:4:Fans8:4:Fans8:5:465865:5:465868:16:5 - Installation8:16:5 - Installation</t>
  </si>
  <si>
    <t>8:39:#06 AP17-19,21-23 SprDryPol,InsWaxBlack8:39:#06 AP17-19,21-23 SprDryPol,InsWaxBlack8:13:Portal system8:13:Portal system8:5:465815:5:465818:16:5 - Installation8:16:5 - Installation</t>
  </si>
  <si>
    <t>8:39:#06 AP17-19,21-23 SprDryPol,InsWaxBlack8:39:#06 AP17-19,21-23 SprDryPol,InsWaxBlack8:11:Floor cover8:11:Floor cover8:5:465815:5:465818:16:5 - Installation8:16:5 - Installation</t>
  </si>
  <si>
    <t>8:39:#06 AP17-19,21-23 SprDryPol,InsWaxBlack8:39:#06 AP17-19,21-23 SprDryPol,InsWaxBlack8:8:Lighting8:8:Lighting8:5:465925:5:465928:16:5 - Installation8:16:5 - Installation</t>
  </si>
  <si>
    <t>8:39:#06 AP17-19,21-23 SprDryPol,InsWaxBlack8:39:#06 AP17-19,21-23 SprDryPol,InsWaxBlack8:10:Floor pans8:10:Floor pans8:5:465775:5:465778:16:5 - Installation8:16:5 - Installation</t>
  </si>
  <si>
    <t>8:39:#06 AP17-19,21-23 SprDryPol,InsWaxBlack8:39:#06 AP17-19,21-23 SprDryPol,InsWaxBlack8:13:Booth housing8:13:Booth housing8:5:465805:5:465808:16:5 - Installation8:16:5 - Installation</t>
  </si>
  <si>
    <t>8:39:#06 AP17-19,21-23 SprDryPol,InsWaxBlack8:39:#06 AP17-19,21-23 SprDryPol,InsWaxBlack8:14:Filter ceiling8:14:Filter ceiling8:5:465805:5:465808:16:5 - Installation8:16:5 - Installation</t>
  </si>
  <si>
    <t>8:39:#06 AP17-19,21-23 SprDryPol,InsWaxBlack8:39:#06 AP17-19,21-23 SprDryPol,InsWaxBlack8:6:Plenum8:6:Plenum8:5:465805:5:465808:16:5 - Installation8:16:5 - Installation</t>
  </si>
  <si>
    <t>8:39:#06 AP17-19,21-23 SprDryPol,InsWaxBlack8:39:#06 AP17-19,21-23 SprDryPol,InsWaxBlack8:18:Equipment workdeck8:18:Equipment workdeck8:5:465925:5:465928:16:5 - Installation8:16:5 - Installation</t>
  </si>
  <si>
    <t>8:39:#06 AP17-19,21-23 SprDryPol,InsWaxBlack8:39:#06 AP17-19,21-23 SprDryPol,InsWaxBlack8:15:Fire protection8:15:Fire protection8:5:465995:5:465998:16:5 - Installation8:16:5 - Installation</t>
  </si>
  <si>
    <t>8:39:#06 AP17-19,21-23 SprDryPol,InsWaxBlack8:39:#06 AP17-19,21-23 SprDryPol,InsWaxBlack8:21:Application equipment8:21:Application equipment8:5:465975:5:465978:16:5 - Installation8:16:5 - Installation</t>
  </si>
  <si>
    <t>8:39:#06 AP17-19,21-23 SprDryPol,InsWaxBlack8:39:#06 AP17-19,21-23 SprDryPol,InsWaxBlack8:19:Paint supply piping8:19:Paint supply piping8:5:465975:5:465978:16:5 - Installation8:16:5 - Installation</t>
  </si>
  <si>
    <t>8:39:#06 AP17-19,21-23 SprDryPol,InsWaxBlack8:39:#06 AP17-19,21-23 SprDryPol,InsWaxBlack8:17:Internal conveyor8:17:Internal conveyor8:5:465815:5:465818:16:5 - Installation8:16:5 - Installation</t>
  </si>
  <si>
    <t>8:39:#06 AP17-19,21-23 SprDryPol,InsWaxBlack8:39:#06 AP17-19,21-23 SprDryPol,InsWaxBlack8:13:I&amp;C equipment8:13:I&amp;C equipment8:5:465925:5:465928:16:5 - Installation8:16:5 - Installation</t>
  </si>
  <si>
    <t>8:39:#06 AP17-19,21-23 SprDryPol,InsWaxBlack8:39:#06 AP17-19,21-23 SprDryPol,InsWaxBlack8:19:Roller shutter door8:19:Roller shutter door8:5:465925:5:465928:16:5 - Installation8:16:5 - Installation</t>
  </si>
  <si>
    <t>8:39:#06 AP17-19,21-23 SprDryPol,InsWaxBlack8:39:#06 AP17-19,21-23 SprDryPol,InsWaxBlack8:35:Piping package waste water disposal8:35:Piping package waste water disposal8:5:465865:5:465868:16:5 - Installation8:16:5 - Installation</t>
  </si>
  <si>
    <t>8:39:#06 AP17-19,21-23 SprDryPol,InsWaxBlack8:39:#06 AP17-19,21-23 SprDryPol,InsWaxBlack8:40:Piping package utilities supply/disposal8:40:Piping package utilities supply/disposal8:5:465865:5:465868:16:5 - Installation8:16:5 - Installation</t>
  </si>
  <si>
    <t>8:39:#06 AP17-19,21-23 SprDryPol,InsWaxBlack8:39:#06 AP17-19,21-23 SprDryPol,InsWaxBlack8:29:Piping package compressed air8:29:Piping package compressed air8:5:465865:5:465868:16:5 - Installation8:16:5 - Installation</t>
  </si>
  <si>
    <t>8:39:#06 AP17-19,21-23 SprDryPol,InsWaxBlack8:39:#06 AP17-19,21-23 SprDryPol,InsWaxBlack8:6:Filter8:6:Filter8:5:466265:5:466268:16:5 - Installation8:16:5 - Installation</t>
  </si>
  <si>
    <t>8:39:#06 AP17-19,21-23 SprDryPol,InsWaxBlack8:39:#06 AP17-19,21-23 SprDryPol,InsWaxBlack8:32:Internal ducting incl. Equipment8:32:Internal ducting incl. Equipment8:5:465865:5:465868:16:5 - Installation8:16:5 - Installation</t>
  </si>
  <si>
    <t>8:39:#06 AP17-19,21-23 SprDryPol,InsWaxBlack8:39:#06 AP17-19,21-23 SprDryPol,InsWaxBlack8:11:Air outlets8:11:Air outlets8:5:465835:5:465838:16:5 - Installation8:16:5 - Installation</t>
  </si>
  <si>
    <t>8:39:#06 AP17-19,21-23 SprDryPol,InsWaxBlack8:39:#06 AP17-19,21-23 SprDryPol,InsWaxBlack8:8:Labeling8:8:Labeling8:5:466015:5:466018:16:5 - Installation8:16:5 - Installation</t>
  </si>
  <si>
    <t>8:39:#06 AP17-19,21-23 SprDryPol,InsWaxBlack8:39:#06 AP17-19,21-23 SprDryPol,InsWaxBlack8:33:Ready for Control cabinets set up8:33:Ready for Control cabinets set up8:5:465945:5:465948:16:5 - Installation8:16:5 - Installation</t>
  </si>
  <si>
    <t>8:39:#06 AP17-19,21-23 SprDryPol,InsWaxBlack8:39:#06 AP17-19,21-23 SprDryPol,InsWaxBlack8:11:Brush clean8:11:Brush clean8:5:466115:5:466118:16:5 - Installation8:16:5 - Installation</t>
  </si>
  <si>
    <t>8:39:#06 AP17-19,21-23 SprDryPol,InsWaxBlack8:39:#06 AP17-19,21-23 SprDryPol,InsWaxBlack8:13:Deep cleaning8:13:Deep cleaning8:5:466125:5:466128:16:5 - Installation8:16:5 - Installation</t>
  </si>
  <si>
    <t>8:39:#06 AP17-19,21-23 SprDryPol,InsWaxBlack8:39:#06 AP17-19,21-23 SprDryPol,InsWaxBlack8:16:Utilities supply8:16:Utilities supply8:5:466275:5:466278:16:5 - Installation8:16:5 - Installation</t>
  </si>
  <si>
    <t>8:39:#06 AP17-19,21-23 SprDryPol,InsWaxBlack8:39:#06 AP17-19,21-23 SprDryPol,InsWaxBlack8:35:Risk assessment&amp; checklist reviewed8:35:Risk assessment&amp; checklist reviewed8:5:466265:5:466268:16:5 - Installation8:16:5 - Installation</t>
  </si>
  <si>
    <t>8:39:#06 AP17-19,21-23 SprDryPol,InsWaxBlack8:39:#06 AP17-19,21-23 SprDryPol,InsWaxBlack8:23:Ready for commissioning8:23:Ready for commissioning8:5:466275:5:466278:16:5 - Installation8:16:5 - Installation</t>
  </si>
  <si>
    <t>8:15:#06 RB Wax room8:15:#06 RB Wax room8:16:5 - Installation8:16:5 - Installation8:5:465535:5:465538:16:5 - Installation8:16:5 - Installation</t>
  </si>
  <si>
    <t>8:15:#06 RB Wax room8:15:#06 RB Wax room8:9:Axis line8:9:Axis line8:5:465535:5:465538:16:5 - Installation8:16:5 - Installation</t>
  </si>
  <si>
    <t>8:15:#06 RB Wax room8:15:#06 RB Wax room8:12:Floor module8:12:Floor module8:5:465545:5:465548:16:5 - Installation8:16:5 - Installation</t>
  </si>
  <si>
    <t>8:15:#06 RB Wax room8:15:#06 RB Wax room8:11:Floor cover8:11:Floor cover8:5:465615:5:465618:16:5 - Installation8:16:5 - Installation</t>
  </si>
  <si>
    <t>8:15:#06 RB Wax room8:15:#06 RB Wax room8:10:Floor pans8:10:Floor pans8:5:465595:5:465598:16:5 - Installation8:16:5 - Installation</t>
  </si>
  <si>
    <t>8:15:#06 RB Wax room8:15:#06 RB Wax room8:18:Equipment workdeck8:18:Equipment workdeck8:5:465755:5:465758:16:5 - Installation8:16:5 - Installation</t>
  </si>
  <si>
    <t>8:15:#06 RB Wax room8:15:#06 RB Wax room8:15:Fire protection8:15:Fire protection8:5:465995:5:465998:16:5 - Installation8:16:5 - Installation</t>
  </si>
  <si>
    <t>8:15:#06 RB Wax room8:15:#06 RB Wax room8:21:Application equipment8:21:Application equipment8:5:465985:5:465988:16:5 - Installation8:16:5 - Installation</t>
  </si>
  <si>
    <t>8:15:#06 RB Wax room8:15:#06 RB Wax room8:19:Paint supply piping8:19:Paint supply piping8:5:465985:5:465988:16:5 - Installation8:16:5 - Installation</t>
  </si>
  <si>
    <t>8:15:#06 RB Wax room8:15:#06 RB Wax room8:13:I&amp;C equipment8:13:I&amp;C equipment8:5:465875:5:465878:16:5 - Installation8:16:5 - Installation</t>
  </si>
  <si>
    <t>8:15:#06 RB Wax room8:15:#06 RB Wax room8:35:Piping package waste water disposal8:35:Piping package waste water disposal8:5:465685:5:465688:16:5 - Installation8:16:5 - Installation</t>
  </si>
  <si>
    <t>8:15:#06 RB Wax room8:15:#06 RB Wax room8:40:Piping package utilities supply/disposal8:40:Piping package utilities supply/disposal8:5:465685:5:465688:16:5 - Installation8:16:5 - Installation</t>
  </si>
  <si>
    <t>8:15:#06 RB Wax room8:15:#06 RB Wax room8:29:Piping package compressed air8:29:Piping package compressed air8:5:465685:5:465688:16:5 - Installation8:16:5 - Installation</t>
  </si>
  <si>
    <t>8:15:#06 RB Wax room8:15:#06 RB Wax room8:8:Labeling8:8:Labeling8:5:466015:5:466018:16:5 - Installation8:16:5 - Installation</t>
  </si>
  <si>
    <t>8:15:#06 RB Wax room8:15:#06 RB Wax room8:33:Ready for Control cabinets set up8:33:Ready for Control cabinets set up8:5:465945:5:465948:16:5 - Installation8:16:5 - Installation</t>
  </si>
  <si>
    <t>8:15:#06 RB Wax room8:15:#06 RB Wax room8:11:Brush clean8:11:Brush clean8:5:466125:5:466128:16:5 - Installation8:16:5 - Installation</t>
  </si>
  <si>
    <t>8:15:#06 RB Wax room8:15:#06 RB Wax room8:13:Deep cleaning8:13:Deep cleaning8:5:466155:5:466158:16:5 - Installation8:16:5 - Installation</t>
  </si>
  <si>
    <t>8:15:#06 RB Wax room8:15:#06 RB Wax room8:16:Utilities supply8:16:Utilities supply8:5:466275:5:466278:16:5 - Installation8:16:5 - Installation</t>
  </si>
  <si>
    <t>8:15:#06 RB Wax room8:15:#06 RB Wax room8:35:Risk assessment&amp; checklist reviewed8:35:Risk assessment&amp; checklist reviewed8:5:466265:5:466268:16:5 - Installation8:16:5 - Installation</t>
  </si>
  <si>
    <t>8:15:#06 RB Wax room8:15:#06 RB Wax room8:23:Ready for commissioning8:23:Ready for commissioning8:5:466275:5:466278:16:5 - Installation8:16:5 - Installation</t>
  </si>
  <si>
    <t>8:35:#06 RB050 SkidCheck&amp;Clean&amp;Pump room8:35:#06 RB050 SkidCheck&amp;Clean&amp;Pump room8:16:5 - Installation8:16:5 - Installation8:5:465525:5:465528:16:5 - Installation8:16:5 - Installation</t>
  </si>
  <si>
    <t>8:35:#06 RB050 SkidCheck&amp;Clean&amp;Pump room8:35:#06 RB050 SkidCheck&amp;Clean&amp;Pump room8:9:Axis line8:9:Axis line8:5:465525:5:465528:16:5 - Installation8:16:5 - Installation</t>
  </si>
  <si>
    <t>8:35:#06 RB050 SkidCheck&amp;Clean&amp;Pump room8:35:#06 RB050 SkidCheck&amp;Clean&amp;Pump room8:12:Floor module8:12:Floor module8:5:465535:5:465538:16:5 - Installation8:16:5 - Installation</t>
  </si>
  <si>
    <t>8:35:#06 RB050 SkidCheck&amp;Clean&amp;Pump room8:35:#06 RB050 SkidCheck&amp;Clean&amp;Pump room8:11:Floor cover8:11:Floor cover8:5:465605:5:465608:16:5 - Installation8:16:5 - Installation</t>
  </si>
  <si>
    <t>8:35:#06 RB050 SkidCheck&amp;Clean&amp;Pump room8:35:#06 RB050 SkidCheck&amp;Clean&amp;Pump room8:10:Floor pans8:10:Floor pans8:5:465535:5:465538:16:5 - Installation8:16:5 - Installation</t>
  </si>
  <si>
    <t>8:35:#06 RB050 SkidCheck&amp;Clean&amp;Pump room8:35:#06 RB050 SkidCheck&amp;Clean&amp;Pump room8:18:Equipment workdeck8:18:Equipment workdeck8:5:465805:5:465808:16:5 - Installation8:16:5 - Installation</t>
  </si>
  <si>
    <t>8:35:#06 RB050 SkidCheck&amp;Clean&amp;Pump room8:35:#06 RB050 SkidCheck&amp;Clean&amp;Pump room8:17:Internal conveyor8:17:Internal conveyor8:5:465665:5:465668:16:5 - Installation8:16:5 - Installation</t>
  </si>
  <si>
    <t>8:35:#06 RB050 SkidCheck&amp;Clean&amp;Pump room8:35:#06 RB050 SkidCheck&amp;Clean&amp;Pump room8:13:I&amp;C equipment8:13:I&amp;C equipment8:5:465875:5:465878:16:5 - Installation8:16:5 - Installation</t>
  </si>
  <si>
    <t>8:35:#06 RB050 SkidCheck&amp;Clean&amp;Pump room8:35:#06 RB050 SkidCheck&amp;Clean&amp;Pump room8:35:Piping package waste water disposal8:35:Piping package waste water disposal8:5:465735:5:465738:16:5 - Installation8:16:5 - Installation</t>
  </si>
  <si>
    <t>8:35:#06 RB050 SkidCheck&amp;Clean&amp;Pump room8:35:#06 RB050 SkidCheck&amp;Clean&amp;Pump room8:40:Piping package utilities supply/disposal8:40:Piping package utilities supply/disposal8:5:465735:5:465738:16:5 - Installation8:16:5 - Installation</t>
  </si>
  <si>
    <t>8:35:#06 RB050 SkidCheck&amp;Clean&amp;Pump room8:35:#06 RB050 SkidCheck&amp;Clean&amp;Pump room8:29:Piping package compressed air8:29:Piping package compressed air8:5:465735:5:465738:16:5 - Installation8:16:5 - Installation</t>
  </si>
  <si>
    <t>8:35:#06 RB050 SkidCheck&amp;Clean&amp;Pump room8:35:#06 RB050 SkidCheck&amp;Clean&amp;Pump room8:8:Labeling8:8:Labeling8:5:466015:5:466018:16:5 - Installation8:16:5 - Installation</t>
  </si>
  <si>
    <t>8:35:#06 RB050 SkidCheck&amp;Clean&amp;Pump room8:35:#06 RB050 SkidCheck&amp;Clean&amp;Pump room8:33:Ready for Control cabinets set up8:33:Ready for Control cabinets set up8:5:465945:5:465948:16:5 - Installation8:16:5 - Installation</t>
  </si>
  <si>
    <t>8:35:#06 RB050 SkidCheck&amp;Clean&amp;Pump room8:35:#06 RB050 SkidCheck&amp;Clean&amp;Pump room8:11:Brush clean8:11:Brush clean8:5:466125:5:466128:16:5 - Installation8:16:5 - Installation</t>
  </si>
  <si>
    <t>8:35:#06 RB050 SkidCheck&amp;Clean&amp;Pump room8:35:#06 RB050 SkidCheck&amp;Clean&amp;Pump room8:13:Deep cleaning8:13:Deep cleaning8:5:466155:5:466158:16:5 - Installation8:16:5 - Installation</t>
  </si>
  <si>
    <t>8:35:#06 RB050 SkidCheck&amp;Clean&amp;Pump room8:35:#06 RB050 SkidCheck&amp;Clean&amp;Pump room8:16:Utilities supply8:16:Utilities supply8:5:466275:5:466278:16:5 - Installation8:16:5 - Installation</t>
  </si>
  <si>
    <t>8:35:#06 RB050 SkidCheck&amp;Clean&amp;Pump room8:35:#06 RB050 SkidCheck&amp;Clean&amp;Pump room8:35:Risk assessment&amp; checklist reviewed8:35:Risk assessment&amp; checklist reviewed8:5:466265:5:466268:16:5 - Installation8:16:5 - Installation</t>
  </si>
  <si>
    <t>8:35:#06 RB050 SkidCheck&amp;Clean&amp;Pump room8:35:#06 RB050 SkidCheck&amp;Clean&amp;Pump room8:23:Ready for commissioning8:23:Ready for commissioning8:5:466275:5:466278:16:5 - Installation8:16:5 - Installation</t>
  </si>
  <si>
    <t>8:49:#06 AP13-15,20 TCInsp&amp;Audit,SpotRepair+PartChange8:49:#06 AP13-15,20 TCInsp&amp;Audit,SpotRepair+PartChange8:16:5 - Installation8:16:5 - Installation8:5:465625:5:465628:16:5 - Installation8:16:5 - Installation</t>
  </si>
  <si>
    <t>8:49:#06 AP13-15,20 TCInsp&amp;Audit,SpotRepair+PartChange8:49:#06 AP13-15,20 TCInsp&amp;Audit,SpotRepair+PartChange8:9:Axis line8:9:Axis line8:5:465625:5:465628:16:5 - Installation8:16:5 - Installation</t>
  </si>
  <si>
    <t>8:49:#06 AP13-15,20 TCInsp&amp;Audit,SpotRepair+PartChange8:49:#06 AP13-15,20 TCInsp&amp;Audit,SpotRepair+PartChange8:12:Floor module8:12:Floor module8:5:465635:5:465638:16:5 - Installation8:16:5 - Installation</t>
  </si>
  <si>
    <t>8:49:#06 AP13-15,20 TCInsp&amp;Audit,SpotRepair+PartChange8:49:#06 AP13-15,20 TCInsp&amp;Audit,SpotRepair+PartChange8:4:Fans8:4:Fans8:5:465775:5:465778:16:5 - Installation8:16:5 - Installation</t>
  </si>
  <si>
    <t>8:49:#06 AP13-15,20 TCInsp&amp;Audit,SpotRepair+PartChange8:49:#06 AP13-15,20 TCInsp&amp;Audit,SpotRepair+PartChange8:13:Portal system8:13:Portal system8:5:465695:5:465698:16:5 - Installation8:16:5 - Installation</t>
  </si>
  <si>
    <t>8:49:#06 AP13-15,20 TCInsp&amp;Audit,SpotRepair+PartChange8:49:#06 AP13-15,20 TCInsp&amp;Audit,SpotRepair+PartChange8:11:Floor cover8:11:Floor cover8:5:465695:5:465698:16:5 - Installation8:16:5 - Installation</t>
  </si>
  <si>
    <t>8:49:#06 AP13-15,20 TCInsp&amp;Audit,SpotRepair+PartChange8:49:#06 AP13-15,20 TCInsp&amp;Audit,SpotRepair+PartChange8:8:Lighting8:8:Lighting8:5:465875:5:465878:16:5 - Installation8:16:5 - Installation</t>
  </si>
  <si>
    <t>8:49:#06 AP13-15,20 TCInsp&amp;Audit,SpotRepair+PartChange8:49:#06 AP13-15,20 TCInsp&amp;Audit,SpotRepair+PartChange8:10:Floor pans8:10:Floor pans8:5:465665:5:465668:16:5 - Installation8:16:5 - Installation</t>
  </si>
  <si>
    <t>8:49:#06 AP13-15,20 TCInsp&amp;Audit,SpotRepair+PartChange8:49:#06 AP13-15,20 TCInsp&amp;Audit,SpotRepair+PartChange8:13:Booth housing8:13:Booth housing8:5:465735:5:465738:16:5 - Installation8:16:5 - Installation</t>
  </si>
  <si>
    <t>8:49:#06 AP13-15,20 TCInsp&amp;Audit,SpotRepair+PartChange8:49:#06 AP13-15,20 TCInsp&amp;Audit,SpotRepair+PartChange8:14:Filter ceiling8:14:Filter ceiling8:5:465765:5:465768:16:5 - Installation8:16:5 - Installation</t>
  </si>
  <si>
    <t>8:49:#06 AP13-15,20 TCInsp&amp;Audit,SpotRepair+PartChange8:49:#06 AP13-15,20 TCInsp&amp;Audit,SpotRepair+PartChange8:6:Plenum8:6:Plenum8:5:465765:5:465768:16:5 - Installation8:16:5 - Installation</t>
  </si>
  <si>
    <t>8:49:#06 AP13-15,20 TCInsp&amp;Audit,SpotRepair+PartChange8:49:#06 AP13-15,20 TCInsp&amp;Audit,SpotRepair+PartChange8:18:Equipment workdeck8:18:Equipment workdeck8:5:465875:5:465878:16:5 - Installation8:16:5 - Installation</t>
  </si>
  <si>
    <t>8:49:#06 AP13-15,20 TCInsp&amp;Audit,SpotRepair+PartChange8:49:#06 AP13-15,20 TCInsp&amp;Audit,SpotRepair+PartChange8:15:Fire protection8:15:Fire protection8:5:465945:5:465948:16:5 - Installation8:16:5 - Installation</t>
  </si>
  <si>
    <t>8:49:#06 AP13-15,20 TCInsp&amp;Audit,SpotRepair+PartChange8:49:#06 AP13-15,20 TCInsp&amp;Audit,SpotRepair+PartChange8:17:Internal conveyor8:17:Internal conveyor8:5:465785:5:465788:16:5 - Installation8:16:5 - Installation</t>
  </si>
  <si>
    <t>8:49:#06 AP13-15,20 TCInsp&amp;Audit,SpotRepair+PartChange8:49:#06 AP13-15,20 TCInsp&amp;Audit,SpotRepair+PartChange8:13:I&amp;C equipment8:13:I&amp;C equipment8:5:465875:5:465878:16:5 - Installation8:16:5 - Installation</t>
  </si>
  <si>
    <t>8:49:#06 AP13-15,20 TCInsp&amp;Audit,SpotRepair+PartChange8:49:#06 AP13-15,20 TCInsp&amp;Audit,SpotRepair+PartChange8:19:Roller shutter door8:19:Roller shutter door8:5:465875:5:465878:16:5 - Installation8:16:5 - Installation</t>
  </si>
  <si>
    <t>8:49:#06 AP13-15,20 TCInsp&amp;Audit,SpotRepair+PartChange8:49:#06 AP13-15,20 TCInsp&amp;Audit,SpotRepair+PartChange8:35:Piping package waste water disposal8:35:Piping package waste water disposal8:5:465765:5:465768:16:5 - Installation8:16:5 - Installation</t>
  </si>
  <si>
    <t>8:49:#06 AP13-15,20 TCInsp&amp;Audit,SpotRepair+PartChange8:49:#06 AP13-15,20 TCInsp&amp;Audit,SpotRepair+PartChange8:40:Piping package utilities supply/disposal8:40:Piping package utilities supply/disposal8:5:465765:5:465768:16:5 - Installation8:16:5 - Installation</t>
  </si>
  <si>
    <t>8:49:#06 AP13-15,20 TCInsp&amp;Audit,SpotRepair+PartChange8:49:#06 AP13-15,20 TCInsp&amp;Audit,SpotRepair+PartChange8:29:Piping package compressed air8:29:Piping package compressed air8:5:465765:5:465768:16:5 - Installation8:16:5 - Installation</t>
  </si>
  <si>
    <t>8:49:#06 AP13-15,20 TCInsp&amp;Audit,SpotRepair+PartChange8:49:#06 AP13-15,20 TCInsp&amp;Audit,SpotRepair+PartChange8:6:Filter8:6:Filter8:5:466115:5:466118:16:5 - Installation8:16:5 - Installation</t>
  </si>
  <si>
    <t>8:49:#06 AP13-15,20 TCInsp&amp;Audit,SpotRepair+PartChange8:49:#06 AP13-15,20 TCInsp&amp;Audit,SpotRepair+PartChange8:32:Internal ducting incl. Equipment8:32:Internal ducting incl. Equipment8:5:465765:5:465768:16:5 - Installation8:16:5 - Installation</t>
  </si>
  <si>
    <t>8:49:#06 AP13-15,20 TCInsp&amp;Audit,SpotRepair+PartChange8:49:#06 AP13-15,20 TCInsp&amp;Audit,SpotRepair+PartChange8:11:Air outlets8:11:Air outlets8:5:465765:5:465768:16:5 - Installation8:16:5 - Installation</t>
  </si>
  <si>
    <t>8:49:#06 AP13-15,20 TCInsp&amp;Audit,SpotRepair+PartChange8:49:#06 AP13-15,20 TCInsp&amp;Audit,SpotRepair+PartChange8:8:Labeling8:8:Labeling8:5:465945:5:465948:16:5 - Installation8:16:5 - Installation</t>
  </si>
  <si>
    <t>8:49:#06 AP13-15,20 TCInsp&amp;Audit,SpotRepair+PartChange8:49:#06 AP13-15,20 TCInsp&amp;Audit,SpotRepair+PartChange8:33:Ready for Control cabinets set up8:33:Ready for Control cabinets set up8:5:465775:5:465778:16:5 - Installation8:16:5 - Installation</t>
  </si>
  <si>
    <t>8:49:#06 AP13-15,20 TCInsp&amp;Audit,SpotRepair+PartChange8:49:#06 AP13-15,20 TCInsp&amp;Audit,SpotRepair+PartChange8:11:Brush clean8:11:Brush clean8:5:465965:5:465968:16:5 - Installation8:16:5 - Installation</t>
  </si>
  <si>
    <t>8:49:#06 AP13-15,20 TCInsp&amp;Audit,SpotRepair+PartChange8:49:#06 AP13-15,20 TCInsp&amp;Audit,SpotRepair+PartChange8:13:Deep cleaning8:13:Deep cleaning8:5:465975:5:465978:16:5 - Installation8:16:5 - Installation</t>
  </si>
  <si>
    <t>8:49:#06 AP13-15,20 TCInsp&amp;Audit,SpotRepair+PartChange8:49:#06 AP13-15,20 TCInsp&amp;Audit,SpotRepair+PartChange8:16:Utilities supply8:16:Utilities supply8:5:466125:5:466128:16:5 - Installation8:16:5 - Installation</t>
  </si>
  <si>
    <t>8:49:#06 AP13-15,20 TCInsp&amp;Audit,SpotRepair+PartChange8:49:#06 AP13-15,20 TCInsp&amp;Audit,SpotRepair+PartChange8:35:Risk assessment&amp; checklist reviewed8:35:Risk assessment&amp; checklist reviewed8:5:466115:5:466118:16:5 - Installation8:16:5 - Installation</t>
  </si>
  <si>
    <t>8:49:#06 AP13-15,20 TCInsp&amp;Audit,SpotRepair+PartChange8:49:#06 AP13-15,20 TCInsp&amp;Audit,SpotRepair+PartChange8:23:Ready for commissioning8:23:Ready for commissioning8:5:466125:5:466128:16:5 - Installation8:16:5 - Installation</t>
  </si>
  <si>
    <t>8:22:#20 CS Work Zone + ASU8:22:#20 CS Work Zone + ASU8:16:5 - Installation8:16:5 - Installation8:5:465605:5:465608:16:5 - Installation8:16:5 - Installation</t>
  </si>
  <si>
    <t>8:22:#20 CS Work Zone + ASU8:22:#20 CS Work Zone + ASU8:23:Control cabinets set up8:23:Control cabinets set up8:5:465605:5:465608:16:5 - Installation8:16:5 - Installation</t>
  </si>
  <si>
    <t>8:22:#20 CS Work Zone + ASU8:22:#20 CS Work Zone + ASU8:21:Installation of Panel8:21:Installation of Panel8:5:465625:5:465628:16:5 - Installation8:16:5 - Installation</t>
  </si>
  <si>
    <t>8:22:#20 CS Work Zone + ASU8:22:#20 CS Work Zone + ASU8:11:Cable Trays8:11:Cable Trays8:5:465665:5:465668:16:5 - Installation8:16:5 - Installation</t>
  </si>
  <si>
    <t>8:22:#20 CS Work Zone + ASU8:22:#20 CS Work Zone + ASU8:13:Cable Pulling8:13:Cable Pulling8:5:466095:5:466098:16:5 - Installation8:16:5 - Installation</t>
  </si>
  <si>
    <t>8:22:#20 CS Work Zone + ASU8:22:#20 CS Work Zone + ASU8:20:Profinet measurement8:20:Profinet measurement8:5:466375:5:466378:16:5 - Installation8:16:5 - Installation</t>
  </si>
  <si>
    <t>8:22:#20 CS Work Zone + ASU8:22:#20 CS Work Zone + ASU8:22:Potential equalization8:22:Potential equalization8:5:466375:5:466378:16:5 - Installation8:16:5 - Installation</t>
  </si>
  <si>
    <t>8:22:#20 CS Work Zone + ASU8:22:#20 CS Work Zone + ASU8:17:Cable Connections8:17:Cable Connections8:5:466195:5:466198:16:5 - Installation8:16:5 - Installation</t>
  </si>
  <si>
    <t>8:22:#20 CS Work Zone + ASU8:22:#20 CS Work Zone + ASU8:25:Cable labeling+Tray cover8:25:Cable labeling+Tray cover8:5:466455:5:466458:16:5 - Installation8:16:5 - Installation</t>
  </si>
  <si>
    <t>8:22:#20 CS Work Zone + ASU8:22:#20 CS Work Zone + ASU8:33:Power supply for control cabinets8:33:Power supply for control cabinets8:5:466195:5:466198:16:5 - Installation8:16:5 - Installation</t>
  </si>
  <si>
    <t>8:22:#20 CS Work Zone + ASU8:22:#20 CS Work Zone + ASU8:22:Feed in control panels8:22:Feed in control panels8:5:466445:5:466448:16:5 - Installation8:16:5 - Installation</t>
  </si>
  <si>
    <t>8:11:#04 TC Oven8:11:#04 TC Oven8:16:5 - Installation8:16:5 - Installation8:5:465265:5:465268:16:5 - Installation8:16:5 - Installation</t>
  </si>
  <si>
    <t>8:11:#04 TC Oven8:11:#04 TC Oven8:9:Axis line8:9:Axis line8:5:465265:5:465268:16:5 - Installation8:16:5 - Installation</t>
  </si>
  <si>
    <t>8:11:#04 TC Oven8:11:#04 TC Oven8:23:Heater Box heat-up zone8:23:Heater Box heat-up zone8:5:465605:5:465608:16:5 - Installation8:16:5 - Installation</t>
  </si>
  <si>
    <t>8:11:#04 TC Oven8:11:#04 TC Oven8:20:Heater Box hold zone8:20:Heater Box hold zone8:5:465615:5:465618:16:5 - Installation8:16:5 - Installation</t>
  </si>
  <si>
    <t>8:11:#04 TC Oven8:11:#04 TC Oven8:21:Maintenance equipment8:21:Maintenance equipment8:5:466225:5:466228:16:5 - Installation8:16:5 - Installation</t>
  </si>
  <si>
    <t>8:11:#04 TC Oven8:11:#04 TC Oven8:8:Labeling8:8:Labeling8:5:466295:5:466298:16:5 - Installation8:16:5 - Installation</t>
  </si>
  <si>
    <t>8:11:#04 TC Oven8:11:#04 TC Oven8:23:Loose, fixed connection8:23:Loose, fixed connection8:5:465515:5:465518:16:5 - Installation8:16:5 - Installation</t>
  </si>
  <si>
    <t>8:11:#04 TC Oven8:11:#04 TC Oven8:24:Floor rails installation8:24:Floor rails installation8:5:465425:5:465428:16:5 - Installation8:16:5 - Installation</t>
  </si>
  <si>
    <t>8:11:#04 TC Oven8:11:#04 TC Oven8:4:Fans8:4:Fans8:5:465595:5:465598:16:5 - Installation8:16:5 - Installation</t>
  </si>
  <si>
    <t>8:11:#04 TC Oven8:11:#04 TC Oven8:25:Cooling modules *2modules8:25:Cooling modules *2modules8:5:465575:5:465578:16:5 - Installation8:16:5 - Installation</t>
  </si>
  <si>
    <t>8:11:#04 TC Oven8:11:#04 TC Oven8:7:CoolBox8:7:CoolBox8:5:465625:5:465628:16:5 - Installation8:16:5 - Installation</t>
  </si>
  <si>
    <t>8:11:#04 TC Oven8:11:#04 TC Oven8:24:Piping package utilities8:24:Piping package utilities8:5:465645:5:465648:16:5 - Installation8:16:5 - Installation</t>
  </si>
  <si>
    <t>8:11:#04 TC Oven8:11:#04 TC Oven8:17:Internal conveyor8:17:Internal conveyor8:5:465635:5:465638:16:5 - Installation8:16:5 - Installation</t>
  </si>
  <si>
    <t>8:11:#04 TC Oven8:11:#04 TC Oven8:13:I&amp;C equipment8:13:I&amp;C equipment8:5:465875:5:465878:16:5 - Installation8:16:5 - Installation</t>
  </si>
  <si>
    <t>8:11:#04 TC Oven8:11:#04 TC Oven8:22:Regulation train HW/CW8:22:Regulation train HW/CW8:5:465635:5:465638:16:5 - Installation8:16:5 - Installation</t>
  </si>
  <si>
    <t>8:11:#04 TC Oven8:11:#04 TC Oven8:35:Steelwork CP2.12 (Expect Axis10-12)8:35:Steelwork CP2.12 (Expect Axis10-12)8:5:465275:5:465278:16:5 - Installation8:16:5 - Installation</t>
  </si>
  <si>
    <t>8:11:#04 TC Oven8:11:#04 TC Oven8:31:Combustion chamber incl. Burner8:31:Combustion chamber incl. Burner8:5:465595:5:465598:16:5 - Installation8:16:5 - Installation</t>
  </si>
  <si>
    <t>8:11:#04 TC Oven8:11:#04 TC Oven8:19:Roller shutter door8:19:Roller shutter door8:5:465875:5:465878:16:5 - Installation8:16:5 - Installation</t>
  </si>
  <si>
    <t>8:11:#04 TC Oven8:11:#04 TC Oven8:26:Oven module air seal entry8:26:Oven module air seal entry8:5:465495:5:465498:16:5 - Installation8:16:5 - Installation</t>
  </si>
  <si>
    <t>8:11:#04 TC Oven8:11:#04 TC Oven8:35:Oven modules heat-up zone *4modules8:35:Oven modules heat-up zone *4modules8:5:465505:5:465508:16:5 - Installation8:16:5 - Installation</t>
  </si>
  <si>
    <t>8:11:#04 TC Oven8:11:#04 TC Oven8:32:Oven modules hold zone *7modules8:32:Oven modules hold zone *7modules8:5:465545:5:465548:16:5 - Installation8:16:5 - Installation</t>
  </si>
  <si>
    <t>8:11:#04 TC Oven8:11:#04 TC Oven8:25:Oven module air seal exit8:25:Oven module air seal exit8:5:465565:5:465568:16:5 - Installation8:16:5 - Installation</t>
  </si>
  <si>
    <t>8:11:#04 TC Oven8:11:#04 TC Oven8:23:Connecting compensators8:23:Connecting compensators8:5:465535:5:465538:16:5 - Installation8:16:5 - Installation</t>
  </si>
  <si>
    <t>8:11:#04 TC Oven8:11:#04 TC Oven8:42:Ducting package recirculation cooling zone8:42:Ducting package recirculation cooling zone8:5:465635:5:465638:16:5 - Installation8:16:5 - Installation</t>
  </si>
  <si>
    <t>8:11:#04 TC Oven8:11:#04 TC Oven8:38:Ducting package supply/exhaust coolbox8:38:Ducting package supply/exhaust coolbox8:5:465635:5:465638:16:5 - Installation8:16:5 - Installation</t>
  </si>
  <si>
    <t>8:11:#04 TC Oven8:11:#04 TC Oven8:42:Ducting package recirculation heater boxes8:42:Ducting package recirculation heater boxes8:5:465635:5:465638:16:5 - Installation8:16:5 - Installation</t>
  </si>
  <si>
    <t>8:11:#04 TC Oven8:11:#04 TC Oven8:43:Ducting package exhaust flue gas Heater Box8:43:Ducting package exhaust flue gas Heater Box8:5:465635:5:465638:16:5 - Installation8:16:5 - Installation</t>
  </si>
  <si>
    <t>8:11:#04 TC Oven8:11:#04 TC Oven8:44:Ducting package exhaust clean gas above roof8:44:Ducting package exhaust clean gas above roof8:5:465635:5:465638:16:5 - Installation8:16:5 - Installation</t>
  </si>
  <si>
    <t>8:11:#04 TC Oven8:11:#04 TC Oven8:32:Ducting package exhaust air oven8:32:Ducting package exhaust air oven8:5:465635:5:465638:16:5 - Installation8:16:5 - Installation</t>
  </si>
  <si>
    <t>8:11:#04 TC Oven8:11:#04 TC Oven8:18:Insulation package8:18:Insulation package8:5:465905:5:465908:16:5 - Installation8:16:5 - Installation</t>
  </si>
  <si>
    <t>8:11:#04 TC Oven8:11:#04 TC Oven8:14:Safety devices8:14:Safety devices8:5:466225:5:466228:16:5 - Installation8:16:5 - Installation</t>
  </si>
  <si>
    <t>8:11:#04 TC Oven8:11:#04 TC Oven8:33:Ready for Control cabinets set up8:33:Ready for Control cabinets set up8:5:465945:5:465948:16:5 - Installation8:16:5 - Installation</t>
  </si>
  <si>
    <t>8:11:#04 TC Oven8:11:#04 TC Oven8:13:Deep cleaning8:13:Deep cleaning8:5:466355:5:466358:16:5 - Installation8:16:5 - Installation</t>
  </si>
  <si>
    <t>8:11:#04 TC Oven8:11:#04 TC Oven8:6:Filter8:6:Filter8:5:466335:5:466338:16:5 - Installation8:16:5 - Installation</t>
  </si>
  <si>
    <t>8:11:#04 TC Oven8:11:#04 TC Oven8:11:Brush clean8:11:Brush clean8:5:466295:5:466298:16:5 - Installation8:16:5 - Installation</t>
  </si>
  <si>
    <t>8:11:#04 TC Oven8:11:#04 TC Oven8:16:Utilities supply8:16:Utilities supply8:5:466345:5:466348:16:5 - Installation8:16:5 - Installation</t>
  </si>
  <si>
    <t>8:11:#04 TC Oven8:11:#04 TC Oven8:35:Risk assessment&amp; checklist reviewed8:35:Risk assessment&amp; checklist reviewed8:5:466295:5:466298:16:5 - Installation8:16:5 - Installation</t>
  </si>
  <si>
    <t>8:11:#04 TC Oven8:11:#04 TC Oven8:23:Ready for commissioning8:23:Ready for commissioning8:5:466345:5:466348:16:5 - Installation8:16:5 - Installation</t>
  </si>
  <si>
    <t>8:14:#20 CS TC Oven8:14:#20 CS TC Oven8:16:5 - Installation8:16:5 - Installation8:5:465945:5:465948:16:5 - Installation8:16:5 - Installation</t>
  </si>
  <si>
    <t>8:14:#20 CS TC Oven8:14:#20 CS TC Oven8:23:Control cabinets set up8:23:Control cabinets set up8:5:465945:5:465948:16:5 - Installation8:16:5 - Installation</t>
  </si>
  <si>
    <t>8:14:#20 CS TC Oven8:14:#20 CS TC Oven8:21:Installation of Panel8:21:Installation of Panel8:5:465965:5:465968:16:5 - Installation8:16:5 - Installation</t>
  </si>
  <si>
    <t>8:14:#20 CS TC Oven8:14:#20 CS TC Oven8:11:Cable Trays8:11:Cable Trays8:5:465985:5:465988:16:5 - Installation8:16:5 - Installation</t>
  </si>
  <si>
    <t>8:14:#20 CS TC Oven8:14:#20 CS TC Oven8:13:Cable Pulling8:13:Cable Pulling8:5:466175:5:466178:16:5 - Installation8:16:5 - Installation</t>
  </si>
  <si>
    <t>8:14:#20 CS TC Oven8:14:#20 CS TC Oven8:17:Cable Connections8:17:Cable Connections8:5:466235:5:466238:16:5 - Installation8:16:5 - Installation</t>
  </si>
  <si>
    <t>8:14:#20 CS TC Oven8:14:#20 CS TC Oven8:20:Profinet measurement8:20:Profinet measurement8:5:466325:5:466328:16:5 - Installation8:16:5 - Installation</t>
  </si>
  <si>
    <t>8:14:#20 CS TC Oven8:14:#20 CS TC Oven8:22:Potential equalization8:22:Potential equalization8:5:466325:5:466328:16:5 - Installation8:16:5 - Installation</t>
  </si>
  <si>
    <t>8:14:#20 CS TC Oven8:14:#20 CS TC Oven8:25:Cable labeling+Tray cover8:25:Cable labeling+Tray cover8:5:466465:5:466468:16:5 - Installation8:16:5 - Installation</t>
  </si>
  <si>
    <t>8:14:#20 CS TC Oven8:14:#20 CS TC Oven8:33:Power supply for control cabinets8:33:Power supply for control cabinets8:5:466235:5:466238:16:5 - Installation8:16:5 - Installation</t>
  </si>
  <si>
    <t>8:14:#20 CS TC Oven8:14:#20 CS TC Oven8:22:Feed in control panels8:22:Feed in control panels8:5:466375:5:466378:16:5 - Installation8:16:5 - Installation</t>
  </si>
  <si>
    <t>8:15:#04 Primer Oven8:15:#04 Primer Oven8:16:5 - Installation8:16:5 - Installation8:5:465125:5:465128:16:5 - Installation8:16:5 - Installation</t>
  </si>
  <si>
    <t>8:15:#04 Primer Oven8:15:#04 Primer Oven8:9:Axis line8:9:Axis line8:5:465125:5:465128:16:5 - Installation8:16:5 - Installation</t>
  </si>
  <si>
    <t>8:15:#04 Primer Oven8:15:#04 Primer Oven8:26:Heater Box heat-up zone *28:26:Heater Box heat-up zone *28:5:465435:5:465438:16:5 - Installation8:16:5 - Installation</t>
  </si>
  <si>
    <t>8:15:#04 Primer Oven8:15:#04 Primer Oven8:20:Heater Box hold zone8:20:Heater Box hold zone8:5:465455:5:465458:16:5 - Installation8:16:5 - Installation</t>
  </si>
  <si>
    <t>8:15:#04 Primer Oven8:15:#04 Primer Oven8:21:Maintenance equipment8:21:Maintenance equipment8:5:466045:5:466048:16:5 - Installation8:16:5 - Installation</t>
  </si>
  <si>
    <t>8:15:#04 Primer Oven8:15:#04 Primer Oven8:8:Labeling8:8:Labeling8:5:466095:5:466098:16:5 - Installation8:16:5 - Installation</t>
  </si>
  <si>
    <t>8:15:#04 Primer Oven8:15:#04 Primer Oven8:23:Loose, fixed connection8:23:Loose, fixed connection8:5:465355:5:465358:16:5 - Installation8:16:5 - Installation</t>
  </si>
  <si>
    <t>8:15:#04 Primer Oven8:15:#04 Primer Oven8:24:Floor rails installation8:24:Floor rails installation8:5:465265:5:465268:16:5 - Installation8:16:5 - Installation</t>
  </si>
  <si>
    <t>8:15:#04 Primer Oven8:15:#04 Primer Oven8:4:Fans8:4:Fans8:5:465425:5:465428:16:5 - Installation8:16:5 - Installation</t>
  </si>
  <si>
    <t>8:15:#04 Primer Oven8:15:#04 Primer Oven8:25:Cooling modules *2modules8:25:Cooling modules *2modules8:5:465405:5:465408:16:5 - Installation8:16:5 - Installation</t>
  </si>
  <si>
    <t>8:15:#04 Primer Oven8:15:#04 Primer Oven8:7:CoolBox8:7:CoolBox8:5:465465:5:465468:16:5 - Installation8:16:5 - Installation</t>
  </si>
  <si>
    <t>8:15:#04 Primer Oven8:15:#04 Primer Oven8:24:Piping package utilities8:24:Piping package utilities8:5:465595:5:465598:16:5 - Installation8:16:5 - Installation</t>
  </si>
  <si>
    <t>8:15:#04 Primer Oven8:15:#04 Primer Oven8:17:Internal conveyor8:17:Internal conveyor8:5:465505:5:465508:16:5 - Installation8:16:5 - Installation</t>
  </si>
  <si>
    <t>8:15:#04 Primer Oven8:15:#04 Primer Oven8:13:I&amp;C equipment8:13:I&amp;C equipment8:5:465675:5:465678:16:5 - Installation8:16:5 - Installation</t>
  </si>
  <si>
    <t>8:15:#04 Primer Oven8:15:#04 Primer Oven8:22:Regulation train HW/CW8:22:Regulation train HW/CW8:5:465485:5:465488:16:5 - Installation8:16:5 - Installation</t>
  </si>
  <si>
    <t>8:15:#04 Primer Oven8:15:#04 Primer Oven8:21:Steelwork oven CP2.118:21:Steelwork oven CP2.118:5:465135:5:465138:16:5 - Installation8:16:5 - Installation</t>
  </si>
  <si>
    <t>8:15:#04 Primer Oven8:15:#04 Primer Oven8:31:Combustion chamber incl. Burner8:31:Combustion chamber incl. Burner8:5:465425:5:465428:16:5 - Installation8:16:5 - Installation</t>
  </si>
  <si>
    <t>8:15:#04 Primer Oven8:15:#04 Primer Oven8:19:Roller shutter door8:19:Roller shutter door8:5:465675:5:465678:16:5 - Installation8:16:5 - Installation</t>
  </si>
  <si>
    <t>8:15:#04 Primer Oven8:15:#04 Primer Oven8:26:Oven module air seal entry8:26:Oven module air seal entry8:5:465325:5:465328:16:5 - Installation8:16:5 - Installation</t>
  </si>
  <si>
    <t>8:15:#04 Primer Oven8:15:#04 Primer Oven8:35:Oven modules heat-up zone *6modules8:35:Oven modules heat-up zone *6modules8:5:465335:5:465338:16:5 - Installation8:16:5 - Installation</t>
  </si>
  <si>
    <t>8:15:#04 Primer Oven8:15:#04 Primer Oven8:32:Oven modules hold zone *6modules8:32:Oven modules hold zone *6modules8:5:465365:5:465368:16:5 - Installation8:16:5 - Installation</t>
  </si>
  <si>
    <t>8:15:#04 Primer Oven8:15:#04 Primer Oven8:25:Oven module air seal exit8:25:Oven module air seal exit8:5:465395:5:465398:16:5 - Installation8:16:5 - Installation</t>
  </si>
  <si>
    <t>8:15:#04 Primer Oven8:15:#04 Primer Oven8:23:Connecting compensators8:23:Connecting compensators8:5:465375:5:465378:16:5 - Installation8:16:5 - Installation</t>
  </si>
  <si>
    <t>8:15:#04 Primer Oven8:15:#04 Primer Oven8:42:Ducting package recirculation cooling zone8:42:Ducting package recirculation cooling zone8:5:465495:5:465498:16:5 - Installation8:16:5 - Installation</t>
  </si>
  <si>
    <t>8:15:#04 Primer Oven8:15:#04 Primer Oven8:38:Ducting package supply/exhaust coolbox8:38:Ducting package supply/exhaust coolbox8:5:465495:5:465498:16:5 - Installation8:16:5 - Installation</t>
  </si>
  <si>
    <t>8:15:#04 Primer Oven8:15:#04 Primer Oven8:42:Ducting package recirculation heater boxes8:42:Ducting package recirculation heater boxes8:5:465495:5:465498:16:5 - Installation8:16:5 - Installation</t>
  </si>
  <si>
    <t>8:15:#04 Primer Oven8:15:#04 Primer Oven8:43:Ducting package exhaust flue gas Heater Box8:43:Ducting package exhaust flue gas Heater Box8:5:465495:5:465498:16:5 - Installation8:16:5 - Installation</t>
  </si>
  <si>
    <t>8:15:#04 Primer Oven8:15:#04 Primer Oven8:44:Ducting package exhaust clean gas above roof8:44:Ducting package exhaust clean gas above roof8:5:465495:5:465498:16:5 - Installation8:16:5 - Installation</t>
  </si>
  <si>
    <t>8:15:#04 Primer Oven8:15:#04 Primer Oven8:32:Ducting package exhaust air oven8:32:Ducting package exhaust air oven8:5:465495:5:465498:16:5 - Installation8:16:5 - Installation</t>
  </si>
  <si>
    <t>8:15:#04 Primer Oven8:15:#04 Primer Oven8:18:Insulation package8:18:Insulation package8:5:465735:5:465738:16:5 - Installation8:16:5 - Installation</t>
  </si>
  <si>
    <t>8:15:#04 Primer Oven8:15:#04 Primer Oven8:14:Safety devices8:14:Safety devices8:5:466045:5:466048:16:5 - Installation8:16:5 - Installation</t>
  </si>
  <si>
    <t>8:15:#04 Primer Oven8:15:#04 Primer Oven8:33:Ready for Control cabinets set up8:33:Ready for Control cabinets set up8:5:465745:5:465748:16:5 - Installation8:16:5 - Installation</t>
  </si>
  <si>
    <t>8:15:#04 Primer Oven8:15:#04 Primer Oven8:13:Deep cleaning8:13:Deep cleaning8:5:466175:5:466178:16:5 - Installation8:16:5 - Installation</t>
  </si>
  <si>
    <t>8:15:#04 Primer Oven8:15:#04 Primer Oven8:6:Filter8:6:Filter8:5:466155:5:466158:16:5 - Installation8:16:5 - Installation</t>
  </si>
  <si>
    <t>8:15:#04 Primer Oven8:15:#04 Primer Oven8:11:Brush clean8:11:Brush clean8:5:466105:5:466108:16:5 - Installation8:16:5 - Installation</t>
  </si>
  <si>
    <t>8:15:#04 Primer Oven8:15:#04 Primer Oven8:16:Utilities supply8:16:Utilities supply8:5:466165:5:466168:16:5 - Installation8:16:5 - Installation</t>
  </si>
  <si>
    <t>8:15:#04 Primer Oven8:15:#04 Primer Oven8:35:Risk assessment&amp; checklist reviewed8:35:Risk assessment&amp; checklist reviewed8:5:466095:5:466098:16:5 - Installation8:16:5 - Installation</t>
  </si>
  <si>
    <t>8:15:#04 Primer Oven8:15:#04 Primer Oven8:23:Ready for commissioning8:23:Ready for commissioning8:5:466165:5:466168:16:5 - Installation8:16:5 - Installation</t>
  </si>
  <si>
    <t>8:18:#20 CS Primer Oven8:18:#20 CS Primer Oven8:16:5 - Installation8:16:5 - Installation8:5:465745:5:465748:16:5 - Installation8:16:5 - Installation</t>
  </si>
  <si>
    <t>8:18:#20 CS Primer Oven8:18:#20 CS Primer Oven8:23:Control cabinets set up8:23:Control cabinets set up8:5:465745:5:465748:16:5 - Installation8:16:5 - Installation</t>
  </si>
  <si>
    <t>8:18:#20 CS Primer Oven8:18:#20 CS Primer Oven8:21:Installation of Panel8:21:Installation of Panel8:5:465755:5:465758:16:5 - Installation8:16:5 - Installation</t>
  </si>
  <si>
    <t>8:18:#20 CS Primer Oven8:18:#20 CS Primer Oven8:11:Cable Trays8:11:Cable Trays8:5:465775:5:465778:16:5 - Installation8:16:5 - Installation</t>
  </si>
  <si>
    <t>8:18:#20 CS Primer Oven8:18:#20 CS Primer Oven8:13:Cable Pulling8:13:Cable Pulling8:5:465985:5:465988:16:5 - Installation8:16:5 - Installation</t>
  </si>
  <si>
    <t>8:18:#20 CS Primer Oven8:18:#20 CS Primer Oven8:17:Cable Connections8:17:Cable Connections8:5:466045:5:466048:16:5 - Installation8:16:5 - Installation</t>
  </si>
  <si>
    <t>8:18:#20 CS Primer Oven8:18:#20 CS Primer Oven8:20:Profinet measurement8:20:Profinet measurement8:5:466125:5:466128:16:5 - Installation8:16:5 - Installation</t>
  </si>
  <si>
    <t>8:18:#20 CS Primer Oven8:18:#20 CS Primer Oven8:22:Potential equalization8:22:Potential equalization8:5:466125:5:466128:16:5 - Installation8:16:5 - Installation</t>
  </si>
  <si>
    <t>8:18:#20 CS Primer Oven8:18:#20 CS Primer Oven8:25:Cable labeling+Tray cover8:25:Cable labeling+Tray cover8:5:466465:5:466468:16:5 - Installation8:16:5 - Installation</t>
  </si>
  <si>
    <t>8:18:#20 CS Primer Oven8:18:#20 CS Primer Oven8:33:Power supply for control cabinets8:33:Power supply for control cabinets8:5:466045:5:466048:16:5 - Installation8:16:5 - Installation</t>
  </si>
  <si>
    <t>8:18:#20 CS Primer Oven8:18:#20 CS Primer Oven8:22:Feed in control panels8:22:Feed in control panels8:5:466195:5:466198:16:5 - Installation8:16:5 - Installation</t>
  </si>
  <si>
    <t>8:11:#04 EC Oven8:11:#04 EC Oven8:16:5 - Installation8:16:5 - Installation8:5:464915:5:464918:16:5 - Installation8:16:5 - Installation</t>
  </si>
  <si>
    <t>8:11:#04 EC Oven8:11:#04 EC Oven8:9:Axis line8:9:Axis line8:5:464915:5:464918:16:5 - Installation8:16:5 - Installation</t>
  </si>
  <si>
    <t>8:11:#04 EC Oven8:11:#04 EC Oven8:26:Heater Box heat-up zone *28:26:Heater Box heat-up zone *28:5:465245:5:465248:16:5 - Installation8:16:5 - Installation</t>
  </si>
  <si>
    <t>8:11:#04 EC Oven8:11:#04 EC Oven8:20:Heater Box hold zone8:20:Heater Box hold zone8:5:465265:5:465268:16:5 - Installation8:16:5 - Installation</t>
  </si>
  <si>
    <t>8:11:#04 EC Oven8:11:#04 EC Oven8:21:Maintenance equipment8:21:Maintenance equipment8:5:465845:5:465848:16:5 - Installation8:16:5 - Installation</t>
  </si>
  <si>
    <t>8:11:#04 EC Oven8:11:#04 EC Oven8:8:Labeling8:8:Labeling8:5:465905:5:465908:16:5 - Installation8:16:5 - Installation</t>
  </si>
  <si>
    <t>8:11:#04 EC Oven8:11:#04 EC Oven8:23:Loose, fixed connection8:23:Loose, fixed connection8:5:465155:5:465158:16:5 - Installation8:16:5 - Installation</t>
  </si>
  <si>
    <t>8:11:#04 EC Oven8:11:#04 EC Oven8:24:Floor rails installation8:24:Floor rails installation8:5:465065:5:465068:16:5 - Installation8:16:5 - Installation</t>
  </si>
  <si>
    <t>8:11:#04 EC Oven8:11:#04 EC Oven8:4:Fans8:4:Fans8:5:465215:5:465218:16:5 - Installation8:16:5 - Installation</t>
  </si>
  <si>
    <t>8:11:#04 EC Oven8:11:#04 EC Oven8:25:Cooling modules *2modules8:25:Cooling modules *2modules8:5:465115:5:465118:16:5 - Installation8:16:5 - Installation</t>
  </si>
  <si>
    <t>8:11:#04 EC Oven8:11:#04 EC Oven8:7:CoolBox8:7:CoolBox8:5:465225:5:465228:16:5 - Installation8:16:5 - Installation</t>
  </si>
  <si>
    <t>8:11:#04 EC Oven8:11:#04 EC Oven8:24:Piping package utilities8:24:Piping package utilities8:5:465285:5:465288:16:5 - Installation8:16:5 - Installation</t>
  </si>
  <si>
    <t>8:11:#04 EC Oven8:11:#04 EC Oven8:17:Internal conveyor8:17:Internal conveyor8:5:465375:5:465378:16:5 - Installation8:16:5 - Installation</t>
  </si>
  <si>
    <t>8:11:#04 EC Oven8:11:#04 EC Oven8:13:I&amp;C equipment8:13:I&amp;C equipment8:5:465485:5:465488:16:5 - Installation8:16:5 - Installation</t>
  </si>
  <si>
    <t>8:11:#04 EC Oven8:11:#04 EC Oven8:22:Regulation train HW/CW8:22:Regulation train HW/CW8:5:465245:5:465248:16:5 - Installation8:16:5 - Installation</t>
  </si>
  <si>
    <t>8:11:#04 EC Oven8:11:#04 EC Oven8:35:Steelwork CP2.10 (Expect Axis14-16)8:35:Steelwork CP2.10 (Expect Axis14-16)8:5:464925:5:464928:16:5 - Installation8:16:5 - Installation</t>
  </si>
  <si>
    <t>8:11:#04 EC Oven8:11:#04 EC Oven8:31:Combustion chamber incl. Burner8:31:Combustion chamber incl. Burner8:5:465215:5:465218:16:5 - Installation8:16:5 - Installation</t>
  </si>
  <si>
    <t>8:11:#04 EC Oven8:11:#04 EC Oven8:19:Roller shutter door8:19:Roller shutter door8:5:465555:5:465558:16:5 - Installation8:16:5 - Installation</t>
  </si>
  <si>
    <t>8:11:#04 EC Oven8:11:#04 EC Oven8:26:Oven module air seal entry8:26:Oven module air seal entry8:5:465215:5:465218:16:5 - Installation8:16:5 - Installation</t>
  </si>
  <si>
    <t>8:11:#04 EC Oven8:11:#04 EC Oven8:35:Oven modules heat-up zone *6modules8:35:Oven modules heat-up zone *6modules8:5:465185:5:465188:16:5 - Installation8:16:5 - Installation</t>
  </si>
  <si>
    <t>8:11:#04 EC Oven8:11:#04 EC Oven8:32:Oven modules hold zone *7modules8:32:Oven modules hold zone *7modules8:5:465145:5:465148:16:5 - Installation8:16:5 - Installation</t>
  </si>
  <si>
    <t>8:11:#04 EC Oven8:11:#04 EC Oven8:25:Oven module air seal exit8:25:Oven module air seal exit8:5:465135:5:465138:16:5 - Installation8:16:5 - Installation</t>
  </si>
  <si>
    <t>8:11:#04 EC Oven8:11:#04 EC Oven8:23:Connecting compensators8:23:Connecting compensators8:5:465175:5:465178:16:5 - Installation8:16:5 - Installation</t>
  </si>
  <si>
    <t>8:11:#04 EC Oven8:11:#04 EC Oven8:42:Ducting package recirculation cooling zone8:42:Ducting package recirculation cooling zone8:5:465285:5:465288:16:5 - Installation8:16:5 - Installation</t>
  </si>
  <si>
    <t>8:11:#04 EC Oven8:11:#04 EC Oven8:38:Ducting package supply/exhaust coolbox8:38:Ducting package supply/exhaust coolbox8:5:465285:5:465288:16:5 - Installation8:16:5 - Installation</t>
  </si>
  <si>
    <t>8:11:#04 EC Oven8:11:#04 EC Oven8:42:Ducting package recirculation heater boxes8:42:Ducting package recirculation heater boxes8:5:465285:5:465288:16:5 - Installation8:16:5 - Installation</t>
  </si>
  <si>
    <t>8:11:#04 EC Oven8:11:#04 EC Oven8:43:Ducting package exhaust flue gas Heater Box8:43:Ducting package exhaust flue gas Heater Box8:5:465285:5:465288:16:5 - Installation8:16:5 - Installation</t>
  </si>
  <si>
    <t>8:11:#04 EC Oven8:11:#04 EC Oven8:44:Ducting package exhaust clean gas above roof8:44:Ducting package exhaust clean gas above roof8:5:465285:5:465288:16:5 - Installation8:16:5 - Installation</t>
  </si>
  <si>
    <t>8:11:#04 EC Oven8:11:#04 EC Oven8:32:Ducting package exhaust air oven8:32:Ducting package exhaust air oven8:5:465285:5:465288:16:5 - Installation8:16:5 - Installation</t>
  </si>
  <si>
    <t>8:11:#04 EC Oven8:11:#04 EC Oven8:18:Insulation package8:18:Insulation package8:5:465565:5:465568:16:5 - Installation8:16:5 - Installation</t>
  </si>
  <si>
    <t>8:11:#04 EC Oven8:11:#04 EC Oven8:14:Safety devices8:14:Safety devices8:5:465845:5:465848:16:5 - Installation8:16:5 - Installation</t>
  </si>
  <si>
    <t>8:11:#04 EC Oven8:11:#04 EC Oven8:33:Ready for Control cabinets set up8:33:Ready for Control cabinets set up8:5:465555:5:465558:16:5 - Installation8:16:5 - Installation</t>
  </si>
  <si>
    <t>8:11:#04 EC Oven8:11:#04 EC Oven8:13:Deep cleaning8:13:Deep cleaning8:5:465985:5:465988:16:5 - Installation8:16:5 - Installation</t>
  </si>
  <si>
    <t>8:11:#04 EC Oven8:11:#04 EC Oven8:6:Filter8:6:Filter8:5:465965:5:465968:16:5 - Installation8:16:5 - Installation</t>
  </si>
  <si>
    <t>8:11:#04 EC Oven8:11:#04 EC Oven8:11:Brush clean8:11:Brush clean8:5:465915:5:465918:16:5 - Installation8:16:5 - Installation</t>
  </si>
  <si>
    <t>8:11:#04 EC Oven8:11:#04 EC Oven8:16:Utilities supply8:16:Utilities supply8:5:465975:5:465978:16:5 - Installation8:16:5 - Installation</t>
  </si>
  <si>
    <t>8:11:#04 EC Oven8:11:#04 EC Oven8:35:Risk assessment&amp; checklist reviewed8:35:Risk assessment&amp; checklist reviewed8:5:465905:5:465908:16:5 - Installation8:16:5 - Installation</t>
  </si>
  <si>
    <t>8:11:#04 EC Oven8:11:#04 EC Oven8:23:Ready for commissioning8:23:Ready for commissioning8:5:465975:5:465978:16:5 - Installation8:16:5 - Installation</t>
  </si>
  <si>
    <t>8:14:#20 CS EC Oven8:14:#20 CS EC Oven8:16:5 - Installation8:16:5 - Installation8:5:465555:5:465558:16:5 - Installation8:16:5 - Installation</t>
  </si>
  <si>
    <t>8:14:#20 CS EC Oven8:14:#20 CS EC Oven8:23:Control cabinets set up8:23:Control cabinets set up8:5:465555:5:465558:16:5 - Installation8:16:5 - Installation</t>
  </si>
  <si>
    <t>8:14:#20 CS EC Oven8:14:#20 CS EC Oven8:21:Installation of Panel8:21:Installation of Panel8:5:465565:5:465568:16:5 - Installation8:16:5 - Installation</t>
  </si>
  <si>
    <t>8:14:#20 CS EC Oven8:14:#20 CS EC Oven8:11:Cable Trays8:11:Cable Trays8:5:465605:5:465608:16:5 - Installation8:16:5 - Installation</t>
  </si>
  <si>
    <t>8:14:#20 CS EC Oven8:14:#20 CS EC Oven8:13:Cable Pulling8:13:Cable Pulling8:5:465805:5:465808:16:5 - Installation8:16:5 - Installation</t>
  </si>
  <si>
    <t>8:14:#20 CS EC Oven8:14:#20 CS EC Oven8:17:Cable Connections8:17:Cable Connections8:5:465855:5:465858:16:5 - Installation8:16:5 - Installation</t>
  </si>
  <si>
    <t>8:14:#20 CS EC Oven8:14:#20 CS EC Oven8:20:Profinet measurement8:20:Profinet measurement8:5:465965:5:465968:16:5 - Installation8:16:5 - Installation</t>
  </si>
  <si>
    <t>8:14:#20 CS EC Oven8:14:#20 CS EC Oven8:22:Potential equalization8:22:Potential equalization8:5:465965:5:465968:16:5 - Installation8:16:5 - Installation</t>
  </si>
  <si>
    <t>8:14:#20 CS EC Oven8:14:#20 CS EC Oven8:25:Cable labeling+Tray cover8:25:Cable labeling+Tray cover8:5:466465:5:466468:16:5 - Installation8:16:5 - Installation</t>
  </si>
  <si>
    <t>8:14:#20 CS EC Oven8:14:#20 CS EC Oven8:33:Power supply for control cabinets8:33:Power supply for control cabinets8:5:465855:5:465858:16:5 - Installation8:16:5 - Installation</t>
  </si>
  <si>
    <t>8:14:#20 CS EC Oven8:14:#20 CS EC Oven8:22:Feed in control panels8:22:Feed in control panels8:5:466005:5:466008:16:5 - Installation8:16:5 - Installation</t>
  </si>
  <si>
    <t>8:12:#01 TC Booth8:12:#01 TC Booth8:16:5 - Installation8:16:5 - Installation8:5:465075:5:465078:16:5 - Installation8:16:5 - Installation</t>
  </si>
  <si>
    <t>8:12:#01 TC Booth8:12:#01 TC Booth8:9:Axis line8:9:Axis line8:5:465075:5:465078:16:5 - Installation8:16:5 - Installation</t>
  </si>
  <si>
    <t>8:12:#01 TC Booth8:12:#01 TC Booth8:4:Fans8:4:Fans8:5:465895:5:465898:16:5 - Installation8:16:5 - Installation</t>
  </si>
  <si>
    <t>8:12:#01 TC Booth8:12:#01 TC Booth8:3:ITM8:3:ITM8:5:465385:5:465388:16:5 - Installation8:16:5 - Installation</t>
  </si>
  <si>
    <t>8:12:#01 TC Booth8:12:#01 TC Booth8:35:External cover plates ITM / Walkway8:35:External cover plates ITM / Walkway8:5:465325:5:465328:16:5 - Installation8:16:5 - Installation</t>
  </si>
  <si>
    <t>8:12:#01 TC Booth8:12:#01 TC Booth8:8:Gratings8:8:Gratings8:5:465345:5:465348:16:5 - Installation8:16:5 - Installation</t>
  </si>
  <si>
    <t>8:12:#01 TC Booth8:12:#01 TC Booth8:10:Floor pans8:10:Floor pans8:5:465435:5:465438:16:5 - Installation8:16:5 - Installation</t>
  </si>
  <si>
    <t>8:12:#01 TC Booth8:12:#01 TC Booth8:6:Plenum8:6:Plenum8:5:465465:5:465468:16:5 - Installation8:16:5 - Installation</t>
  </si>
  <si>
    <t>8:12:#01 TC Booth8:12:#01 TC Booth8:14:Filter ceiling8:14:Filter ceiling8:5:465465:5:465468:16:5 - Installation8:16:5 - Installation</t>
  </si>
  <si>
    <t>8:12:#01 TC Booth8:12:#01 TC Booth8:11:Booth walls8:11:Booth walls8:5:465455:5:465458:16:5 - Installation8:16:5 - Installation</t>
  </si>
  <si>
    <t>8:12:#01 TC Booth8:12:#01 TC Booth8:16:Tower for robots8:16:Tower for robots8:5:465735:5:465738:16:5 - Installation8:16:5 - Installation</t>
  </si>
  <si>
    <t>8:12:#01 TC Booth8:12:#01 TC Booth8:16:Rail house frame8:16:Rail house frame8:5:465485:5:465488:16:5 - Installation8:16:5 - Installation</t>
  </si>
  <si>
    <t>8:12:#01 TC Booth8:12:#01 TC Booth8:22:Rail house ventilation8:22:Rail house ventilation8:5:465505:5:465508:16:5 - Installation8:16:5 - Installation</t>
  </si>
  <si>
    <t>8:12:#01 TC Booth8:12:#01 TC Booth8:15:Equipment booth8:15:Equipment booth8:5:465825:5:465828:16:5 - Installation8:16:5 - Installation</t>
  </si>
  <si>
    <t>8:12:#01 TC Booth8:12:#01 TC Booth8:8:Lighting8:8:Lighting8:5:466025:5:466028:16:5 - Installation8:16:5 - Installation</t>
  </si>
  <si>
    <t>8:12:#01 TC Booth8:12:#01 TC Booth8:15:Fire protection8:15:Fire protection8:5:466155:5:466158:16:5 - Installation8:16:5 - Installation</t>
  </si>
  <si>
    <t>8:12:#01 TC Booth8:12:#01 TC Booth8:21:Application equipment8:21:Application equipment8:5:465875:5:465878:16:5 - Installation8:16:5 - Installation</t>
  </si>
  <si>
    <t>8:12:#01 TC Booth8:12:#01 TC Booth8:19:Paint supply piping8:19:Paint supply piping8:5:465875:5:465878:16:5 - Installation8:16:5 - Installation</t>
  </si>
  <si>
    <t>8:12:#01 TC Booth8:12:#01 TC Booth8:17:Internal conveyor8:17:Internal conveyor8:5:465615:5:465618:16:5 - Installation8:16:5 - Installation</t>
  </si>
  <si>
    <t>8:12:#01 TC Booth8:12:#01 TC Booth8:18:Conveyor flash off8:18:Conveyor flash off8:5:465725:5:465728:16:5 - Installation8:16:5 - Installation</t>
  </si>
  <si>
    <t>8:12:#01 TC Booth8:12:#01 TC Booth8:13:I&amp;C equipment8:13:I&amp;C equipment8:5:465945:5:465948:16:5 - Installation8:16:5 - Installation</t>
  </si>
  <si>
    <t>8:12:#01 TC Booth8:12:#01 TC Booth8:33:Steelwork Scrubber walkway CP3.108:33:Steelwork Scrubber walkway CP3.108:5:465085:5:465088:16:5 - Installation8:16:5 - Installation</t>
  </si>
  <si>
    <t>8:12:#01 TC Booth8:12:#01 TC Booth8:25:Steelwork Scrubber CP3.108:25:Steelwork Scrubber CP3.108:5:465085:5:465088:16:5 - Installation8:16:5 - Installation</t>
  </si>
  <si>
    <t>8:12:#01 TC Booth8:12:#01 TC Booth8:22:Platform plenum CP3.208:22:Platform plenum CP3.208:5:465725:5:465728:16:5 - Installation8:16:5 - Installation</t>
  </si>
  <si>
    <t>8:12:#01 TC Booth8:12:#01 TC Booth8:15:Dust protection8:15:Dust protection8:5:465815:5:465818:16:5 - Installation8:16:5 - Installation</t>
  </si>
  <si>
    <t>8:12:#01 TC Booth8:12:#01 TC Booth8:9:Cleanroom8:9:Cleanroom8:5:465855:5:465858:16:5 - Installation8:16:5 - Installation</t>
  </si>
  <si>
    <t>8:12:#01 TC Booth8:12:#01 TC Booth8:17:Personnel airlock8:17:Personnel airlock8:5:466015:5:466018:16:5 - Installation8:16:5 - Installation</t>
  </si>
  <si>
    <t>8:12:#01 TC Booth8:12:#01 TC Booth8:23:Piping package DI water8:23:Piping package DI water8:5:465685:5:465688:16:5 - Installation8:16:5 - Installation</t>
  </si>
  <si>
    <t>8:12:#01 TC Booth8:12:#01 TC Booth8:35:Piping package waste water disposal8:35:Piping package waste water disposal8:5:465845:5:465848:16:5 - Installation8:16:5 - Installation</t>
  </si>
  <si>
    <t>8:12:#01 TC Booth8:12:#01 TC Booth8:24:Piping package utilities8:24:Piping package utilities8:5:465685:5:465688:16:5 - Installation8:16:5 - Installation</t>
  </si>
  <si>
    <t>8:12:#01 TC Booth8:12:#01 TC Booth8:6:Filter8:6:Filter8:5:466415:5:466418:16:5 - Installation8:16:5 - Installation</t>
  </si>
  <si>
    <t>8:12:#01 TC Booth8:12:#01 TC Booth8:19:Roller shutter door8:19:Roller shutter door8:5:466025:5:466028:16:5 - Installation8:16:5 - Installation</t>
  </si>
  <si>
    <t>8:12:#01 TC Booth8:12:#01 TC Booth8:37:Ducting package supply air ASU-Plenum8:37:Ducting package supply air ASU-Plenum8:5:465605:5:465608:16:5 - Installation8:16:5 - Installation</t>
  </si>
  <si>
    <t>8:12:#01 TC Booth8:12:#01 TC Booth8:27:Ducting package exhaust air8:27:Ducting package exhaust air8:5:465605:5:465608:16:5 - Installation8:16:5 - Installation</t>
  </si>
  <si>
    <t>8:12:#01 TC Booth8:12:#01 TC Booth8:33:Ducting package recirculation air8:33:Ducting package recirculation air8:5:465605:5:465608:16:5 - Installation8:16:5 - Installation</t>
  </si>
  <si>
    <t>8:12:#01 TC Booth8:12:#01 TC Booth8:18:Insulation package8:18:Insulation package8:5:465905:5:465908:16:5 - Installation8:16:5 - Installation</t>
  </si>
  <si>
    <t>8:12:#01 TC Booth8:12:#01 TC Booth8:8:Labeling8:8:Labeling8:5:466295:5:466298:16:5 - Installation8:16:5 - Installation</t>
  </si>
  <si>
    <t>8:12:#01 TC Booth8:12:#01 TC Booth8:33:Ready for Control cabinets set up8:33:Ready for Control cabinets set up8:5:465945:5:465948:16:5 - Installation8:16:5 - Installation</t>
  </si>
  <si>
    <t>8:12:#01 TC Booth8:12:#01 TC Booth8:13:Deep cleaning8:13:Deep cleaning8:5:466425:5:466428:16:5 - Installation8:16:5 - Installation</t>
  </si>
  <si>
    <t>8:12:#01 TC Booth8:12:#01 TC Booth8:11:Brush clean8:11:Brush clean8:5:466365:5:466368:16:5 - Installation8:16:5 - Installation</t>
  </si>
  <si>
    <t>8:12:#01 TC Booth8:12:#01 TC Booth8:16:Utilities supply8:16:Utilities supply8:5:466415:5:466418:16:5 - Installation8:16:5 - Installation</t>
  </si>
  <si>
    <t>8:12:#01 TC Booth8:12:#01 TC Booth8:35:Risk assessment&amp; checklist reviewed8:35:Risk assessment&amp; checklist reviewed8:5:466365:5:466368:16:5 - Installation8:16:5 - Installation</t>
  </si>
  <si>
    <t>8:12:#01 TC Booth8:12:#01 TC Booth8:23:Ready for commissioning8:23:Ready for commissioning8:5:466415:5:466418:16:5 - Installation8:16:5 - Installation</t>
  </si>
  <si>
    <t>8:16:#01 Primer Booth8:16:#01 Primer Booth8:16:5 - Installation8:16:5 - Installation8:5:464915:5:464918:16:5 - Installation8:16:5 - Installation</t>
  </si>
  <si>
    <t>8:16:#01 Primer Booth8:16:#01 Primer Booth8:9:Axis line8:9:Axis line8:5:464915:5:464918:16:5 - Installation8:16:5 - Installation</t>
  </si>
  <si>
    <t>8:16:#01 Primer Booth8:16:#01 Primer Booth8:4:Fans8:4:Fans8:5:465425:5:465428:16:5 - Installation8:16:5 - Installation</t>
  </si>
  <si>
    <t>8:16:#01 Primer Booth8:16:#01 Primer Booth8:3:ITM8:3:ITM8:5:465155:5:465158:16:5 - Installation8:16:5 - Installation</t>
  </si>
  <si>
    <t>8:16:#01 Primer Booth8:16:#01 Primer Booth8:35:External cover plates ITM / Walkway8:35:External cover plates ITM / Walkway8:5:465095:5:465098:16:5 - Installation8:16:5 - Installation</t>
  </si>
  <si>
    <t>8:16:#01 Primer Booth8:16:#01 Primer Booth8:8:Gratings8:8:Gratings8:5:465125:5:465128:16:5 - Installation8:16:5 - Installation</t>
  </si>
  <si>
    <t>8:16:#01 Primer Booth8:16:#01 Primer Booth8:10:Floor pans8:10:Floor pans8:5:465205:5:465208:16:5 - Installation8:16:5 - Installation</t>
  </si>
  <si>
    <t>8:16:#01 Primer Booth8:16:#01 Primer Booth8:6:Plenum8:6:Plenum8:5:465255:5:465258:16:5 - Installation8:16:5 - Installation</t>
  </si>
  <si>
    <t>8:16:#01 Primer Booth8:16:#01 Primer Booth8:14:Filter ceiling8:14:Filter ceiling8:5:465255:5:465258:16:5 - Installation8:16:5 - Installation</t>
  </si>
  <si>
    <t>8:16:#01 Primer Booth8:16:#01 Primer Booth8:11:Booth walls8:11:Booth walls8:5:465245:5:465248:16:5 - Installation8:16:5 - Installation</t>
  </si>
  <si>
    <t>8:16:#01 Primer Booth8:16:#01 Primer Booth8:16:Tower for robots8:16:Tower for robots8:5:465535:5:465538:16:5 - Installation8:16:5 - Installation</t>
  </si>
  <si>
    <t>8:16:#01 Primer Booth8:16:#01 Primer Booth8:16:Rail house frame8:16:Rail house frame8:5:465265:5:465268:16:5 - Installation8:16:5 - Installation</t>
  </si>
  <si>
    <t>8:16:#01 Primer Booth8:16:#01 Primer Booth8:22:Rail house ventilation8:22:Rail house ventilation8:5:465285:5:465288:16:5 - Installation8:16:5 - Installation</t>
  </si>
  <si>
    <t>8:16:#01 Primer Booth8:16:#01 Primer Booth8:15:Equipment booth8:15:Equipment booth8:5:465305:5:465308:16:5 - Installation8:16:5 - Installation</t>
  </si>
  <si>
    <t>8:16:#01 Primer Booth8:16:#01 Primer Booth8:8:Lighting8:8:Lighting8:5:465955:5:465958:16:5 - Installation8:16:5 - Installation</t>
  </si>
  <si>
    <t>8:16:#01 Primer Booth8:16:#01 Primer Booth8:15:Fire protection8:15:Fire protection8:5:465885:5:465888:16:5 - Installation8:16:5 - Installation</t>
  </si>
  <si>
    <t>8:16:#01 Primer Booth8:16:#01 Primer Booth8:21:Application equipment8:21:Application equipment8:5:465605:5:465608:16:5 - Installation8:16:5 - Installation</t>
  </si>
  <si>
    <t>8:16:#01 Primer Booth8:16:#01 Primer Booth8:19:Paint supply piping8:19:Paint supply piping8:5:465735:5:465738:16:5 - Installation8:16:5 - Installation</t>
  </si>
  <si>
    <t>8:16:#01 Primer Booth8:16:#01 Primer Booth8:17:Internal conveyor8:17:Internal conveyor8:5:465325:5:465328:16:5 - Installation8:16:5 - Installation</t>
  </si>
  <si>
    <t>8:16:#01 Primer Booth8:16:#01 Primer Booth8:18:Conveyor flash off8:18:Conveyor flash off8:5:465535:5:465538:16:5 - Installation8:16:5 - Installation</t>
  </si>
  <si>
    <t>8:16:#01 Primer Booth8:16:#01 Primer Booth8:13:I&amp;C equipment8:13:I&amp;C equipment8:5:465665:5:465668:16:5 - Installation8:16:5 - Installation</t>
  </si>
  <si>
    <t>8:16:#01 Primer Booth8:16:#01 Primer Booth8:33:Steelwork Scrubber walkway CP3.108:33:Steelwork Scrubber walkway CP3.108:5:464925:5:464928:16:5 - Installation8:16:5 - Installation</t>
  </si>
  <si>
    <t>8:16:#01 Primer Booth8:16:#01 Primer Booth8:25:Steelwork Scrubber CP3.108:25:Steelwork Scrubber CP3.108:5:464925:5:464928:16:5 - Installation8:16:5 - Installation</t>
  </si>
  <si>
    <t>8:16:#01 Primer Booth8:16:#01 Primer Booth8:22:Platform plenum CP3.208:22:Platform plenum CP3.208:5:465725:5:465728:16:5 - Installation8:16:5 - Installation</t>
  </si>
  <si>
    <t>8:16:#01 Primer Booth8:16:#01 Primer Booth8:15:Dust protection8:15:Dust protection8:5:465615:5:465618:16:5 - Installation8:16:5 - Installation</t>
  </si>
  <si>
    <t>8:16:#01 Primer Booth8:16:#01 Primer Booth8:9:Cleanroom8:9:Cleanroom8:5:465805:5:465808:16:5 - Installation8:16:5 - Installation</t>
  </si>
  <si>
    <t>8:16:#01 Primer Booth8:16:#01 Primer Booth8:17:Personnel airlock8:17:Personnel airlock8:5:465895:5:465898:16:5 - Installation8:16:5 - Installation</t>
  </si>
  <si>
    <t>8:16:#01 Primer Booth8:16:#01 Primer Booth8:23:Piping package DI water8:23:Piping package DI water8:5:465355:5:465358:16:5 - Installation8:16:5 - Installation</t>
  </si>
  <si>
    <t>8:16:#01 Primer Booth8:16:#01 Primer Booth8:35:Piping package waste water disposal8:35:Piping package waste water disposal8:5:465535:5:465538:16:5 - Installation8:16:5 - Installation</t>
  </si>
  <si>
    <t>8:16:#01 Primer Booth8:16:#01 Primer Booth8:24:Piping package utilities8:24:Piping package utilities8:5:465355:5:465358:16:5 - Installation8:16:5 - Installation</t>
  </si>
  <si>
    <t>8:16:#01 Primer Booth8:16:#01 Primer Booth8:6:Filter8:6:Filter8:5:466155:5:466158:16:5 - Installation8:16:5 - Installation</t>
  </si>
  <si>
    <t>8:16:#01 Primer Booth8:16:#01 Primer Booth8:19:Roller shutter door8:19:Roller shutter door8:5:465875:5:465878:16:5 - Installation8:16:5 - Installation</t>
  </si>
  <si>
    <t>8:16:#01 Primer Booth8:16:#01 Primer Booth8:37:Ducting package supply air ASU-Plenum8:37:Ducting package supply air ASU-Plenum8:5:465325:5:465328:16:5 - Installation8:16:5 - Installation</t>
  </si>
  <si>
    <t>8:16:#01 Primer Booth8:16:#01 Primer Booth8:27:Ducting package exhaust air8:27:Ducting package exhaust air8:5:465325:5:465328:16:5 - Installation8:16:5 - Installation</t>
  </si>
  <si>
    <t>8:16:#01 Primer Booth8:16:#01 Primer Booth8:33:Ducting package recirculation air8:33:Ducting package recirculation air8:5:465325:5:465328:16:5 - Installation8:16:5 - Installation</t>
  </si>
  <si>
    <t>8:16:#01 Primer Booth8:16:#01 Primer Booth8:18:Insulation package8:18:Insulation package8:5:465675:5:465678:16:5 - Installation8:16:5 - Installation</t>
  </si>
  <si>
    <t>8:16:#01 Primer Booth8:16:#01 Primer Booth8:8:Labeling8:8:Labeling8:5:466015:5:466018:16:5 - Installation8:16:5 - Installation</t>
  </si>
  <si>
    <t>8:16:#01 Primer Booth8:16:#01 Primer Booth8:33:Ready for Control cabinets set up8:33:Ready for Control cabinets set up8:5:465735:5:465738:16:5 - Installation8:16:5 - Installation</t>
  </si>
  <si>
    <t>8:16:#01 Primer Booth8:16:#01 Primer Booth8:13:Deep cleaning8:13:Deep cleaning8:5:466165:5:466168:16:5 - Installation8:16:5 - Installation</t>
  </si>
  <si>
    <t>8:16:#01 Primer Booth8:16:#01 Primer Booth8:11:Brush clean8:11:Brush clean8:5:466095:5:466098:16:5 - Installation8:16:5 - Installation</t>
  </si>
  <si>
    <t>8:16:#01 Primer Booth8:16:#01 Primer Booth8:16:Utilities supply8:16:Utilities supply8:5:466155:5:466158:16:5 - Installation8:16:5 - Installation</t>
  </si>
  <si>
    <t>8:16:#01 Primer Booth8:16:#01 Primer Booth8:35:Risk assessment&amp; checklist reviewed8:35:Risk assessment&amp; checklist reviewed8:5:466085:5:466088:16:5 - Installation8:16:5 - Installation</t>
  </si>
  <si>
    <t>8:16:#01 Primer Booth8:16:#01 Primer Booth8:23:Ready for commissioning8:23:Ready for commissioning8:5:466155:5:466158:16:5 - Installation8:16:5 - Installation</t>
  </si>
  <si>
    <t>8:19:#20 CS TC Booth+ASU8:19:#20 CS TC Booth+ASU8:16:5 - Installation8:16:5 - Installation8:5:465805:5:465808:16:5 - Installation8:16:5 - Installation</t>
  </si>
  <si>
    <t>8:19:#20 CS TC Booth+ASU8:19:#20 CS TC Booth+ASU8:23:Control cabinets set up8:23:Control cabinets set up8:5:465805:5:465808:16:5 - Installation8:16:5 - Installation</t>
  </si>
  <si>
    <t>8:19:#20 CS TC Booth+ASU8:19:#20 CS TC Booth+ASU8:13:Cable Pulling8:13:Cable Pulling8:5:466175:5:466178:16:5 - Installation8:16:5 - Installation</t>
  </si>
  <si>
    <t>8:19:#20 CS TC Booth+ASU8:19:#20 CS TC Booth+ASU8:21:Installation of Panel8:21:Installation of Panel8:5:465815:5:465818:16:5 - Installation8:16:5 - Installation</t>
  </si>
  <si>
    <t>8:19:#20 CS TC Booth+ASU8:19:#20 CS TC Booth+ASU8:17:Cable Connections8:17:Cable Connections8:5:466245:5:466248:16:5 - Installation8:16:5 - Installation</t>
  </si>
  <si>
    <t>8:19:#20 CS TC Booth+ASU8:19:#20 CS TC Booth+ASU8:22:Potential equalization8:22:Potential equalization8:5:466385:5:466388:16:5 - Installation8:16:5 - Installation</t>
  </si>
  <si>
    <t>8:19:#20 CS TC Booth+ASU8:19:#20 CS TC Booth+ASU8:25:Cable labeling+Tray cover8:25:Cable labeling+Tray cover8:5:466455:5:466458:16:5 - Installation8:16:5 - Installation</t>
  </si>
  <si>
    <t>8:19:#20 CS TC Booth+ASU8:19:#20 CS TC Booth+ASU8:33:Power supply for control cabinets8:33:Power supply for control cabinets8:5:466245:5:466248:16:5 - Installation8:16:5 - Installation</t>
  </si>
  <si>
    <t>8:19:#20 CS TC Booth+ASU8:19:#20 CS TC Booth+ASU8:22:Feed in control panels8:22:Feed in control panels8:5:466445:5:466448:16:5 - Installation8:16:5 - Installation</t>
  </si>
  <si>
    <t>8:19:#20 CS TC Booth+ASU8:19:#20 CS TC Booth+ASU8:11:Cable Trays8:11:Cable Trays8:5:465835:5:465838:16:5 - Installation8:16:5 - Installation</t>
  </si>
  <si>
    <t>8:19:#20 CS TC Booth+ASU8:19:#20 CS TC Booth+ASU8:20:Profinet measurement8:20:Profinet measurement8:5:466385:5:466388:16:5 - Installation8:16:5 - Installation</t>
  </si>
  <si>
    <t>8:23:#20 CS Primer Booth+ASU8:23:#20 CS Primer Booth+ASU8:16:5 - Installation8:16:5 - Installation8:5:465735:5:465738:16:5 - Installation8:16:5 - Installation</t>
  </si>
  <si>
    <t>8:23:#20 CS Primer Booth+ASU8:23:#20 CS Primer Booth+ASU8:23:Control cabinets set up8:23:Control cabinets set up8:5:465735:5:465738:16:5 - Installation8:16:5 - Installation</t>
  </si>
  <si>
    <t>8:23:#20 CS Primer Booth+ASU8:23:#20 CS Primer Booth+ASU8:13:Cable Pulling8:13:Cable Pulling8:5:465975:5:465978:16:5 - Installation8:16:5 - Installation</t>
  </si>
  <si>
    <t>8:23:#20 CS Primer Booth+ASU8:23:#20 CS Primer Booth+ASU8:21:Installation of Panel8:21:Installation of Panel8:5:465745:5:465748:16:5 - Installation8:16:5 - Installation</t>
  </si>
  <si>
    <t>8:23:#20 CS Primer Booth+ASU8:23:#20 CS Primer Booth+ASU8:17:Cable Connections8:17:Cable Connections8:5:466035:5:466038:16:5 - Installation8:16:5 - Installation</t>
  </si>
  <si>
    <t>8:23:#20 CS Primer Booth+ASU8:23:#20 CS Primer Booth+ASU8:22:Potential equalization8:22:Potential equalization8:5:466125:5:466128:16:5 - Installation8:16:5 - Installation</t>
  </si>
  <si>
    <t>8:23:#20 CS Primer Booth+ASU8:23:#20 CS Primer Booth+ASU8:25:Cable labeling+Tray cover8:25:Cable labeling+Tray cover8:5:466195:5:466198:16:5 - Installation8:16:5 - Installation</t>
  </si>
  <si>
    <t>8:23:#20 CS Primer Booth+ASU8:23:#20 CS Primer Booth+ASU8:33:Power supply for control cabinets8:33:Power supply for control cabinets8:5:466035:5:466038:16:5 - Installation8:16:5 - Installation</t>
  </si>
  <si>
    <t>8:23:#20 CS Primer Booth+ASU8:23:#20 CS Primer Booth+ASU8:22:Feed in control panels8:22:Feed in control panels8:5:466185:5:466188:16:5 - Installation8:16:5 - Installation</t>
  </si>
  <si>
    <t>8:23:#20 CS Primer Booth+ASU8:23:#20 CS Primer Booth+ASU8:11:Cable Trays8:11:Cable Trays8:5:465765:5:465768:16:5 - Installation8:16:5 - Installation</t>
  </si>
  <si>
    <t>8:23:#20 CS Primer Booth+ASU8:23:#20 CS Primer Booth+ASU8:20:Profinet measurement8:20:Profinet measurement8:5:466125:5:466128:16:5 - Installation8:16:5 - Installation</t>
  </si>
  <si>
    <t>8:16:#13 TC Booth ASU8:16:#13 TC Booth ASU8:16:5 - Installation8:16:5 - Installation8:5:465485:5:465488:16:5 - Installation8:16:5 - Installation</t>
  </si>
  <si>
    <t>8:16:#13 TC Booth ASU8:16:#13 TC Booth ASU8:9:Axis line8:9:Axis line8:5:465485:5:465488:16:5 - Installation8:16:5 - Installation</t>
  </si>
  <si>
    <t>8:16:#13 TC Booth ASU8:16:#13 TC Booth ASU8:15:Air supply unit8:15:Air supply unit8:5:465495:5:465498:16:5 - Installation8:16:5 - Installation</t>
  </si>
  <si>
    <t>8:16:#13 TC Booth ASU8:16:#13 TC Booth ASU8:34:Air supply unit inside finish work8:34:Air supply unit inside finish work8:5:465545:5:465548:16:5 - Installation8:16:5 - Installation</t>
  </si>
  <si>
    <t>8:16:#13 TC Booth ASU8:16:#13 TC Booth ASU8:16:Regulation train8:16:Regulation train8:5:465615:5:465618:16:5 - Installation8:16:5 - Installation</t>
  </si>
  <si>
    <t>8:16:#13 TC Booth ASU8:16:#13 TC Booth ASU8:14:Piping package8:14:Piping package8:5:465685:5:465688:16:5 - Installation8:16:5 - Installation</t>
  </si>
  <si>
    <t>8:16:#13 TC Booth ASU8:16:#13 TC Booth ASU8:13:I&amp;C equipment8:13:I&amp;C equipment8:5:465685:5:465688:16:5 - Installation8:16:5 - Installation</t>
  </si>
  <si>
    <t>8:16:#13 TC Booth ASU8:16:#13 TC Booth ASU8:18:Insulation package8:18:Insulation package8:5:465735:5:465738:16:5 - Installation8:16:5 - Installation</t>
  </si>
  <si>
    <t>8:16:#13 TC Booth ASU8:16:#13 TC Booth ASU8:8:Labeling8:8:Labeling8:5:465905:5:465908:16:5 - Installation8:16:5 - Installation</t>
  </si>
  <si>
    <t>8:16:#13 TC Booth ASU8:16:#13 TC Booth ASU8:16:Utilities supply8:16:Utilities supply8:5:466035:5:466038:16:5 - Installation8:16:5 - Installation</t>
  </si>
  <si>
    <t>8:16:#13 TC Booth ASU8:16:#13 TC Booth ASU8:4:Fans8:4:Fans8:5:465525:5:465528:16:5 - Installation8:16:5 - Installation</t>
  </si>
  <si>
    <t>8:16:#13 TC Booth ASU8:16:#13 TC Booth ASU8:35:Ducting package supply external air8:35:Ducting package supply external air8:5:465665:5:465668:16:5 - Installation8:16:5 - Installation</t>
  </si>
  <si>
    <t>8:16:#13 TC Booth ASU8:16:#13 TC Booth ASU8:34:Ducting package to plenum vertical8:34:Ducting package to plenum vertical8:5:465615:5:465618:16:5 - Installation8:16:5 - Installation</t>
  </si>
  <si>
    <t>8:16:#13 TC Booth ASU8:16:#13 TC Booth ASU8:36:Ducting package to plenum horizontal8:36:Ducting package to plenum horizontal8:5:465615:5:465618:16:5 - Installation8:16:5 - Installation</t>
  </si>
  <si>
    <t>8:16:#13 TC Booth ASU8:16:#13 TC Booth ASU8:45:Ducting package recirculation Preparation-ASU8:45:Ducting package recirculation Preparation-ASU8:5:465615:5:465618:16:5 - Installation8:16:5 - Installation</t>
  </si>
  <si>
    <t>8:16:#13 TC Booth ASU8:16:#13 TC Booth ASU8:15:Humidifier unit8:15:Humidifier unit8:5:465525:5:465528:16:5 - Installation8:16:5 - Installation</t>
  </si>
  <si>
    <t>8:16:#13 TC Booth ASU8:16:#13 TC Booth ASU8:33:Ready for Control cabinets set up8:33:Ready for Control cabinets set up8:5:465755:5:465758:16:5 - Installation8:16:5 - Installation</t>
  </si>
  <si>
    <t>8:16:#13 TC Booth ASU8:16:#13 TC Booth ASU8:13:Deep Cleaning8:13:Deep Cleaning8:5:466045:5:466048:16:5 - Installation8:16:5 - Installation</t>
  </si>
  <si>
    <t>8:16:#13 TC Booth ASU8:16:#13 TC Booth ASU8:6:Filter8:6:Filter8:5:466025:5:466028:16:5 - Installation8:16:5 - Installation</t>
  </si>
  <si>
    <t>8:16:#13 TC Booth ASU8:16:#13 TC Booth ASU8:11:Brush clean8:11:Brush clean8:5:465975:5:465978:16:5 - Installation8:16:5 - Installation</t>
  </si>
  <si>
    <t>8:16:#13 TC Booth ASU8:16:#13 TC Booth ASU8:35:Risk assessment&amp; checklist reviewed8:35:Risk assessment&amp; checklist reviewed8:5:465985:5:465988:16:5 - Installation8:16:5 - Installation</t>
  </si>
  <si>
    <t>8:16:#13 TC Booth ASU8:16:#13 TC Booth ASU8:23:Ready for commissioning8:23:Ready for commissioning8:5:466035:5:466038:16:5 - Installation8:16:5 - Installation</t>
  </si>
  <si>
    <t>8:16:#13 TC Booth RAU8:16:#13 TC Booth RAU8:16:5 - Installation8:16:5 - Installation8:5:465635:5:465638:16:5 - Installation8:16:5 - Installation</t>
  </si>
  <si>
    <t>8:16:#13 TC Booth RAU8:16:#13 TC Booth RAU8:9:Axis line8:9:Axis line8:5:465635:5:465638:16:5 - Installation8:16:5 - Installation</t>
  </si>
  <si>
    <t>8:16:#13 TC Booth RAU8:16:#13 TC Booth RAU8:15:Air supply unit8:15:Air supply unit8:5:465665:5:465668:16:5 - Installation8:16:5 - Installation</t>
  </si>
  <si>
    <t>8:16:#13 TC Booth RAU8:16:#13 TC Booth RAU8:34:Air supply unit inside finish work8:34:Air supply unit inside finish work8:5:465695:5:465698:16:5 - Installation8:16:5 - Installation</t>
  </si>
  <si>
    <t>8:16:#13 TC Booth RAU8:16:#13 TC Booth RAU8:16:Regulation train8:16:Regulation train8:5:465745:5:465748:16:5 - Installation8:16:5 - Installation</t>
  </si>
  <si>
    <t>8:16:#13 TC Booth RAU8:16:#13 TC Booth RAU8:14:Piping package8:14:Piping package8:5:465815:5:465818:16:5 - Installation8:16:5 - Installation</t>
  </si>
  <si>
    <t>8:16:#13 TC Booth RAU8:16:#13 TC Booth RAU8:13:I&amp;C equipment8:13:I&amp;C equipment8:5:465815:5:465818:16:5 - Installation8:16:5 - Installation</t>
  </si>
  <si>
    <t>8:16:#13 TC Booth RAU8:16:#13 TC Booth RAU8:18:Insulation package8:18:Insulation package8:5:465845:5:465848:16:5 - Installation8:16:5 - Installation</t>
  </si>
  <si>
    <t>8:16:#13 TC Booth RAU8:16:#13 TC Booth RAU8:8:Labeling8:8:Labeling8:5:466025:5:466028:16:5 - Installation8:16:5 - Installation</t>
  </si>
  <si>
    <t>8:16:#13 TC Booth RAU8:16:#13 TC Booth RAU8:16:Utilities supply8:16:Utilities supply8:5:466155:5:466158:16:5 - Installation8:16:5 - Installation</t>
  </si>
  <si>
    <t>8:16:#13 TC Booth RAU8:16:#13 TC Booth RAU8:4:Fans8:4:Fans8:5:465675:5:465678:16:5 - Installation8:16:5 - Installation</t>
  </si>
  <si>
    <t>8:16:#13 TC Booth RAU8:16:#13 TC Booth RAU8:40:Ducting package recirculation ASU-Plenum8:40:Ducting package recirculation ASU-Plenum8:5:465755:5:465758:16:5 - Installation8:16:5 - Installation</t>
  </si>
  <si>
    <t>8:16:#13 TC Booth RAU8:16:#13 TC Booth RAU8:15:Humidifier unit8:15:Humidifier unit8:5:465675:5:465678:16:5 - Installation8:16:5 - Installation</t>
  </si>
  <si>
    <t>8:16:#13 TC Booth RAU8:16:#13 TC Booth RAU8:33:Ready for Control cabinets set up8:33:Ready for Control cabinets set up8:5:465875:5:465878:16:5 - Installation8:16:5 - Installation</t>
  </si>
  <si>
    <t>8:16:#13 TC Booth RAU8:16:#13 TC Booth RAU8:13:Deep Cleaning8:13:Deep Cleaning8:5:466165:5:466168:16:5 - Installation8:16:5 - Installation</t>
  </si>
  <si>
    <t>8:16:#13 TC Booth RAU8:16:#13 TC Booth RAU8:6:Filter8:6:Filter8:5:466125:5:466128:16:5 - Installation8:16:5 - Installation</t>
  </si>
  <si>
    <t>8:16:#13 TC Booth RAU8:16:#13 TC Booth RAU8:11:Brush clean8:11:Brush clean8:5:466095:5:466098:16:5 - Installation8:16:5 - Installation</t>
  </si>
  <si>
    <t>8:16:#13 TC Booth RAU8:16:#13 TC Booth RAU8:35:Risk assessment&amp; checklist reviewed8:35:Risk assessment&amp; checklist reviewed8:5:466105:5:466108:16:5 - Installation8:16:5 - Installation</t>
  </si>
  <si>
    <t>8:16:#13 TC Booth RAU8:16:#13 TC Booth RAU8:23:Ready for commissioning8:23:Ready for commissioning8:5:466155:5:466158:16:5 - Installation8:16:5 - Installation</t>
  </si>
  <si>
    <t>8:20:#13 Primer Booth ASU8:20:#13 Primer Booth ASU8:16:5 - Installation8:16:5 - Installation8:5:465745:5:465748:16:5 - Installation8:16:5 - Installation</t>
  </si>
  <si>
    <t>8:20:#13 Primer Booth ASU8:20:#13 Primer Booth ASU8:9:Axis line8:9:Axis line8:5:465745:5:465748:16:5 - Installation8:16:5 - Installation</t>
  </si>
  <si>
    <t>8:20:#13 Primer Booth ASU8:20:#13 Primer Booth ASU8:15:Air supply unit8:15:Air supply unit8:5:465755:5:465758:16:5 - Installation8:16:5 - Installation</t>
  </si>
  <si>
    <t>8:20:#13 Primer Booth ASU8:20:#13 Primer Booth ASU8:34:Air supply unit inside finish work8:34:Air supply unit inside finish work8:5:465805:5:465808:16:5 - Installation8:16:5 - Installation</t>
  </si>
  <si>
    <t>8:20:#13 Primer Booth ASU8:20:#13 Primer Booth ASU8:16:Regulation train8:16:Regulation train8:5:465835:5:465838:16:5 - Installation8:16:5 - Installation</t>
  </si>
  <si>
    <t>8:20:#13 Primer Booth ASU8:20:#13 Primer Booth ASU8:14:Piping package8:14:Piping package8:5:465905:5:465908:16:5 - Installation8:16:5 - Installation</t>
  </si>
  <si>
    <t>8:20:#13 Primer Booth ASU8:20:#13 Primer Booth ASU8:13:I&amp;C equipment8:13:I&amp;C equipment8:5:465945:5:465948:16:5 - Installation8:16:5 - Installation</t>
  </si>
  <si>
    <t>8:20:#13 Primer Booth ASU8:20:#13 Primer Booth ASU8:18:Insulation package8:18:Insulation package8:5:465955:5:465958:16:5 - Installation8:16:5 - Installation</t>
  </si>
  <si>
    <t>8:20:#13 Primer Booth ASU8:20:#13 Primer Booth ASU8:8:Labeling8:8:Labeling8:5:466155:5:466158:16:5 - Installation8:16:5 - Installation</t>
  </si>
  <si>
    <t>8:20:#13 Primer Booth ASU8:20:#13 Primer Booth ASU8:16:Utilities supply8:16:Utilities supply8:5:466285:5:466288:16:5 - Installation8:16:5 - Installation</t>
  </si>
  <si>
    <t>8:20:#13 Primer Booth ASU8:20:#13 Primer Booth ASU8:4:Fans8:4:Fans8:5:465765:5:465768:16:5 - Installation8:16:5 - Installation</t>
  </si>
  <si>
    <t>8:20:#13 Primer Booth ASU8:20:#13 Primer Booth ASU8:35:Ducting package supply external air8:35:Ducting package supply external air8:5:465885:5:465888:16:5 - Installation8:16:5 - Installation</t>
  </si>
  <si>
    <t>8:20:#13 Primer Booth ASU8:20:#13 Primer Booth ASU8:34:Ducting package to plenum vertical8:34:Ducting package to plenum vertical8:5:465835:5:465838:16:5 - Installation8:16:5 - Installation</t>
  </si>
  <si>
    <t>8:20:#13 Primer Booth ASU8:20:#13 Primer Booth ASU8:36:Ducting package to plenum horizontal8:36:Ducting package to plenum horizontal8:5:465835:5:465838:16:5 - Installation8:16:5 - Installation</t>
  </si>
  <si>
    <t>8:20:#13 Primer Booth ASU8:20:#13 Primer Booth ASU8:45:Ducting package recirculation Preparation-ASU8:45:Ducting package recirculation Preparation-ASU8:5:465885:5:465888:16:5 - Installation8:16:5 - Installation</t>
  </si>
  <si>
    <t>8:20:#13 Primer Booth ASU8:20:#13 Primer Booth ASU8:15:Humidifier unit8:15:Humidifier unit8:5:465765:5:465768:16:5 - Installation8:16:5 - Installation</t>
  </si>
  <si>
    <t>8:20:#13 Primer Booth ASU8:20:#13 Primer Booth ASU8:33:Ready for Control cabinets set up8:33:Ready for Control cabinets set up8:5:466015:5:466018:16:5 - Installation8:16:5 - Installation</t>
  </si>
  <si>
    <t>8:20:#13 Primer Booth ASU8:20:#13 Primer Booth ASU8:13:Deep Cleaning8:13:Deep Cleaning8:5:466295:5:466298:16:5 - Installation8:16:5 - Installation</t>
  </si>
  <si>
    <t>8:20:#13 Primer Booth ASU8:20:#13 Primer Booth ASU8:6:Filter8:6:Filter8:5:466265:5:466268:16:5 - Installation8:16:5 - Installation</t>
  </si>
  <si>
    <t>8:20:#13 Primer Booth ASU8:20:#13 Primer Booth ASU8:11:Brush clean8:11:Brush clean8:5:466225:5:466228:16:5 - Installation8:16:5 - Installation</t>
  </si>
  <si>
    <t>8:20:#13 Primer Booth ASU8:20:#13 Primer Booth ASU8:35:Risk assessment&amp; checklist reviewed8:35:Risk assessment&amp; checklist reviewed8:5:466245:5:466248:16:5 - Installation8:16:5 - Installation</t>
  </si>
  <si>
    <t>8:20:#13 Primer Booth ASU8:20:#13 Primer Booth ASU8:23:Ready for commissioning8:23:Ready for commissioning8:5:466285:5:466288:16:5 - Installation8:16:5 - Installation</t>
  </si>
  <si>
    <t>8:20:#13 Primer Booth RAU8:20:#13 Primer Booth RAU8:16:5 - Installation8:16:5 - Installation8:5:465285:5:465288:16:5 - Installation8:16:5 - Installation</t>
  </si>
  <si>
    <t>8:20:#13 Primer Booth RAU8:20:#13 Primer Booth RAU8:9:Axis line8:9:Axis line8:5:465285:5:465288:16:5 - Installation8:16:5 - Installation</t>
  </si>
  <si>
    <t>8:20:#13 Primer Booth RAU8:20:#13 Primer Booth RAU8:15:Air supply unit8:15:Air supply unit8:5:465315:5:465318:16:5 - Installation8:16:5 - Installation</t>
  </si>
  <si>
    <t>8:20:#13 Primer Booth RAU8:20:#13 Primer Booth RAU8:34:Air supply unit inside finish work8:34:Air supply unit inside finish work8:5:465345:5:465348:16:5 - Installation8:16:5 - Installation</t>
  </si>
  <si>
    <t>8:20:#13 Primer Booth RAU8:20:#13 Primer Booth RAU8:16:Regulation train8:16:Regulation train8:5:465405:5:465408:16:5 - Installation8:16:5 - Installation</t>
  </si>
  <si>
    <t>8:20:#13 Primer Booth RAU8:20:#13 Primer Booth RAU8:14:Piping package8:14:Piping package8:5:465475:5:465478:16:5 - Installation8:16:5 - Installation</t>
  </si>
  <si>
    <t>8:20:#13 Primer Booth RAU8:20:#13 Primer Booth RAU8:13:I&amp;C equipment8:13:I&amp;C equipment8:5:465485:5:465488:16:5 - Installation8:16:5 - Installation</t>
  </si>
  <si>
    <t>8:20:#13 Primer Booth RAU8:20:#13 Primer Booth RAU8:18:Insulation package8:18:Insulation package8:5:465525:5:465528:16:5 - Installation8:16:5 - Installation</t>
  </si>
  <si>
    <t>8:20:#13 Primer Booth RAU8:20:#13 Primer Booth RAU8:8:Labeling8:8:Labeling8:5:465705:5:465708:16:5 - Installation8:16:5 - Installation</t>
  </si>
  <si>
    <t>8:20:#13 Primer Booth RAU8:20:#13 Primer Booth RAU8:16:Utilities supply8:16:Utilities supply8:5:465835:5:465838:16:5 - Installation8:16:5 - Installation</t>
  </si>
  <si>
    <t>8:20:#13 Primer Booth RAU8:20:#13 Primer Booth RAU8:4:Fans8:4:Fans8:5:465325:5:465328:16:5 - Installation8:16:5 - Installation</t>
  </si>
  <si>
    <t>8:20:#13 Primer Booth RAU8:20:#13 Primer Booth RAU8:40:Ducting package recirculation ASU-Plenum8:40:Ducting package recirculation ASU-Plenum8:5:465405:5:465408:16:5 - Installation8:16:5 - Installation</t>
  </si>
  <si>
    <t>8:20:#13 Primer Booth RAU8:20:#13 Primer Booth RAU8:15:Humidifier unit8:15:Humidifier unit8:5:465325:5:465328:16:5 - Installation8:16:5 - Installation</t>
  </si>
  <si>
    <t>8:20:#13 Primer Booth RAU8:20:#13 Primer Booth RAU8:33:Ready for Control cabinets set up8:33:Ready for Control cabinets set up8:5:465555:5:465558:16:5 - Installation8:16:5 - Installation</t>
  </si>
  <si>
    <t>8:20:#13 Primer Booth RAU8:20:#13 Primer Booth RAU8:13:Deep Cleaning8:13:Deep Cleaning8:5:465845:5:465848:16:5 - Installation8:16:5 - Installation</t>
  </si>
  <si>
    <t>8:20:#13 Primer Booth RAU8:20:#13 Primer Booth RAU8:6:Filter8:6:Filter8:5:465825:5:465828:16:5 - Installation8:16:5 - Installation</t>
  </si>
  <si>
    <t>8:20:#13 Primer Booth RAU8:20:#13 Primer Booth RAU8:11:Brush clean8:11:Brush clean8:5:465775:5:465778:16:5 - Installation8:16:5 - Installation</t>
  </si>
  <si>
    <t>8:20:#13 Primer Booth RAU8:20:#13 Primer Booth RAU8:35:Risk assessment&amp; checklist reviewed8:35:Risk assessment&amp; checklist reviewed8:5:465805:5:465808:16:5 - Installation8:16:5 - Installation</t>
  </si>
  <si>
    <t>8:20:#13 Primer Booth RAU8:20:#13 Primer Booth RAU8:23:Ready for commissioning8:23:Ready for commissioning8:5:465835:5:465838:16:5 - Installation8:16:5 - Installation</t>
  </si>
  <si>
    <t>8:12:#01 TC Dry-X8:12:#01 TC Dry-X8:16:5 - Installation8:16:5 - Installation8:5:465495:5:465498:16:5 - Installation8:16:5 - Installation</t>
  </si>
  <si>
    <t>8:12:#01 TC Dry-X8:12:#01 TC Dry-X8:12:Dry X System8:12:Dry X System8:5:465495:5:465498:16:5 - Installation8:16:5 - Installation</t>
  </si>
  <si>
    <t>8:12:#01 TC Dry-X8:12:#01 TC Dry-X8:14:Dry X Trolleys8:14:Dry X Trolleys8:5:465915:5:465918:16:5 - Installation8:16:5 - Installation</t>
  </si>
  <si>
    <t>8:12:#01 TC Dry-X8:12:#01 TC Dry-X8:23:Ready for commissioning8:23:Ready for commissioning8:5:466045:5:466048:16:5 - Installation8:16:5 - Installation</t>
  </si>
  <si>
    <t>8:16:#01 Primer Dry-X8:16:#01 Primer Dry-X8:16:5 - Installation8:16:5 - Installation8:5:465215:5:465218:16:5 - Installation8:16:5 - Installation</t>
  </si>
  <si>
    <t>8:16:#01 Primer Dry-X8:16:#01 Primer Dry-X8:12:Dry X System8:12:Dry X System8:5:465215:5:465218:16:5 - Installation8:16:5 - Installation</t>
  </si>
  <si>
    <t>8:16:#01 Primer Dry-X8:16:#01 Primer Dry-X8:14:Dry X Trolleys8:14:Dry X Trolleys8:5:465425:5:465428:16:5 - Installation8:16:5 - Installation</t>
  </si>
  <si>
    <t>8:16:#01 Primer Dry-X8:16:#01 Primer Dry-X8:23:Ready for commissioning8:23:Ready for commissioning8:5:465485:5:465488:16:5 - Installation8:16:5 - Installation</t>
  </si>
  <si>
    <t>8:13:#09 Steelwork8:13:#09 Steelwork8:16:5 - Installation8:16:5 - Installation8:5:464925:5:464928:16:5 - Installation8:16:5 - Installation</t>
  </si>
  <si>
    <t>8:13:#09 Steelwork8:13:#09 Steelwork8:23:Spray booth line CP3.108:23:Spray booth line CP3.108:5:464925:5:464928:16:5 - Installation8:16:5 - Installation</t>
  </si>
  <si>
    <t>8:13:#09 Steelwork8:13:#09 Steelwork8:10:CV  CP5.118:10:CV  CP5.118:5:465075:5:465078:16:5 - Installation8:16:5 - Installation</t>
  </si>
  <si>
    <t>8:13:#09 Steelwork8:13:#09 Steelwork8:13:CV UBS CP5.128:13:CV UBS CP5.128:5:465255:5:465258:16:5 - Installation8:16:5 - Installation</t>
  </si>
  <si>
    <t>8:13:#09 Steelwork8:13:#09 Steelwork8:27:PTEC CP6.11 dust protection8:27:PTEC CP6.11 dust protection8:5:465425:5:465428:16:5 - Installation8:16:5 - Installation</t>
  </si>
  <si>
    <t>8:13:#09 Steelwork8:13:#09 Steelwork8:11:PTEC CP6.118:11:PTEC CP6.118:5:465085:5:465088:16:5 - Installation8:16:5 - Installation</t>
  </si>
  <si>
    <t>8:13:#09 Steelwork8:13:#09 Steelwork8:27:PTEC CP6.10 dust protection8:27:PTEC CP6.10 dust protection8:5:464975:5:464978:16:5 - Installation8:16:5 - Installation</t>
  </si>
  <si>
    <t>8:13:#09 Steelwork8:13:#09 Steelwork8:11:PTEC CP6.108:11:PTEC CP6.108:5:464935:5:464938:16:5 - Installation8:16:5 - Installation</t>
  </si>
  <si>
    <t>8:13:#09 Steelwork8:13:#09 Steelwork8:10:CV  CP5.218:10:CV  CP5.218:5:465205:5:465208:16:5 - Installation8:16:5 - Installation</t>
  </si>
  <si>
    <t>8:13:#09 Steelwork8:13:#09 Steelwork8:10:CV  CP5.208:10:CV  CP5.208:5:464925:5:464928:16:5 - Installation8:16:5 - Installation</t>
  </si>
  <si>
    <t>8:13:#09 Steelwork8:13:#09 Steelwork8:10:CV  CP5.108:10:CV  CP5.108:5:465475:5:465478:16:5 - Installation8:16:5 - Installation</t>
  </si>
  <si>
    <t>8:13:#09 Steelwork8:13:#09 Steelwork8:30:ASU Primer CP4.30 (Axis 16-22)8:30:ASU Primer CP4.30 (Axis 16-22)8:5:465175:5:465178:16:5 - Installation8:16:5 - Installation</t>
  </si>
  <si>
    <t>8:13:#09 Steelwork8:13:#09 Steelwork8:31:ASU Primer CP4.30 (Booth right)8:31:ASU Primer CP4.30 (Booth right)8:5:465605:5:465608:16:5 - Installation8:16:5 - Installation</t>
  </si>
  <si>
    <t>8:13:#09 Steelwork8:13:#09 Steelwork8:13:ASU TC CP4.318:13:ASU TC CP4.318:5:465175:5:465178:16:5 - Installation8:16:5 - Installation</t>
  </si>
  <si>
    <t>8:13:#09 Steelwork8:13:#09 Steelwork8:18:Plenum line CP3.208:18:Plenum line CP3.208:5:465725:5:465728:16:5 - Installation8:16:5 - Installation</t>
  </si>
  <si>
    <t>8:13:#09 Steelwork8:13:#09 Steelwork8:26:TC oven CP2.12 (Axis10-12)8:26:TC oven CP2.12 (Axis10-12)8:5:465645:5:465648:16:5 - Installation8:16:5 - Installation</t>
  </si>
  <si>
    <t>8:13:#09 Steelwork8:13:#09 Steelwork8:33:EC oven CP2.10 (Expect Axis14-16)8:33:EC oven CP2.10 (Expect Axis14-16)8:5:464925:5:464928:16:5 - Installation8:16:5 - Installation</t>
  </si>
  <si>
    <t>8:13:#09 Steelwork8:13:#09 Steelwork8:26:EC oven CP2.10 (Axis14-16)8:26:EC oven CP2.10 (Axis14-16)8:5:465275:5:465278:16:5 - Installation8:16:5 - Installation</t>
  </si>
  <si>
    <t>8:13:#09 Steelwork8:13:#09 Steelwork8:18:Primer oven CP2.118:18:Primer oven CP2.118:5:465135:5:465138:16:5 - Installation8:16:5 - Installation</t>
  </si>
  <si>
    <t>8:13:#09 Steelwork8:13:#09 Steelwork8:33:TC oven CP2.12 (Expect Axis10-12)8:33:TC oven CP2.12 (Expect Axis10-12)8:5:465275:5:465278:16:5 - Installation8:16:5 - Installation</t>
  </si>
  <si>
    <t>8:19:#11 Fire Protection8:19:#11 Fire Protection8:16:5 - Installation8:16:5 - Installation8:5:465405:5:465408:16:5 - Installation8:16:5 - Installation</t>
  </si>
  <si>
    <t>8:19:#11 Fire Protection8:19:#11 Fire Protection8:17:PMR 3 rooms, 0,0m8:17:PMR 3 rooms, 0,0m8:5:465405:5:465408:16:5 - Installation8:16:5 - Installation</t>
  </si>
  <si>
    <t>8:19:#11 Fire Protection8:19:#11 Fire Protection8:23:Main pipe routing, 0,0m8:23:Main pipe routing, 0,0m8:5:465405:5:465408:16:5 - Installation8:16:5 - Installation</t>
  </si>
  <si>
    <t>8:19:#11 Fire Protection8:19:#11 Fire Protection8:36:Header/Foam admixing system, overall8:36:Header/Foam admixing system, overall8:5:465685:5:465688:16:5 - Installation8:16:5 - Installation</t>
  </si>
  <si>
    <t>8:19:#11 Fire Protection8:19:#11 Fire Protection8:20:Foam tank / CO2 tank8:20:Foam tank / CO2 tank8:5:465755:5:465758:16:5 - Installation8:16:5 - Installation</t>
  </si>
  <si>
    <t>8:19:#11 Fire Protection8:19:#11 Fire Protection8:28:Booth line -5m,0m,4.73m,5.5m8:28:Booth line -5m,0m,4.73m,5.5m8:5:465895:5:465898:16:5 - Installation8:16:5 - Installation</t>
  </si>
  <si>
    <t>8:19:#11 Fire Protection8:19:#11 Fire Protection8:22:Workdecks AP17-20 0,0m8:22:Workdecks AP17-20 0,0m8:5:465955:5:465958:16:5 - Installation8:16:5 - Installation</t>
  </si>
  <si>
    <t>8:19:#11 Fire Protection8:19:#11 Fire Protection8:47:Above gas train of burner Boiler/ASU/Oven 0m&amp;6m8:47:Above gas train of burner Boiler/ASU/Oven 0m&amp;6m8:5:465545:5:465548:16:5 - Installation8:16:5 - Installation</t>
  </si>
  <si>
    <t>8:19:#11 Fire Protection8:19:#11 Fire Protection8:39:Control cabinet / Fire detection system8:39:Control cabinet / Fire detection system8:5:465825:5:465828:16:5 - Installation8:16:5 - Installation</t>
  </si>
  <si>
    <t>8:19:#11 Fire Protection8:19:#11 Fire Protection8:44:Fire protection ready for operation (manual)8:44:Fire protection ready for operation (manual)8:5:466385:5:466388:16:5 - Installation8:16:5 - Installation</t>
  </si>
  <si>
    <t>8:19:#11 Fire Protection8:19:#11 Fire Protection8:47:Fire protection ready for operation (automatic)8:47:Fire protection ready for operation (automatic)8:5:466675:5:466678:16:5 - Installation8:16:5 - Installation</t>
  </si>
  <si>
    <t>8:24:#20 CS Inst. material CV8:24:#20 CS Inst. material CV8:16:5 - Installation8:16:5 - Installation8:5:465805:5:465808:16:5 - Installation8:16:5 - Installation</t>
  </si>
  <si>
    <t>8:24:#20 CS Inst. material CV8:24:#20 CS Inst. material CV8:32:Electrical installation conveyor8:32:Electrical installation conveyor8:5:465805:5:465808:16:5 - Installation8:16:5 - Installation</t>
  </si>
  <si>
    <t>8:24:#20 CS Inst. material CV8:24:#20 CS Inst. material CV8:23:Power supply earlyStart8:23:Power supply earlyStart8:5:466445:5:466448:16:5 - Installation8:16:5 - Installation</t>
  </si>
  <si>
    <t>8:29:#20 CS Inst. material Process8:29:#20 CS Inst. material Process8:16:5 - Installation8:16:5 - Installation8:5:465555:5:465558:16:5 - Installation8:16:5 - Installation</t>
  </si>
  <si>
    <t>8:29:#20 CS Inst. material Process8:29:#20 CS Inst. material Process8:29:Electrical installation plant8:29:Electrical installation plant8:5:465555:5:465558:16:5 - Installation8:16:5 - Installation</t>
  </si>
  <si>
    <t>8:29:#20 CS Inst. material Process8:29:#20 CS Inst. material Process8:29:Electrical installation booth8:29:Electrical installation booth8:5:465735:5:465738:16:5 - Installation8:16:5 - Installation</t>
  </si>
  <si>
    <t>8:29:#20 CS Inst. material Process8:29:#20 CS Inst. material Process8:33:Electrical installation workdecks8:33:Electrical installation workdecks8:5:465605:5:465608:16:5 - Installation8:16:5 - Installation</t>
  </si>
  <si>
    <t>8:29:#20 CS Inst. material Process8:29:#20 CS Inst. material Process8:28:Electrical installation oven8:28:Electrical installation oven8:5:465555:5:465558:16:5 - Installation8:16:5 - Installation</t>
  </si>
  <si>
    <t>8:29:#20 CS Inst. material Process8:29:#20 CS Inst. material Process8:28:Control cabinet installation8:28:Control cabinet installation8:5:465555:5:465558:16:5 - Installation8:16:5 - Installation</t>
  </si>
  <si>
    <t>8:29:#20 CS Inst. material Process8:29:#20 CS Inst. material Process8:23:Power supply earlyStart8:23:Power supply earlyStart8:5:466445:5:466448:16:5 - Installation8:16:5 - Installation</t>
  </si>
  <si>
    <t>8:28:#20 CS Inst. Material Feedin8:28:#20 CS Inst. Material Feedin8:16:5 - Installation8:16:5 - Installation8:5:465555:5:465558:16:5 - Installation8:16:5 - Installation</t>
  </si>
  <si>
    <t>8:28:#20 CS Inst. Material Feedin8:28:#20 CS Inst. Material Feedin8:29:Electrical installation plant8:29:Electrical installation plant8:5:465555:5:465558:16:5 - Installation8:16:5 - Installation</t>
  </si>
  <si>
    <t>8:28:#20 CS Inst. Material Feedin8:28:#20 CS Inst. Material Feedin8:29:Electrical installation booth8:29:Electrical installation booth8:5:465735:5:465738:16:5 - Installation8:16:5 - Installation</t>
  </si>
  <si>
    <t>8:28:#20 CS Inst. Material Feedin8:28:#20 CS Inst. Material Feedin8:33:Electrical installation workdecks8:33:Electrical installation workdecks8:5:465605:5:465608:16:5 - Installation8:16:5 - Installation</t>
  </si>
  <si>
    <t>8:28:#20 CS Inst. Material Feedin8:28:#20 CS Inst. Material Feedin8:28:Electrical installation oven8:28:Electrical installation oven8:5:465555:5:465558:16:5 - Installation8:16:5 - Installation</t>
  </si>
  <si>
    <t>8:28:#20 CS Inst. Material Feedin8:28:#20 CS Inst. Material Feedin8:32:Electrical installation conveyor8:32:Electrical installation conveyor8:5:465805:5:465808:16:5 - Installation8:16:5 - Installation</t>
  </si>
  <si>
    <t>8:28:#20 CS Inst. Material Feedin8:28:#20 CS Inst. Material Feedin8:28:Control cabinet installation8:28:Control cabinet installation8:5:465555:5:465558:16:5 - Installation8:16:5 - Installation</t>
  </si>
  <si>
    <t>8:28:#20 CS Inst. Material Feedin8:28:#20 CS Inst. Material Feedin8:23:Power supply earlyStart8:23:Power supply earlyStart8:5:466445:5:466448:16:5 - Installation8:16:5 - Installation</t>
  </si>
  <si>
    <t>8:30:#19 Supervisory Control System8:30:#19 Supervisory Control System8:16:5 - Installation8:16:5 - Installation8:5:466085:5:466088:16:5 - Installation8:16:5 - Installation</t>
  </si>
  <si>
    <t>8:30:#19 Supervisory Control System8:30:#19 Supervisory Control System8:20:Installation Network8:20:Installation Network8:5:466155:5:466158:16:5 - Installation8:16:5 - Installation</t>
  </si>
  <si>
    <t>8:30:#19 Supervisory Control System8:30:#19 Supervisory Control System8:19:Measurement Network8:19:Measurement Network8:5:466435:5:466438:16:5 - Installation8:16:5 - Installation</t>
  </si>
  <si>
    <t>8:30:#19 Supervisory Control System8:30:#19 Supervisory Control System8:29:Installation Server- Hardware8:29:Installation Server- Hardware8:5:466085:5:466088:16:5 - Installation8:16:5 - Installation</t>
  </si>
  <si>
    <t>8:30:#19 Supervisory Control System8:30:#19 Supervisory Control System8:65:Installation additional Equipment (PC, big Monitors, WebCams etc)8:65:Installation additional Equipment (PC, big Monitors, WebCams etc)8:5:466365:5:466368:16:5 - Installation8:16:5 - Installation</t>
  </si>
  <si>
    <t>8:25:#11 Cold water generation8:25:#11 Cold water generation8:16:5 - Installation8:16:5 - Installation8:5:465215:5:465218:16:5 - Installation8:16:5 - Installation</t>
  </si>
  <si>
    <t>8:25:#11 Cold water generation8:25:#11 Cold water generation8:9:Axis line8:9:Axis line8:5:465215:5:465218:16:5 - Installation8:16:5 - Installation</t>
  </si>
  <si>
    <t>8:25:#11 Cold water generation8:25:#11 Cold water generation8:15:Chiller machine8:15:Chiller machine8:5:465245:5:465248:16:5 - Installation8:16:5 - Installation</t>
  </si>
  <si>
    <t>8:25:#11 Cold water generation8:25:#11 Cold water generation8:13:Cooling tower8:13:Cooling tower8:5:465315:5:465318:16:5 - Installation8:16:5 - Installation</t>
  </si>
  <si>
    <t>8:25:#11 Cold water generation8:25:#11 Cold water generation8:18:Preassembly groups8:18:Preassembly groups8:5:465385:5:465388:16:5 - Installation8:16:5 - Installation</t>
  </si>
  <si>
    <t>8:25:#11 Cold water generation8:25:#11 Cold water generation8:23:Piping outside building8:23:Piping outside building8:5:465745:5:465748:16:5 - Installation8:16:5 - Installation</t>
  </si>
  <si>
    <t>8:25:#11 Cold water generation8:25:#11 Cold water generation8:31:Internal Piping inside building8:31:Internal Piping inside building8:5:465385:5:465388:16:5 - Installation8:16:5 - Installation</t>
  </si>
  <si>
    <t>8:25:#11 Cold water generation8:25:#11 Cold water generation8:13:I&amp;C equipment8:13:I&amp;C equipment8:5:465745:5:465748:16:5 - Installation8:16:5 - Installation</t>
  </si>
  <si>
    <t>8:25:#11 Cold water generation8:25:#11 Cold water generation8:33:Ready for Control cabinets set up8:33:Ready for Control cabinets set up8:5:465885:5:465888:16:5 - Installation8:16:5 - Installation</t>
  </si>
  <si>
    <t>8:25:#11 Cold water generation8:25:#11 Cold water generation8:31:Process electrical installation8:31:Process electrical installation8:5:465885:5:465888:16:5 - Installation8:16:5 - Installation</t>
  </si>
  <si>
    <t>8:25:#11 Cold water generation8:25:#11 Cold water generation8:23:Ready for commissioning8:23:Ready for commissioning8:5:466445:5:466448:16:5 - Installation8:16:5 - Installation</t>
  </si>
  <si>
    <t>8:24:#11 Utility distribution8:24:#11 Utility distribution8:16:5 - Installation8:16:5 - Installation8:5:464925:5:464928:16:5 - Installation8:16:5 - Installation</t>
  </si>
  <si>
    <t>8:24:#11 Utility distribution8:24:#11 Utility distribution8:9:Axis line8:9:Axis line8:5:464925:5:464928:16:5 - Installation8:16:5 - Installation</t>
  </si>
  <si>
    <t>8:24:#11 Utility distribution8:24:#11 Utility distribution8:10:Insulation8:10:Insulation8:5:465755:5:465758:16:5 - Installation8:16:5 - Installation</t>
  </si>
  <si>
    <t>8:24:#11 Utility distribution8:24:#11 Utility distribution8:30:Insulation after pressure test8:30:Insulation after pressure test8:5:466175:5:466178:16:5 - Installation8:16:5 - Installation</t>
  </si>
  <si>
    <t>8:24:#11 Utility distribution8:24:#11 Utility distribution8:17:Piping Level 0,0m8:17:Piping Level 0,0m8:5:464935:5:464938:16:5 - Installation8:16:5 - Installation</t>
  </si>
  <si>
    <t>8:24:#11 Utility distribution8:24:#11 Utility distribution8:13:I&amp;C equipment8:13:I&amp;C equipment8:5:465685:5:465688:16:5 - Installation8:16:5 - Installation</t>
  </si>
  <si>
    <t>8:24:#11 Utility distribution8:24:#11 Utility distribution8:33:Ready for Control cabinets set up8:33:Ready for Control cabinets set up8:5:465895:5:465898:16:5 - Installation8:16:5 - Installation</t>
  </si>
  <si>
    <t>8:24:#11 Utility distribution8:24:#11 Utility distribution8:31:Process electrical installation8:31:Process electrical installation8:5:465895:5:465898:16:5 - Installation8:16:5 - Installation</t>
  </si>
  <si>
    <t>8:24:#11 Utility distribution8:24:#11 Utility distribution8:23:Ready for commissioning8:23:Ready for commissioning8:5:466455:5:466458:16:5 - Installation8:16:5 - Installation</t>
  </si>
  <si>
    <t>8:11:#11 PMR ASU8:11:#11 PMR ASU8:16:5 - Installation8:16:5 - Installation8:5:465905:5:465908:16:5 - Installation8:16:5 - Installation</t>
  </si>
  <si>
    <t>8:11:#11 PMR ASU8:11:#11 PMR ASU8:9:Axis line8:9:Axis line8:5:465905:5:465908:16:5 - Installation8:16:5 - Installation</t>
  </si>
  <si>
    <t>8:11:#11 PMR ASU8:11:#11 PMR ASU8:15:Air supply unit8:15:Air supply unit8:5:465915:5:465918:16:5 - Installation8:16:5 - Installation</t>
  </si>
  <si>
    <t>8:11:#11 PMR ASU8:11:#11 PMR ASU8:34:Air supply unit inside finish work8:34:Air supply unit inside finish work8:5:465965:5:465968:16:5 - Installation8:16:5 - Installation</t>
  </si>
  <si>
    <t>8:11:#11 PMR ASU8:11:#11 PMR ASU8:16:Regulation train8:16:Regulation train8:5:466045:5:466048:16:5 - Installation8:16:5 - Installation</t>
  </si>
  <si>
    <t>8:11:#11 PMR ASU8:11:#11 PMR ASU8:14:Piping package8:14:Piping package8:5:466105:5:466108:16:5 - Installation8:16:5 - Installation</t>
  </si>
  <si>
    <t>8:11:#11 PMR ASU8:11:#11 PMR ASU8:13:I&amp;C equipment8:13:I&amp;C equipment8:5:466105:5:466108:16:5 - Installation8:16:5 - Installation</t>
  </si>
  <si>
    <t>8:11:#11 PMR ASU8:11:#11 PMR ASU8:18:Insulation package8:18:Insulation package8:5:466175:5:466178:16:5 - Installation8:16:5 - Installation</t>
  </si>
  <si>
    <t>8:11:#11 PMR ASU8:11:#11 PMR ASU8:8:Labeling8:8:Labeling8:5:466385:5:466388:16:5 - Installation8:16:5 - Installation</t>
  </si>
  <si>
    <t>8:11:#11 PMR ASU8:11:#11 PMR ASU8:16:Utilities supply8:16:Utilities supply8:5:466455:5:466458:16:5 - Installation8:16:5 - Installation</t>
  </si>
  <si>
    <t>8:11:#11 PMR ASU8:11:#11 PMR ASU8:4:Fans8:4:Fans8:5:465945:5:465948:16:5 - Installation8:16:5 - Installation</t>
  </si>
  <si>
    <t>8:11:#11 PMR ASU8:11:#11 PMR ASU8:35:Ducting package supply external air8:35:Ducting package supply external air8:5:466105:5:466108:16:5 - Installation8:16:5 - Installation</t>
  </si>
  <si>
    <t>8:11:#11 PMR ASU8:11:#11 PMR ASU8:31:Ducting package to PMR vertical8:31:Ducting package to PMR vertical8:5:466105:5:466108:16:5 - Installation8:16:5 - Installation</t>
  </si>
  <si>
    <t>8:11:#11 PMR ASU8:11:#11 PMR ASU8:33:Ducting package to PMR horizontal8:33:Ducting package to PMR horizontal8:5:466105:5:466108:16:5 - Installation8:16:5 - Installation</t>
  </si>
  <si>
    <t>8:11:#11 PMR ASU8:11:#11 PMR ASU8:15:Humidifier unit8:15:Humidifier unit8:5:465945:5:465948:16:5 - Installation8:16:5 - Installation</t>
  </si>
  <si>
    <t>8:11:#11 PMR ASU8:11:#11 PMR ASU8:33:Ready for Control cabinets set up8:33:Ready for Control cabinets set up8:5:466175:5:466178:16:5 - Installation8:16:5 - Installation</t>
  </si>
  <si>
    <t>8:11:#11 PMR ASU8:11:#11 PMR ASU8:13:Deep Cleaning8:13:Deep Cleaning8:5:466465:5:466468:16:5 - Installation8:16:5 - Installation</t>
  </si>
  <si>
    <t>8:11:#11 PMR ASU8:11:#11 PMR ASU8:6:Filter8:6:Filter8:5:466445:5:466448:16:5 - Installation8:16:5 - Installation</t>
  </si>
  <si>
    <t>8:11:#11 PMR ASU8:11:#11 PMR ASU8:11:Brush clean8:11:Brush clean8:5:466445:5:466448:16:5 - Installation8:16:5 - Installation</t>
  </si>
  <si>
    <t>8:11:#11 PMR ASU8:11:#11 PMR ASU8:35:Risk assessment&amp; checklist reviewed8:35:Risk assessment&amp; checklist reviewed8:5:466405:5:466408:16:5 - Installation8:16:5 - Installation</t>
  </si>
  <si>
    <t>8:11:#11 PMR ASU8:11:#11 PMR ASU8:23:Ready for commissioning8:23:Ready for commissioning8:5:466455:5:466458:16:5 - Installation8:16:5 - Installation</t>
  </si>
  <si>
    <t>8:12:#11 Shop ASU8:12:#11 Shop ASU8:16:5 - Installation8:16:5 - Installation8:5:465775:5:465778:16:5 - Installation8:16:5 - Installation</t>
  </si>
  <si>
    <t>8:12:#11 Shop ASU8:12:#11 Shop ASU8:9:Axis line8:9:Axis line8:5:465775:5:465778:16:5 - Installation8:16:5 - Installation</t>
  </si>
  <si>
    <t>8:12:#11 Shop ASU8:12:#11 Shop ASU8:15:Air supply unit8:15:Air supply unit8:5:465805:5:465808:16:5 - Installation8:16:5 - Installation</t>
  </si>
  <si>
    <t>8:12:#11 Shop ASU8:12:#11 Shop ASU8:34:Air supply unit inside finish work8:34:Air supply unit inside finish work8:5:465875:5:465878:16:5 - Installation8:16:5 - Installation</t>
  </si>
  <si>
    <t>8:12:#11 Shop ASU8:12:#11 Shop ASU8:16:Regulation train8:16:Regulation train8:5:465965:5:465968:16:5 - Installation8:16:5 - Installation</t>
  </si>
  <si>
    <t>8:12:#11 Shop ASU8:12:#11 Shop ASU8:14:Piping package8:14:Piping package8:5:466015:5:466018:16:5 - Installation8:16:5 - Installation</t>
  </si>
  <si>
    <t>8:12:#11 Shop ASU8:12:#11 Shop ASU8:13:I&amp;C equipment8:13:I&amp;C equipment8:5:466105:5:466108:16:5 - Installation8:16:5 - Installation</t>
  </si>
  <si>
    <t>8:12:#11 Shop ASU8:12:#11 Shop ASU8:18:Insulation package8:18:Insulation package8:5:466165:5:466168:16:5 - Installation8:16:5 - Installation</t>
  </si>
  <si>
    <t>8:12:#11 Shop ASU8:12:#11 Shop ASU8:8:Labeling8:8:Labeling8:5:466385:5:466388:16:5 - Installation8:16:5 - Installation</t>
  </si>
  <si>
    <t>8:12:#11 Shop ASU8:12:#11 Shop ASU8:16:Utilities supply8:16:Utilities supply8:5:466455:5:466458:16:5 - Installation8:16:5 - Installation</t>
  </si>
  <si>
    <t>8:12:#11 Shop ASU8:12:#11 Shop ASU8:4:Fans8:4:Fans8:5:465835:5:465838:16:5 - Installation8:16:5 - Installation</t>
  </si>
  <si>
    <t>8:12:#11 Shop ASU8:12:#11 Shop ASU8:35:Ducting package supply external air8:35:Ducting package supply external air8:5:466095:5:466098:16:5 - Installation8:16:5 - Installation</t>
  </si>
  <si>
    <t>8:12:#11 Shop ASU8:12:#11 Shop ASU8:31:Ducting package to PMR vertical8:31:Ducting package to PMR vertical8:5:466015:5:466018:16:5 - Installation8:16:5 - Installation</t>
  </si>
  <si>
    <t>8:12:#11 Shop ASU8:12:#11 Shop ASU8:33:Ducting package to PMR horizontal8:33:Ducting package to PMR horizontal8:5:466015:5:466018:16:5 - Installation8:16:5 - Installation</t>
  </si>
  <si>
    <t>8:12:#11 Shop ASU8:12:#11 Shop ASU8:33:Ready for Control cabinets set up8:33:Ready for Control cabinets set up8:5:466175:5:466178:16:5 - Installation8:16:5 - Installation</t>
  </si>
  <si>
    <t>8:12:#11 Shop ASU8:12:#11 Shop ASU8:13:Deep Cleaning8:13:Deep Cleaning8:5:466465:5:466468:16:5 - Installation8:16:5 - Installation</t>
  </si>
  <si>
    <t>8:12:#11 Shop ASU8:12:#11 Shop ASU8:6:Filter8:6:Filter8:5:466445:5:466448:16:5 - Installation8:16:5 - Installation</t>
  </si>
  <si>
    <t>8:12:#11 Shop ASU8:12:#11 Shop ASU8:11:Brush clean8:11:Brush clean8:5:466445:5:466448:16:5 - Installation8:16:5 - Installation</t>
  </si>
  <si>
    <t>8:12:#11 Shop ASU8:12:#11 Shop ASU8:35:Risk assessment&amp; checklist reviewed8:35:Risk assessment&amp; checklist reviewed8:5:466405:5:466408:16:5 - Installation8:16:5 - Installation</t>
  </si>
  <si>
    <t>8:12:#11 Shop ASU8:12:#11 Shop ASU8:23:Ready for commissioning8:23:Ready for commissioning8:5:466455:5:466458:16:5 - Installation8:16:5 - Installation</t>
  </si>
  <si>
    <t>8:33:#11 Shop Ventilation distribution8:33:#11 Shop Ventilation distribution8:16:5 - Installation8:16:5 - Installation8:5:464925:5:464928:16:5 - Installation8:16:5 - Installation</t>
  </si>
  <si>
    <t>8:33:#11 Shop Ventilation distribution8:33:#11 Shop Ventilation distribution8:9:Axis line8:9:Axis line8:5:464925:5:464928:16:5 - Installation8:16:5 - Installation</t>
  </si>
  <si>
    <t>8:33:#11 Shop Ventilation distribution8:33:#11 Shop Ventilation distribution8:24:Ducting incl. insulation8:24:Ducting incl. insulation8:5:464935:5:464938:16:5 - Installation8:16:5 - Installation</t>
  </si>
  <si>
    <t>8:33:#11 Shop Ventilation distribution8:33:#11 Shop Ventilation distribution8:9:Roof Fans8:9:Roof Fans8:5:465475:5:465478:16:5 - Installation8:16:5 - Installation</t>
  </si>
  <si>
    <t>8:33:#11 Shop Ventilation distribution8:33:#11 Shop Ventilation distribution8:4:Fans8:4:Fans8:5:465545:5:465548:16:5 - Installation8:16:5 - Installation</t>
  </si>
  <si>
    <t>8:33:#11 Shop Ventilation distribution8:33:#11 Shop Ventilation distribution8:23:Fire protection dampers8:23:Fire protection dampers8:5:465405:5:465408:16:5 - Installation8:16:5 - Installation</t>
  </si>
  <si>
    <t>8:33:#11 Shop Ventilation distribution8:33:#11 Shop Ventilation distribution8:22:Damper and air outlets8:22:Damper and air outlets8:5:465615:5:465618:16:5 - Installation8:16:5 - Installation</t>
  </si>
  <si>
    <t>8:33:#11 Shop Ventilation distribution8:33:#11 Shop Ventilation distribution8:31:Shop V. electrical installation8:31:Shop V. electrical installation8:5:465895:5:465898:16:5 - Installation8:16:5 - Installation</t>
  </si>
  <si>
    <t>8:33:#11 Shop Ventilation distribution8:33:#11 Shop Ventilation distribution8:23:Ready for commissioning8:23:Ready for commissioning8:5:466455:5:466458:16:5 - Installation8:16:5 - Installation</t>
  </si>
  <si>
    <t>8:25:#13 WD ASU+2 Filter Boxes8:25:#13 WD ASU+2 Filter Boxes8:16:5 - Installation8:16:5 - Installation8:5:465605:5:465608:16:5 - Installation8:16:5 - Installation</t>
  </si>
  <si>
    <t>8:25:#13 WD ASU+2 Filter Boxes8:25:#13 WD ASU+2 Filter Boxes8:9:Axis line8:9:Axis line8:5:465605:5:465608:16:5 - Installation8:16:5 - Installation</t>
  </si>
  <si>
    <t>8:25:#13 WD ASU+2 Filter Boxes8:25:#13 WD ASU+2 Filter Boxes8:15:Air supply unit8:15:Air supply unit8:5:465615:5:465618:16:5 - Installation8:16:5 - Installation</t>
  </si>
  <si>
    <t>8:25:#13 WD ASU+2 Filter Boxes8:25:#13 WD ASU+2 Filter Boxes8:15:Humidifier unit8:15:Humidifier unit8:5:465665:5:465668:16:5 - Installation8:16:5 - Installation</t>
  </si>
  <si>
    <t>8:25:#13 WD ASU+2 Filter Boxes8:25:#13 WD ASU+2 Filter Boxes8:34:Air supply unit inside finish work8:34:Air supply unit inside finish work8:5:465685:5:465688:16:5 - Installation8:16:5 - Installation</t>
  </si>
  <si>
    <t>8:25:#13 WD ASU+2 Filter Boxes8:25:#13 WD ASU+2 Filter Boxes8:16:Regulation train8:16:Regulation train8:5:465805:5:465808:16:5 - Installation8:16:5 - Installation</t>
  </si>
  <si>
    <t>8:25:#13 WD ASU+2 Filter Boxes8:25:#13 WD ASU+2 Filter Boxes8:14:Piping package8:14:Piping package8:5:465875:5:465878:16:5 - Installation8:16:5 - Installation</t>
  </si>
  <si>
    <t>8:25:#13 WD ASU+2 Filter Boxes8:25:#13 WD ASU+2 Filter Boxes8:13:I&amp;C equipment8:13:I&amp;C equipment8:5:465945:5:465948:16:5 - Installation8:16:5 - Installation</t>
  </si>
  <si>
    <t>8:25:#13 WD ASU+2 Filter Boxes8:25:#13 WD ASU+2 Filter Boxes8:18:Insulation package8:18:Insulation package8:5:465945:5:465948:16:5 - Installation8:16:5 - Installation</t>
  </si>
  <si>
    <t>8:25:#13 WD ASU+2 Filter Boxes8:25:#13 WD ASU+2 Filter Boxes8:8:Labeling8:8:Labeling8:5:466155:5:466158:16:5 - Installation8:16:5 - Installation</t>
  </si>
  <si>
    <t>8:25:#13 WD ASU+2 Filter Boxes8:25:#13 WD ASU+2 Filter Boxes8:16:Utilities supply8:16:Utilities supply8:5:466285:5:466288:16:5 - Installation8:16:5 - Installation</t>
  </si>
  <si>
    <t>8:25:#13 WD ASU+2 Filter Boxes8:25:#13 WD ASU+2 Filter Boxes8:4:Fans8:4:Fans8:5:465665:5:465668:16:5 - Installation8:16:5 - Installation</t>
  </si>
  <si>
    <t>8:25:#13 WD ASU+2 Filter Boxes8:25:#13 WD ASU+2 Filter Boxes8:35:Ducting package supply external air8:35:Ducting package supply external air8:5:465905:5:465908:16:5 - Installation8:16:5 - Installation</t>
  </si>
  <si>
    <t>8:25:#13 WD ASU+2 Filter Boxes8:25:#13 WD ASU+2 Filter Boxes8:30:Ducting package to WD vertical8:30:Ducting package to WD vertical8:5:465875:5:465878:16:5 - Installation8:16:5 - Installation</t>
  </si>
  <si>
    <t>8:25:#13 WD ASU+2 Filter Boxes8:25:#13 WD ASU+2 Filter Boxes8:32:Ducting package to WD horizontal8:32:Ducting package to WD horizontal8:5:465875:5:465878:16:5 - Installation8:16:5 - Installation</t>
  </si>
  <si>
    <t>8:25:#13 WD ASU+2 Filter Boxes8:25:#13 WD ASU+2 Filter Boxes8:33:Ready for Control cabinets set up8:33:Ready for Control cabinets set up8:5:466015:5:466018:16:5 - Installation8:16:5 - Installation</t>
  </si>
  <si>
    <t>8:25:#13 WD ASU+2 Filter Boxes8:25:#13 WD ASU+2 Filter Boxes8:13:Deep Cleaning8:13:Deep Cleaning8:5:466295:5:466298:16:5 - Installation8:16:5 - Installation</t>
  </si>
  <si>
    <t>8:25:#13 WD ASU+2 Filter Boxes8:25:#13 WD ASU+2 Filter Boxes8:6:Filter8:6:Filter8:5:466265:5:466268:16:5 - Installation8:16:5 - Installation</t>
  </si>
  <si>
    <t>8:25:#13 WD ASU+2 Filter Boxes8:25:#13 WD ASU+2 Filter Boxes8:11:Brush clean8:11:Brush clean8:5:466225:5:466228:16:5 - Installation8:16:5 - Installation</t>
  </si>
  <si>
    <t>8:25:#13 WD ASU+2 Filter Boxes8:25:#13 WD ASU+2 Filter Boxes8:35:Risk assessment&amp; checklist reviewed8:35:Risk assessment&amp; checklist reviewed8:5:466245:5:466248:16:5 - Installation8:16:5 - Installation</t>
  </si>
  <si>
    <t>8:25:#13 WD ASU+2 Filter Boxes8:25:#13 WD ASU+2 Filter Boxes8:23:Ready for commissioning8:23:Ready for commissioning8:5:466285:5:466288:16:5 - Installation8:16:5 - Installation</t>
  </si>
  <si>
    <t>8:27:#20 CS Shop Ventilation+ASU8:27:#20 CS Shop Ventilation+ASU8:16:5 - Installation8:16:5 - Installation8:5:465895:5:465898:16:5 - Installation8:16:5 - Installation</t>
  </si>
  <si>
    <t>8:27:#20 CS Shop Ventilation+ASU8:27:#20 CS Shop Ventilation+ASU8:23:Control cabinets set up8:23:Control cabinets set up8:5:465895:5:465898:16:5 - Installation8:16:5 - Installation</t>
  </si>
  <si>
    <t>8:27:#20 CS Shop Ventilation+ASU8:27:#20 CS Shop Ventilation+ASU8:21:Installation of Panel8:21:Installation of Panel8:5:465915:5:465918:16:5 - Installation8:16:5 - Installation</t>
  </si>
  <si>
    <t>8:27:#20 CS Shop Ventilation+ASU8:27:#20 CS Shop Ventilation+ASU8:11:Cable Trays8:11:Cable Trays8:5:465955:5:465958:16:5 - Installation8:16:5 - Installation</t>
  </si>
  <si>
    <t>8:27:#20 CS Shop Ventilation+ASU8:27:#20 CS Shop Ventilation+ASU8:13:Cable Pulling8:13:Cable Pulling8:5:466185:5:466188:16:5 - Installation8:16:5 - Installation</t>
  </si>
  <si>
    <t>8:27:#20 CS Shop Ventilation+ASU8:27:#20 CS Shop Ventilation+ASU8:17:Cable Connections8:17:Cable Connections8:5:466255:5:466258:16:5 - Installation8:16:5 - Installation</t>
  </si>
  <si>
    <t>8:27:#20 CS Shop Ventilation+ASU8:27:#20 CS Shop Ventilation+ASU8:20:Profinet measurement8:20:Profinet measurement8:5:466385:5:466388:16:5 - Installation8:16:5 - Installation</t>
  </si>
  <si>
    <t>8:27:#20 CS Shop Ventilation+ASU8:27:#20 CS Shop Ventilation+ASU8:22:Potential equalization8:22:Potential equalization8:5:466385:5:466388:16:5 - Installation8:16:5 - Installation</t>
  </si>
  <si>
    <t>8:27:#20 CS Shop Ventilation+ASU8:27:#20 CS Shop Ventilation+ASU8:25:Cable labeling+Tray cover8:25:Cable labeling+Tray cover8:5:466455:5:466458:16:5 - Installation8:16:5 - Installation</t>
  </si>
  <si>
    <t>8:27:#20 CS Shop Ventilation+ASU8:27:#20 CS Shop Ventilation+ASU8:33:Power supply for control cabinets8:33:Power supply for control cabinets8:5:466255:5:466258:16:5 - Installation8:16:5 - Installation</t>
  </si>
  <si>
    <t>8:27:#20 CS Shop Ventilation+ASU8:27:#20 CS Shop Ventilation+ASU8:22:Feed in control panels8:22:Feed in control panels8:5:466445:5:466448:16:5 - Installation8:16:5 - Installation</t>
  </si>
  <si>
    <t>8:29:#11 Compressed air generation8:29:#11 Compressed air generation8:16:5 - Installation8:16:5 - Installation8:5:465215:5:465218:16:5 - Installation8:16:5 - Installation</t>
  </si>
  <si>
    <t>8:29:#11 Compressed air generation8:29:#11 Compressed air generation8:9:Axis line8:9:Axis line8:5:465215:5:465218:16:5 - Installation8:16:5 - Installation</t>
  </si>
  <si>
    <t>8:29:#11 Compressed air generation8:29:#11 Compressed air generation8:10:Compressor8:10:Compressor8:5:465245:5:465248:16:5 - Installation8:16:5 - Installation</t>
  </si>
  <si>
    <t>8:29:#11 Compressed air generation8:29:#11 Compressed air generation8:13:Cooling tower8:13:Cooling tower8:5:465315:5:465318:16:5 - Installation8:16:5 - Installation</t>
  </si>
  <si>
    <t>8:29:#11 Compressed air generation8:29:#11 Compressed air generation8:18:Preassembly groups8:18:Preassembly groups8:5:465385:5:465388:16:5 - Installation8:16:5 - Installation</t>
  </si>
  <si>
    <t>8:29:#11 Compressed air generation8:29:#11 Compressed air generation8:23:Piping outside building8:23:Piping outside building8:5:465615:5:465618:16:5 - Installation8:16:5 - Installation</t>
  </si>
  <si>
    <t>8:29:#11 Compressed air generation8:29:#11 Compressed air generation8:31:Internal Piping inside building8:31:Internal Piping inside building8:5:465385:5:465388:16:5 - Installation8:16:5 - Installation</t>
  </si>
  <si>
    <t>8:29:#11 Compressed air generation8:29:#11 Compressed air generation8:13:I&amp;C equipment8:13:I&amp;C equipment8:5:465825:5:465828:16:5 - Installation8:16:5 - Installation</t>
  </si>
  <si>
    <t>8:29:#11 Compressed air generation8:29:#11 Compressed air generation8:33:Ready for Control cabinets set up8:33:Ready for Control cabinets set up8:5:465895:5:465898:16:5 - Installation8:16:5 - Installation</t>
  </si>
  <si>
    <t>8:29:#11 Compressed air generation8:29:#11 Compressed air generation8:31:Process electrical installation8:31:Process electrical installation8:5:465895:5:465898:16:5 - Installation8:16:5 - Installation</t>
  </si>
  <si>
    <t>8:29:#11 Compressed air generation8:29:#11 Compressed air generation8:23:Ready for commissioning8:23:Ready for commissioning8:5:466445:5:466448:16:5 - Installation8:16:5 - Installation</t>
  </si>
  <si>
    <t>8:15:#15 Application8:15:#15 Application8:16:5 - Installation8:16:5 - Installation8:5:465535:5:465538:16:5 - Installation8:16:5 - Installation</t>
  </si>
  <si>
    <t>8:15:#15 Application8:15:#15 Application8:11:Application8:11:Application8:5:465535:5:465538:16:5 - Installation8:16:5 - Installation</t>
  </si>
  <si>
    <t>8:15:#15 Application8:15:#15 Application8:38:Cabinet and electrical for Application8:38:Cabinet and electrical for Application8:5:465895:5:465898:16:5 - Installation8:16:5 - Installation</t>
  </si>
  <si>
    <t>8:7:#15 MSS8:7:#15 MSS8:16:5 - Installation8:16:5 - Installation8:5:465745:5:465748:16:5 - Installation8:16:5 - Installation</t>
  </si>
  <si>
    <t>8:7:#15 MSS8:7:#15 MSS8:22:Material supply system8:22:Material supply system8:5:465745:5:465748:16:5 - Installation8:16:5 - Installation</t>
  </si>
  <si>
    <t>8:7:#15 MSS8:7:#15 MSS8:29:Cabinet and electricalfor MSS8:29:Cabinet and electricalfor MSS8:5:465895:5:465898:16:5 - Installation8:16:5 - Installation</t>
  </si>
  <si>
    <t>8:31:#12 Light under steel platforms8:31:#12 Light under steel platforms8:16:5 - Installation8:16:5 - Installation8:5:465865:5:465868:16:5 - Installation8:16:5 - Installation</t>
  </si>
  <si>
    <t>8:31:#12 Light under steel platforms8:31:#12 Light under steel platforms8:8:Lighting8:8:Lighting8:5:465865:5:465868:16:5 - Installation8:16:5 - Installation</t>
  </si>
  <si>
    <t>8:18:#03 RO Water Plant8:18:#03 RO Water Plant8:16:5 - Installation8:16:5 - Installation8:5:465215:5:465218:16:5 - Installation8:16:5 - Installation</t>
  </si>
  <si>
    <t>8:18:#03 RO Water Plant8:18:#03 RO Water Plant8:9:Axis line8:9:Axis line8:5:465215:5:465218:16:5 - Installation8:16:5 - Installation</t>
  </si>
  <si>
    <t>8:18:#03 RO Water Plant8:18:#03 RO Water Plant8:16:Utilities supply8:16:Utilities supply8:5:466455:5:466458:16:5 - Installation8:16:5 - Installation</t>
  </si>
  <si>
    <t>8:18:#03 RO Water Plant8:18:#03 RO Water Plant8:23:Close assembly openings8:23:Close assembly openings8:5:466365:5:466368:16:5 - Installation8:16:5 - Installation</t>
  </si>
  <si>
    <t>8:18:#03 RO Water Plant8:18:#03 RO Water Plant8:18:Exhaust air washer8:18:Exhaust air washer8:5:465675:5:465678:16:5 - Installation8:16:5 - Installation</t>
  </si>
  <si>
    <t>8:18:#03 RO Water Plant8:18:#03 RO Water Plant8:12:Front piping8:12:Front piping8:5:465425:5:465428:16:5 - Installation8:16:5 - Installation</t>
  </si>
  <si>
    <t>8:18:#03 RO Water Plant8:18:#03 RO Water Plant8:13:I&amp;C equipment8:13:I&amp;C equipment8:5:465775:5:465778:16:5 - Installation8:16:5 - Installation</t>
  </si>
  <si>
    <t>8:18:#03 RO Water Plant8:18:#03 RO Water Plant8:5:Tanks8:5:Tanks8:5:465215:5:465218:16:5 - Installation8:16:5 - Installation</t>
  </si>
  <si>
    <t>8:18:#03 RO Water Plant8:18:#03 RO Water Plant8:8:Labeling8:8:Labeling8:5:466335:5:466338:16:5 - Installation8:16:5 - Installation</t>
  </si>
  <si>
    <t>8:18:#03 RO Water Plant8:18:#03 RO Water Plant8:11:Pump groups8:11:Pump groups8:5:465425:5:465428:16:5 - Installation8:16:5 - Installation</t>
  </si>
  <si>
    <t>8:18:#03 RO Water Plant8:18:#03 RO Water Plant8:15:Filling station8:15:Filling station8:5:466365:5:466368:16:5 - Installation8:16:5 - Installation</t>
  </si>
  <si>
    <t>8:18:#03 RO Water Plant8:18:#03 RO Water Plant8:13:Reaction tank8:13:Reaction tank8:5:465355:5:465358:16:5 - Installation8:16:5 - Installation</t>
  </si>
  <si>
    <t>8:18:#03 RO Water Plant8:18:#03 RO Water Plant8:12:Filter press8:12:Filter press8:5:465425:5:465428:16:5 - Installation8:16:5 - Installation</t>
  </si>
  <si>
    <t>8:18:#03 RO Water Plant8:18:#03 RO Water Plant8:15:Connecting pipe8:15:Connecting pipe8:5:465425:5:465428:16:5 - Installation8:16:5 - Installation</t>
  </si>
  <si>
    <t>8:18:#03 RO Water Plant8:18:#03 RO Water Plant8:16:Filling material8:16:Filling material8:5:466455:5:466458:16:5 - Installation8:16:5 - Installation</t>
  </si>
  <si>
    <t>8:18:#03 RO Water Plant8:18:#03 RO Water Plant8:24:Control groups hot water8:24:Control groups hot water8:5:465425:5:465428:16:5 - Installation8:16:5 - Installation</t>
  </si>
  <si>
    <t>8:18:#03 RO Water Plant8:18:#03 RO Water Plant8:25:Control groups cold water8:25:Control groups cold water8:5:465425:5:465428:16:5 - Installation8:16:5 - Installation</t>
  </si>
  <si>
    <t>8:18:#03 RO Water Plant8:18:#03 RO Water Plant8:6:Oil-UF8:6:Oil-UF8:5:465355:5:465358:16:5 - Installation8:16:5 - Installation</t>
  </si>
  <si>
    <t>8:18:#03 RO Water Plant8:18:#03 RO Water Plant8:33:Ready for Control cabinets set up8:33:Ready for Control cabinets set up8:5:465895:5:465898:16:5 - Installation8:16:5 - Installation</t>
  </si>
  <si>
    <t>8:18:#03 RO Water Plant8:18:#03 RO Water Plant8:11:Brush clean8:11:Brush clean8:5:466435:5:466438:16:5 - Installation8:16:5 - Installation</t>
  </si>
  <si>
    <t>8:18:#03 RO Water Plant8:18:#03 RO Water Plant8:23:Ready for commissioning8:23:Ready for commissioning8:5:466455:5:466458:16:5 - Installation8:16:5 - Installation</t>
  </si>
  <si>
    <t>8:19:#20 CS Water Plants8:19:#20 CS Water Plants8:16:5 - Installation8:16:5 - Installation8:5:465895:5:465898:16:5 - Installation8:16:5 - Installation</t>
  </si>
  <si>
    <t>8:19:#20 CS Water Plants8:19:#20 CS Water Plants8:23:Control cabinets set up8:23:Control cabinets set up8:5:465895:5:465898:16:5 - Installation8:16:5 - Installation</t>
  </si>
  <si>
    <t>8:19:#20 CS Water Plants8:19:#20 CS Water Plants8:21:Installation of Panel8:21:Installation of Panel8:5:465915:5:465918:16:5 - Installation8:16:5 - Installation</t>
  </si>
  <si>
    <t>8:19:#20 CS Water Plants8:19:#20 CS Water Plants8:11:Cable Trays8:11:Cable Trays8:5:465955:5:465958:16:5 - Installation8:16:5 - Installation</t>
  </si>
  <si>
    <t>8:19:#20 CS Water Plants8:19:#20 CS Water Plants8:13:Cable Pulling8:13:Cable Pulling8:5:466165:5:466168:16:5 - Installation8:16:5 - Installation</t>
  </si>
  <si>
    <t>8:19:#20 CS Water Plants8:19:#20 CS Water Plants8:20:Profinet measurement8:20:Profinet measurement8:5:466375:5:466378:16:5 - Installation8:16:5 - Installation</t>
  </si>
  <si>
    <t>8:19:#20 CS Water Plants8:19:#20 CS Water Plants8:17:Cable Connections8:17:Cable Connections8:5:466235:5:466238:16:5 - Installation8:16:5 - Installation</t>
  </si>
  <si>
    <t>8:19:#20 CS Water Plants8:19:#20 CS Water Plants8:22:Potential equalization8:22:Potential equalization8:5:466375:5:466378:16:5 - Installation8:16:5 - Installation</t>
  </si>
  <si>
    <t>8:19:#20 CS Water Plants8:19:#20 CS Water Plants8:25:Cable labeling+Tray cover8:25:Cable labeling+Tray cover8:5:466455:5:466458:16:5 - Installation8:16:5 - Installation</t>
  </si>
  <si>
    <t>8:19:#20 CS Water Plants8:19:#20 CS Water Plants8:22:Feed in control panels8:22:Feed in control panels8:5:466445:5:466448:16:5 - Installation8:16:5 - Installation</t>
  </si>
  <si>
    <t>8:19:#20 CS Water Plants8:19:#20 CS Water Plants8:33:Power supply for control cabinets8:33:Power supply for control cabinets8:5:466235:5:466238:16:5 - Installation8:16:5 - Installation</t>
  </si>
  <si>
    <t>8:12:#02 PT Plant8:12:#02 PT Plant8:16:5 - Installation8:16:5 - Installation8:5:464925:5:464928:16:5 - Installation8:16:5 - Installation</t>
  </si>
  <si>
    <t>8:12:#02 PT Plant8:12:#02 PT Plant8:39:Release foundation, grid, level marking8:39:Release foundation, grid, level marking8:5:464925:5:464928:16:5 - Installation8:16:5 - Installation</t>
  </si>
  <si>
    <t>8:12:#02 PT Plant8:12:#02 PT Plant8:9:Axis line8:9:Axis line8:5:464925:5:464928:16:5 - Installation8:16:5 - Installation</t>
  </si>
  <si>
    <t>8:12:#02 PT Plant8:12:#02 PT Plant8:6:Tunnel8:6:Tunnel8:5:465355:5:465358:16:5 - Installation8:16:5 - Installation</t>
  </si>
  <si>
    <t>8:12:#02 PT Plant8:12:#02 PT Plant8:22:Drain pans on position8:22:Drain pans on position8:5:465065:5:465068:16:5 - Installation8:16:5 - Installation</t>
  </si>
  <si>
    <t>8:12:#02 PT Plant8:12:#02 PT Plant8:18:Drain pans welding8:18:Drain pans welding8:5:465115:5:465118:16:5 - Installation8:16:5 - Installation</t>
  </si>
  <si>
    <t>8:12:#02 PT Plant8:12:#02 PT Plant8:14:Air seal entry8:14:Air seal entry8:5:465465:5:465468:16:5 - Installation8:16:5 - Installation</t>
  </si>
  <si>
    <t>8:12:#02 PT Plant8:12:#02 PT Plant8:16:Tunnel equipment8:16:Tunnel equipment8:5:465405:5:465408:16:5 - Installation8:16:5 - Installation</t>
  </si>
  <si>
    <t>8:12:#02 PT Plant8:12:#02 PT Plant8:48:Start of Conveyor installation ( detailschedule)8:48:Start of Conveyor installation ( detailschedule)8:5:465545:5:465548:16:5 - Installation8:16:5 - Installation</t>
  </si>
  <si>
    <t>8:12:#02 PT Plant8:12:#02 PT Plant8:19:Maintenance trolley8:19:Maintenance trolley8:5:466325:5:466328:16:5 - Installation8:16:5 - Installation</t>
  </si>
  <si>
    <t>8:12:#02 PT Plant8:12:#02 PT Plant8:8:Gratings8:8:Gratings8:5:465315:5:465318:16:5 - Installation8:16:5 - Installation</t>
  </si>
  <si>
    <t>8:12:#02 PT Plant8:12:#02 PT Plant8:23:Process tanks alignment8:23:Process tanks alignment8:5:464995:5:464998:16:5 - Installation8:16:5 - Installation</t>
  </si>
  <si>
    <t>8:12:#02 PT Plant8:12:#02 PT Plant8:18:Process tank PE0118:18:Process tank PE0118:5:465195:5:465198:16:5 - Installation8:16:5 - Installation</t>
  </si>
  <si>
    <t>8:12:#02 PT Plant8:12:#02 PT Plant8:18:Process tank PE0128:18:Process tank PE0128:5:465185:5:465188:16:5 - Installation8:16:5 - Installation</t>
  </si>
  <si>
    <t>8:12:#02 PT Plant8:12:#02 PT Plant8:18:Process tank PS0218:18:Process tank PS0218:5:465155:5:465158:16:5 - Installation8:16:5 - Installation</t>
  </si>
  <si>
    <t>8:12:#02 PT Plant8:12:#02 PT Plant8:18:Process tank PA0318:18:Process tank PA0318:5:465095:5:465098:16:5 - Installation8:16:5 - Installation</t>
  </si>
  <si>
    <t>8:12:#02 PT Plant8:12:#02 PT Plant8:18:Process tank PP0418:18:Process tank PP0418:5:465075:5:465078:16:5 - Installation8:16:5 - Installation</t>
  </si>
  <si>
    <t>8:12:#02 PT Plant8:12:#02 PT Plant8:18:Process tank PS0518:18:Process tank PS0518:5:464995:5:464998:16:5 - Installation8:16:5 - Installation</t>
  </si>
  <si>
    <t>8:12:#02 PT Plant8:12:#02 PT Plant8:18:Process tank PS0718:18:Process tank PS0718:5:464975:5:464978:16:5 - Installation8:16:5 - Installation</t>
  </si>
  <si>
    <t>8:12:#02 PT Plant8:12:#02 PT Plant8:15:Auxiliary tanks8:15:Auxiliary tanks8:5:465275:5:465278:16:5 - Installation8:16:5 - Installation</t>
  </si>
  <si>
    <t>8:12:#02 PT Plant8:12:#02 PT Plant8:10:Pump sumps8:10:Pump sumps8:5:465245:5:465248:16:5 - Installation8:16:5 - Installation</t>
  </si>
  <si>
    <t>8:12:#02 PT Plant8:12:#02 PT Plant8:20:Frame for containers8:20:Frame for containers8:5:466045:5:466048:16:5 - Installation8:16:5 - Installation</t>
  </si>
  <si>
    <t>8:12:#02 PT Plant8:12:#02 PT Plant8:22:Dust protection tunnel8:22:Dust protection tunnel8:5:465625:5:465628:16:5 - Installation8:16:5 - Installation</t>
  </si>
  <si>
    <t>8:12:#02 PT Plant8:12:#02 PT Plant8:26:Dust protection floor pans8:26:Dust protection floor pans8:5:465545:5:465548:16:5 - Installation8:16:5 - Installation</t>
  </si>
  <si>
    <t>8:12:#02 PT Plant8:12:#02 PT Plant8:8:Lighting8:8:Lighting8:5:465985:5:465988:16:5 - Installation8:16:5 - Installation</t>
  </si>
  <si>
    <t>8:12:#02 PT Plant8:12:#02 PT Plant8:36:Steelwork CP6.10 for dust protection8:36:Steelwork CP6.10 for dust protection8:5:464975:5:464978:16:5 - Installation8:16:5 - Installation</t>
  </si>
  <si>
    <t>8:12:#02 PT Plant8:12:#02 PT Plant8:22:Maintenance equipments8:22:Maintenance equipments8:5:466185:5:466188:16:5 - Installation8:16:5 - Installation</t>
  </si>
  <si>
    <t>8:12:#02 PT Plant8:12:#02 PT Plant8:21:Steelwork CP6.10+6.118:21:Steelwork CP6.10+6.118:5:464935:5:464938:16:5 - Installation8:16:5 - Installation</t>
  </si>
  <si>
    <t>8:12:#02 PT Plant8:12:#02 PT Plant8:23:Steelwork CP6 alignment8:23:Steelwork CP6 alignment8:5:464975:5:464978:16:5 - Installation8:16:5 - Installation</t>
  </si>
  <si>
    <t>8:12:#02 PT Plant8:12:#02 PT Plant8:18:Preassembly groups8:18:Preassembly groups8:5:465275:5:465278:16:5 - Installation8:16:5 - Installation</t>
  </si>
  <si>
    <t>8:12:#02 PT Plant8:12:#02 PT Plant8:33:Piping package preassembly groups8:33:Piping package preassembly groups8:5:465275:5:465278:16:5 - Installation8:16:5 - Installation</t>
  </si>
  <si>
    <t>8:12:#02 PT Plant8:12:#02 PT Plant8:35:Piping package waste water disposal8:35:Piping package waste water disposal8:5:466045:5:466048:16:5 - Installation8:16:5 - Installation</t>
  </si>
  <si>
    <t>8:12:#02 PT Plant8:12:#02 PT Plant8:21:Piping package dosing8:21:Piping package dosing8:5:465415:5:465418:16:5 - Installation8:16:5 - Installation</t>
  </si>
  <si>
    <t>8:12:#02 PT Plant8:12:#02 PT Plant8:24:Piping package utilities8:24:Piping package utilities8:5:465835:5:465838:16:5 - Installation8:16:5 - Installation</t>
  </si>
  <si>
    <t>8:12:#02 PT Plant8:12:#02 PT Plant8:13:I&amp;C equipment8:13:I&amp;C equipment8:5:465835:5:465838:16:5 - Installation8:16:5 - Installation</t>
  </si>
  <si>
    <t>8:12:#02 PT Plant8:12:#02 PT Plant8:15:Ducting package8:15:Ducting package8:5:465805:5:465808:16:5 - Installation8:16:5 - Installation</t>
  </si>
  <si>
    <t>8:12:#02 PT Plant8:12:#02 PT Plant8:4:Fans8:4:Fans8:5:465705:5:465708:16:5 - Installation8:16:5 - Installation</t>
  </si>
  <si>
    <t>8:12:#02 PT Plant8:12:#02 PT Plant8:6:Filter8:6:Filter8:5:466465:5:466468:16:5 - Installation8:16:5 - Installation</t>
  </si>
  <si>
    <t>8:12:#02 PT Plant8:12:#02 PT Plant8:18:Insulation package8:18:Insulation package8:5:465765:5:465768:16:5 - Installation8:16:5 - Installation</t>
  </si>
  <si>
    <t>8:12:#02 PT Plant8:12:#02 PT Plant8:34:Filter press with dump chute FP0418:34:Filter press with dump chute FP0418:5:465315:5:465318:16:5 - Installation8:16:5 - Installation</t>
  </si>
  <si>
    <t>8:12:#02 PT Plant8:12:#02 PT Plant8:8:Labeling8:8:Labeling8:5:466315:5:466318:16:5 - Installation8:16:5 - Installation</t>
  </si>
  <si>
    <t>8:12:#02 PT Plant8:12:#02 PT Plant8:33:Ready for Control cabinets set up8:33:Ready for Control cabinets set up8:5:465835:5:465838:16:5 - Installation8:16:5 - Installation</t>
  </si>
  <si>
    <t>8:12:#02 PT Plant8:12:#02 PT Plant8:11:Brush clean8:11:Brush clean8:5:466395:5:466398:16:5 - Installation8:16:5 - Installation</t>
  </si>
  <si>
    <t>8:12:#02 PT Plant8:12:#02 PT Plant8:16:Utilities supply8:16:Utilities supply8:5:466455:5:466458:16:5 - Installation8:16:5 - Installation</t>
  </si>
  <si>
    <t>8:12:#02 PT Plant8:12:#02 PT Plant8:35:Risk assessment&amp; checklist reviewed8:35:Risk assessment&amp; checklist reviewed8:5:466315:5:466318:16:5 - Installation8:16:5 - Installation</t>
  </si>
  <si>
    <t>8:12:#02 PT Plant8:12:#02 PT Plant8:23:Ready for commissioning8:23:Ready for commissioning8:5:466455:5:466458:16:5 - Installation8:16:5 - Installation</t>
  </si>
  <si>
    <t>8:15:#20 CS PT Plant8:15:#20 CS PT Plant8:16:5 - Installation8:16:5 - Installation8:5:465835:5:465838:16:5 - Installation8:16:5 - Installation</t>
  </si>
  <si>
    <t>8:15:#20 CS PT Plant8:15:#20 CS PT Plant8:23:Control cabinets set up8:23:Control cabinets set up8:5:465835:5:465838:16:5 - Installation8:16:5 - Installation</t>
  </si>
  <si>
    <t>8:15:#20 CS PT Plant8:15:#20 CS PT Plant8:21:Installation of Panel8:21:Installation of Panel8:5:465845:5:465848:16:5 - Installation8:16:5 - Installation</t>
  </si>
  <si>
    <t>8:15:#20 CS PT Plant8:15:#20 CS PT Plant8:11:Cable Trays8:11:Cable Trays8:5:465885:5:465888:16:5 - Installation8:16:5 - Installation</t>
  </si>
  <si>
    <t>8:15:#20 CS PT Plant8:15:#20 CS PT Plant8:13:Cable Pulling8:13:Cable Pulling8:5:466175:5:466178:16:5 - Installation8:16:5 - Installation</t>
  </si>
  <si>
    <t>8:15:#20 CS PT Plant8:15:#20 CS PT Plant8:17:Cable Connections8:17:Cable Connections8:5:466245:5:466248:16:5 - Installation8:16:5 - Installation</t>
  </si>
  <si>
    <t>8:15:#20 CS PT Plant8:15:#20 CS PT Plant8:20:Profinet measurement8:20:Profinet measurement8:5:466385:5:466388:16:5 - Installation8:16:5 - Installation</t>
  </si>
  <si>
    <t>8:15:#20 CS PT Plant8:15:#20 CS PT Plant8:22:Potential equalization8:22:Potential equalization8:5:466385:5:466388:16:5 - Installation8:16:5 - Installation</t>
  </si>
  <si>
    <t>8:15:#20 CS PT Plant8:15:#20 CS PT Plant8:25:Cable labeling+Tray cover8:25:Cable labeling+Tray cover8:5:466465:5:466468:16:5 - Installation8:16:5 - Installation</t>
  </si>
  <si>
    <t>8:15:#20 CS PT Plant8:15:#20 CS PT Plant8:33:Power supply for control cabinets8:33:Power supply for control cabinets8:5:466245:5:466248:16:5 - Installation8:16:5 - Installation</t>
  </si>
  <si>
    <t>8:15:#20 CS PT Plant8:15:#20 CS PT Plant8:22:Feed in control panels8:22:Feed in control panels8:5:466455:5:466458:16:5 - Installation8:16:5 - Installation</t>
  </si>
  <si>
    <t>8:12:#02 EC Plant8:12:#02 EC Plant8:16:5 - Installation8:16:5 - Installation8:5:464915:5:464918:16:5 - Installation8:16:5 - Installation</t>
  </si>
  <si>
    <t>8:12:#02 EC Plant8:12:#02 EC Plant8:39:Release foundation, grid, level marking8:39:Release foundation, grid, level marking8:5:464915:5:464918:16:5 - Installation8:16:5 - Installation</t>
  </si>
  <si>
    <t>8:12:#02 EC Plant8:12:#02 EC Plant8:9:Axis line8:9:Axis line8:5:464915:5:464918:16:5 - Installation8:16:5 - Installation</t>
  </si>
  <si>
    <t>8:12:#02 EC Plant8:12:#02 EC Plant8:6:Tunnel8:6:Tunnel8:5:465355:5:465358:16:5 - Installation8:16:5 - Installation</t>
  </si>
  <si>
    <t>8:12:#02 EC Plant8:12:#02 EC Plant8:22:Drain pans on position8:22:Drain pans on position8:5:465075:5:465078:16:5 - Installation8:16:5 - Installation</t>
  </si>
  <si>
    <t>8:12:#02 EC Plant8:12:#02 EC Plant8:18:Drain pans welding8:18:Drain pans welding8:5:465135:5:465138:16:5 - Installation8:16:5 - Installation</t>
  </si>
  <si>
    <t>8:12:#02 EC Plant8:12:#02 EC Plant8:16:Tunnel equipment8:16:Tunnel equipment8:5:465405:5:465408:16:5 - Installation8:16:5 - Installation</t>
  </si>
  <si>
    <t>8:12:#02 EC Plant8:12:#02 EC Plant8:48:Start of Conveyor installation ( detailschedule)8:48:Start of Conveyor installation ( detailschedule)8:5:465545:5:465548:16:5 - Installation8:16:5 - Installation</t>
  </si>
  <si>
    <t>8:12:#02 EC Plant8:12:#02 EC Plant8:19:Maintenance trolley8:19:Maintenance trolley8:5:466185:5:466188:16:5 - Installation8:16:5 - Installation</t>
  </si>
  <si>
    <t>8:12:#02 EC Plant8:12:#02 EC Plant8:8:Gratings8:8:Gratings8:5:465245:5:465248:16:5 - Installation8:16:5 - Installation</t>
  </si>
  <si>
    <t>8:12:#02 EC Plant8:12:#02 EC Plant8:23:Process tanks alignment8:23:Process tanks alignment8:5:465005:5:465008:16:5 - Installation8:16:5 - Installation</t>
  </si>
  <si>
    <t>8:12:#02 EC Plant8:12:#02 EC Plant8:17:EC dip tank PK0118:17:EC dip tank PK0118:5:465005:5:465008:16:5 - Installation8:16:5 - Installation</t>
  </si>
  <si>
    <t>8:12:#02 EC Plant8:12:#02 EC Plant8:18:Process tank PS0218:18:Process tank PS0218:5:465065:5:465068:16:5 - Installation8:16:5 - Installation</t>
  </si>
  <si>
    <t>8:12:#02 EC Plant8:12:#02 EC Plant8:18:Process tank PS0228:18:Process tank PS0228:5:465115:5:465118:16:5 - Installation8:16:5 - Installation</t>
  </si>
  <si>
    <t>8:12:#02 EC Plant8:12:#02 EC Plant8:18:Process tank PS0718:18:Process tank PS0718:5:465135:5:465138:16:5 - Installation8:16:5 - Installation</t>
  </si>
  <si>
    <t>8:12:#02 EC Plant8:12:#02 EC Plant8:15:EC tank coating8:15:EC tank coating8:5:465805:5:465808:16:5 - Installation8:16:5 - Installation</t>
  </si>
  <si>
    <t>8:12:#02 EC Plant8:12:#02 EC Plant8:15:Dump tank BA3118:15:Dump tank BA3118:5:464925:5:464928:16:5 - Installation8:16:5 - Installation</t>
  </si>
  <si>
    <t>8:12:#02 EC Plant8:12:#02 EC Plant8:15:Auxiliary tanks8:15:Auxiliary tanks8:5:465415:5:465418:16:5 - Installation8:16:5 - Installation</t>
  </si>
  <si>
    <t>8:12:#02 EC Plant8:12:#02 EC Plant8:25:Built in components tanks8:25:Built in components tanks8:5:465175:5:465178:16:5 - Installation8:16:5 - Installation</t>
  </si>
  <si>
    <t>8:12:#02 EC Plant8:12:#02 EC Plant8:10:Pump sumps8:10:Pump sumps8:5:465415:5:465418:16:5 - Installation8:16:5 - Installation</t>
  </si>
  <si>
    <t>8:12:#02 EC Plant8:12:#02 EC Plant8:20:Frame for containers8:20:Frame for containers8:5:466045:5:466048:16:5 - Installation8:16:5 - Installation</t>
  </si>
  <si>
    <t>8:12:#02 EC Plant8:12:#02 EC Plant8:22:Dust protection tunnel8:22:Dust protection tunnel8:5:465635:5:465638:16:5 - Installation8:16:5 - Installation</t>
  </si>
  <si>
    <t>8:12:#02 EC Plant8:12:#02 EC Plant8:18:EC dip tank tunnel8:18:EC dip tank tunnel8:5:465285:5:465288:16:5 - Installation8:16:5 - Installation</t>
  </si>
  <si>
    <t>8:12:#02 EC Plant8:12:#02 EC Plant8:26:Dust protection floor pans8:26:Dust protection floor pans8:5:465565:5:465568:16:5 - Installation8:16:5 - Installation</t>
  </si>
  <si>
    <t>8:12:#02 EC Plant8:12:#02 EC Plant8:8:Lighting8:8:Lighting8:5:465845:5:465848:16:5 - Installation8:16:5 - Installation</t>
  </si>
  <si>
    <t>8:12:#02 EC Plant8:12:#02 EC Plant8:41:Steelwork CP6.11+5.10 for dust protection8:41:Steelwork CP6.11+5.10 for dust protection8:5:465425:5:465428:16:5 - Installation8:16:5 - Installation</t>
  </si>
  <si>
    <t>8:12:#02 EC Plant8:12:#02 EC Plant8:22:Maintenance equipments8:22:Maintenance equipments8:5:466045:5:466048:16:5 - Installation8:16:5 - Installation</t>
  </si>
  <si>
    <t>8:12:#02 EC Plant8:12:#02 EC Plant8:21:Steelwork CP6.10+6.118:21:Steelwork CP6.10+6.118:5:464935:5:464938:16:5 - Installation8:16:5 - Installation</t>
  </si>
  <si>
    <t>8:12:#02 EC Plant8:12:#02 EC Plant8:23:Steelwork CP6 alignment8:23:Steelwork CP6 alignment8:5:464985:5:464988:16:5 - Installation8:16:5 - Installation</t>
  </si>
  <si>
    <t>8:12:#02 EC Plant8:12:#02 EC Plant8:18:Preassembly groups8:18:Preassembly groups8:5:465415:5:465418:16:5 - Installation8:16:5 - Installation</t>
  </si>
  <si>
    <t>8:12:#02 EC Plant8:12:#02 EC Plant8:12:UF membranes8:12:UF membranes8:5:466315:5:466318:16:5 - Installation8:16:5 - Installation</t>
  </si>
  <si>
    <t>8:12:#02 EC Plant8:12:#02 EC Plant8:33:Piping package preassembly groups8:33:Piping package preassembly groups8:5:465485:5:465488:16:5 - Installation8:16:5 - Installation</t>
  </si>
  <si>
    <t>8:12:#02 EC Plant8:12:#02 EC Plant8:30:Piping package anolyte circuit8:30:Piping package anolyte circuit8:5:465625:5:465628:16:5 - Installation8:16:5 - Installation</t>
  </si>
  <si>
    <t>8:12:#02 EC Plant8:12:#02 EC Plant8:21:Piping package dosing8:21:Piping package dosing8:5:465765:5:465768:16:5 - Installation8:16:5 - Installation</t>
  </si>
  <si>
    <t>8:12:#02 EC Plant8:12:#02 EC Plant8:24:Piping package utilities8:24:Piping package utilities8:5:465905:5:465908:16:5 - Installation8:16:5 - Installation</t>
  </si>
  <si>
    <t>8:12:#02 EC Plant8:12:#02 EC Plant8:13:I&amp;C equipment8:13:I&amp;C equipment8:5:465615:5:465618:16:5 - Installation8:16:5 - Installation</t>
  </si>
  <si>
    <t>8:12:#02 EC Plant8:12:#02 EC Plant8:14:Dialysis cells8:14:Dialysis cells8:5:466315:5:466318:16:5 - Installation8:16:5 - Installation</t>
  </si>
  <si>
    <t>8:12:#02 EC Plant8:12:#02 EC Plant8:15:Ducting package8:15:Ducting package8:5:465805:5:465808:16:5 - Installation8:16:5 - Installation</t>
  </si>
  <si>
    <t>8:12:#02 EC Plant8:12:#02 EC Plant8:4:Fans8:4:Fans8:5:465795:5:465798:16:5 - Installation8:16:5 - Installation</t>
  </si>
  <si>
    <t>8:12:#02 EC Plant8:12:#02 EC Plant8:6:Filter8:6:Filter8:5:466325:5:466328:16:5 - Installation8:16:5 - Installation</t>
  </si>
  <si>
    <t>8:12:#02 EC Plant8:12:#02 EC Plant8:18:Insulation package8:18:Insulation package8:5:465975:5:465978:16:5 - Installation8:16:5 - Installation</t>
  </si>
  <si>
    <t>8:12:#02 EC Plant8:12:#02 EC Plant8:8:Labeling8:8:Labeling8:5:466175:5:466178:16:5 - Installation8:16:5 - Installation</t>
  </si>
  <si>
    <t>8:12:#02 EC Plant8:12:#02 EC Plant8:33:Ready for Control cabinets set up8:33:Ready for Control cabinets set up8:5:465755:5:465758:16:5 - Installation8:16:5 - Installation</t>
  </si>
  <si>
    <t>8:12:#02 EC Plant8:12:#02 EC Plant8:11:Brush clean8:11:Brush clean8:5:466255:5:466258:16:5 - Installation8:16:5 - Installation</t>
  </si>
  <si>
    <t>8:12:#02 EC Plant8:12:#02 EC Plant8:16:Utilities supply8:16:Utilities supply8:5:466175:5:466178:16:5 - Installation8:16:5 - Installation</t>
  </si>
  <si>
    <t>8:12:#02 EC Plant8:12:#02 EC Plant8:35:Risk assessment&amp; checklist reviewed8:35:Risk assessment&amp; checklist reviewed8:5:466245:5:466248:16:5 - Installation8:16:5 - Installation</t>
  </si>
  <si>
    <t>8:12:#02 EC Plant8:12:#02 EC Plant8:23:Ready for commissioning8:23:Ready for commissioning8:5:466315:5:466318:16:5 - Installation8:16:5 - Installation</t>
  </si>
  <si>
    <t>8:15:#20 CS EC Plant8:15:#20 CS EC Plant8:16:5 - Installation8:16:5 - Installation8:5:465755:5:465758:16:5 - Installation8:16:5 - Installation</t>
  </si>
  <si>
    <t>8:15:#20 CS EC Plant8:15:#20 CS EC Plant8:23:Control cabinets set up8:23:Control cabinets set up8:5:465755:5:465758:16:5 - Installation8:16:5 - Installation</t>
  </si>
  <si>
    <t>8:15:#20 CS EC Plant8:15:#20 CS EC Plant8:21:Installation of Panel8:21:Installation of Panel8:5:465775:5:465778:16:5 - Installation8:16:5 - Installation</t>
  </si>
  <si>
    <t>8:15:#20 CS EC Plant8:15:#20 CS EC Plant8:11:Cable Trays8:11:Cable Trays8:5:465815:5:465818:16:5 - Installation8:16:5 - Installation</t>
  </si>
  <si>
    <t>8:15:#20 CS EC Plant8:15:#20 CS EC Plant8:13:Cable Pulling8:13:Cable Pulling8:5:466035:5:466038:16:5 - Installation8:16:5 - Installation</t>
  </si>
  <si>
    <t>8:15:#20 CS EC Plant8:15:#20 CS EC Plant8:17:Cable Connections8:17:Cable Connections8:5:466105:5:466108:16:5 - Installation8:16:5 - Installation</t>
  </si>
  <si>
    <t>8:15:#20 CS EC Plant8:15:#20 CS EC Plant8:20:Profinet measurement8:20:Profinet measurement8:5:466245:5:466248:16:5 - Installation8:16:5 - Installation</t>
  </si>
  <si>
    <t>8:15:#20 CS EC Plant8:15:#20 CS EC Plant8:22:Potential equalization8:22:Potential equalization8:5:466245:5:466248:16:5 - Installation8:16:5 - Installation</t>
  </si>
  <si>
    <t>8:15:#20 CS EC Plant8:15:#20 CS EC Plant8:25:Cable labeling+Tray cover8:25:Cable labeling+Tray cover8:5:466455:5:466458:16:5 - Installation8:16:5 - Installation</t>
  </si>
  <si>
    <t>8:15:#20 CS EC Plant8:15:#20 CS EC Plant8:33:Power supply for control cabinets8:33:Power supply for control cabinets8:5:466105:5:466108:16:5 - Installation8:16:5 - Installation</t>
  </si>
  <si>
    <t>8:15:#20 CS EC Plant8:15:#20 CS EC Plant8:22:Feed in control panels8:22:Feed in control panels8:5:466315:5:466318:16:5 - Installation8:16:5 - Installation</t>
  </si>
  <si>
    <t>8:16:#20 CS Rectifier8:16:#20 CS Rectifier8:16:5 - Installation8:16:5 - Installation8:5:465825:5:465828:16:5 - Installation8:16:5 - Installation</t>
  </si>
  <si>
    <t>8:16:#20 CS Rectifier8:16:#20 CS Rectifier8:23:Control cabinets set up8:23:Control cabinets set up8:5:465825:5:465828:16:5 - Installation8:16:5 - Installation</t>
  </si>
  <si>
    <t>8:16:#20 CS Rectifier8:16:#20 CS Rectifier8:21:Installation of Panel8:21:Installation of Panel8:5:465845:5:465848:16:5 - Installation8:16:5 - Installation</t>
  </si>
  <si>
    <t>8:16:#20 CS Rectifier8:16:#20 CS Rectifier8:11:Cable Trays8:11:Cable Trays8:5:465885:5:465888:16:5 - Installation8:16:5 - Installation</t>
  </si>
  <si>
    <t>8:16:#20 CS Rectifier8:16:#20 CS Rectifier8:13:Cable Pulling8:13:Cable Pulling8:5:466175:5:466178:16:5 - Installation8:16:5 - Installation</t>
  </si>
  <si>
    <t>8:16:#20 CS Rectifier8:16:#20 CS Rectifier8:17:Cable Connections8:17:Cable Connections8:5:466245:5:466248:16:5 - Installation8:16:5 - Installation</t>
  </si>
  <si>
    <t>8:16:#20 CS Rectifier8:16:#20 CS Rectifier8:20:Profinet measurement8:20:Profinet measurement8:5:466385:5:466388:16:5 - Installation8:16:5 - Installation</t>
  </si>
  <si>
    <t>8:16:#20 CS Rectifier8:16:#20 CS Rectifier8:22:Potential equalization8:22:Potential equalization8:5:466385:5:466388:16:5 - Installation8:16:5 - Installation</t>
  </si>
  <si>
    <t>8:16:#20 CS Rectifier8:16:#20 CS Rectifier8:25:Cable labeling+Tray cover8:25:Cable labeling+Tray cover8:5:466455:5:466458:16:5 - Installation8:16:5 - Installation</t>
  </si>
  <si>
    <t>8:16:#20 CS Rectifier8:16:#20 CS Rectifier8:33:Power supply for control cabinets8:33:Power supply for control cabinets8:5:466245:5:466248:16:5 - Installation8:16:5 - Installation</t>
  </si>
  <si>
    <t>8:16:#20 CS Rectifier8:16:#20 CS Rectifier8:22:Feed in control panels8:22:Feed in control panels8:5:466455:5:466458:16:5 - Installation8:16:5 - Installation</t>
  </si>
  <si>
    <t>8:41:#10 CV01 DipSkid,Lock,Preclean,ECSand,UBS8:41:#10 CV01 DipSkid,Lock,Preclean,ECSand,UBS8:16:5 - Installation8:16:5 - Installation8:5:465205:5:465208:16:5 - Installation8:16:5 - Installation</t>
  </si>
  <si>
    <t>8:41:#10 CV01 DipSkid,Lock,Preclean,ECSand,UBS8:41:#10 CV01 DipSkid,Lock,Preclean,ECSand,UBS8:13:Rollerbed *568:13:Rollerbed *568:5:465555:5:465558:16:5 - Installation8:16:5 - Installation</t>
  </si>
  <si>
    <t>8:41:#10 CV01 DipSkid,Lock,Preclean,ECSand,UBS8:41:#10 CV01 DipSkid,Lock,Preclean,ECSand,UBS8:24:Turn and swivel table *28:24:Turn and swivel table *28:5:465595:5:465598:16:5 - Installation8:16:5 - Installation</t>
  </si>
  <si>
    <t>8:41:#10 CV01 DipSkid,Lock,Preclean,ECSand,UBS8:41:#10 CV01 DipSkid,Lock,Preclean,ECSand,UBS8:21:Cross transfer car *68:21:Cross transfer car *68:5:465555:5:465558:16:5 - Installation8:16:5 - Installation</t>
  </si>
  <si>
    <t>8:41:#10 CV01 DipSkid,Lock,Preclean,ECSand,UBS8:41:#10 CV01 DipSkid,Lock,Preclean,ECSand,UBS8:13:Elevator *1+28:13:Elevator *1+28:5:465555:5:465558:16:5 - Installation8:16:5 - Installation</t>
  </si>
  <si>
    <t>8:41:#10 CV01 DipSkid,Lock,Preclean,ECSand,UBS8:41:#10 CV01 DipSkid,Lock,Preclean,ECSand,UBS8:21:Scissor lift table *28:21:Scissor lift table *28:5:465595:5:465598:16:5 - Installation8:16:5 - Installation</t>
  </si>
  <si>
    <t>8:41:#10 CV01 DipSkid,Lock,Preclean,ECSand,UBS8:41:#10 CV01 DipSkid,Lock,Preclean,ECSand,UBS8:24:Body transfer station *18:24:Body transfer station *18:5:465595:5:465598:16:5 - Installation8:16:5 - Installation</t>
  </si>
  <si>
    <t>8:41:#10 CV01 DipSkid,Lock,Preclean,ECSand,UBS8:41:#10 CV01 DipSkid,Lock,Preclean,ECSand,UBS8:22:Body locking device *28:22:Body locking device *28:5:465595:5:465598:16:5 - Installation8:16:5 - Installation</t>
  </si>
  <si>
    <t>8:41:#10 CV01 DipSkid,Lock,Preclean,ECSand,UBS8:41:#10 CV01 DipSkid,Lock,Preclean,ECSand,UBS8:14:Skid fixing *68:14:Skid fixing *68:5:465595:5:465598:16:5 - Installation8:16:5 - Installation</t>
  </si>
  <si>
    <t>8:41:#10 CV01 DipSkid,Lock,Preclean,ECSand,UBS8:41:#10 CV01 DipSkid,Lock,Preclean,ECSand,UBS8:15:Skid stacker *18:15:Skid stacker *18:5:465595:5:465598:16:5 - Installation8:16:5 - Installation</t>
  </si>
  <si>
    <t>8:41:#10 CV01 DipSkid,Lock,Preclean,ECSand,UBS8:41:#10 CV01 DipSkid,Lock,Preclean,ECSand,UBS8:27:EcoFriction roller track *98:27:EcoFriction roller track *98:5:465205:5:465208:16:5 - Installation8:16:5 - Installation</t>
  </si>
  <si>
    <t>8:41:#10 CV01 DipSkid,Lock,Preclean,ECSand,UBS8:41:#10 CV01 DipSkid,Lock,Preclean,ECSand,UBS8:23:CV platform CP5.10+5.128:23:CV platform CP5.10+5.128:5:465255:5:465258:16:5 - Installation8:16:5 - Installation</t>
  </si>
  <si>
    <t>8:41:#10 CV01 DipSkid,Lock,Preclean,ECSand,UBS8:41:#10 CV01 DipSkid,Lock,Preclean,ECSand,UBS8:33:Steelwork CV profiles CP5.10+5.128:33:Steelwork CV profiles CP5.10+5.128:5:465255:5:465258:16:5 - Installation8:16:5 - Installation</t>
  </si>
  <si>
    <t>8:41:#10 CV01 DipSkid,Lock,Preclean,ECSand,UBS8:41:#10 CV01 DipSkid,Lock,Preclean,ECSand,UBS8:16:Structural steel8:16:Structural steel8:5:465255:5:465258:16:5 - Installation8:16:5 - Installation</t>
  </si>
  <si>
    <t>8:41:#10 CV01 DipSkid,Lock,Preclean,ECSand,UBS8:41:#10 CV01 DipSkid,Lock,Preclean,ECSand,UBS8:10:Paint Skid8:10:Paint Skid8:5:466295:5:466298:16:5 - Installation8:16:5 - Installation</t>
  </si>
  <si>
    <t>8:41:#10 CV01 DipSkid,Lock,Preclean,ECSand,UBS8:41:#10 CV01 DipSkid,Lock,Preclean,ECSand,UBS8:6:Hanger8:6:Hanger8:5:466295:5:466298:16:5 - Installation8:16:5 - Installation</t>
  </si>
  <si>
    <t>8:41:#10 CV01 DipSkid,Lock,Preclean,ECSand,UBS8:41:#10 CV01 DipSkid,Lock,Preclean,ECSand,UBS8:8:Dip Skid8:8:Dip Skid8:5:466295:5:466298:16:5 - Installation8:16:5 - Installation</t>
  </si>
  <si>
    <t>8:41:#10 CV01 DipSkid,Lock,Preclean,ECSand,UBS8:41:#10 CV01 DipSkid,Lock,Preclean,ECSand,UBS8:12:Safety fence8:12:Safety fence8:5:465595:5:465598:16:5 - Installation8:16:5 - Installation</t>
  </si>
  <si>
    <t>8:41:#10 CV01 DipSkid,Lock,Preclean,ECSand,UBS8:41:#10 CV01 DipSkid,Lock,Preclean,ECSand,UBS8:28:Transport trolly skid/hanger8:28:Transport trolly skid/hanger8:5:466225:5:466228:16:5 - Installation8:16:5 - Installation</t>
  </si>
  <si>
    <t>8:41:#10 CV01 DipSkid,Lock,Preclean,ECSand,UBS8:41:#10 CV01 DipSkid,Lock,Preclean,ECSand,UBS8:33:Ready for Control cabinets set up8:33:Ready for Control cabinets set up8:5:465945:5:465948:16:5 - Installation8:16:5 - Installation</t>
  </si>
  <si>
    <t>8:41:#10 CV01 DipSkid,Lock,Preclean,ECSand,UBS8:41:#10 CV01 DipSkid,Lock,Preclean,ECSand,UBS8:21:Skid checking station8:21:Skid checking station8:5:466085:5:466088:16:5 - Installation8:16:5 - Installation</t>
  </si>
  <si>
    <t>8:41:#10 CV01 DipSkid,Lock,Preclean,ECSand,UBS8:41:#10 CV01 DipSkid,Lock,Preclean,ECSand,UBS8:35:Risk assessment&amp; checklist reviewed8:35:Risk assessment&amp; checklist reviewed8:5:466365:5:466368:16:5 - Installation8:16:5 - Installation</t>
  </si>
  <si>
    <t>8:41:#10 CV01 DipSkid,Lock,Preclean,ECSand,UBS8:41:#10 CV01 DipSkid,Lock,Preclean,ECSand,UBS8:28:Ready for commissioning CG018:28:Ready for commissioning CG018:5:466425:5:466428:16:5 - Installation8:16:5 - Installation</t>
  </si>
  <si>
    <t>8:21:#10 CV02 PTEC Rodip-E8:21:#10 CV02 PTEC Rodip-E8:16:5 - Installation8:16:5 - Installation8:5:465755:5:465758:16:5 - Installation8:16:5 - Installation</t>
  </si>
  <si>
    <t>8:21:#10 CV02 PTEC Rodip-E8:21:#10 CV02 PTEC Rodip-E8:9:Rollerbed8:9:Rollerbed8:5:465825:5:465828:16:5 - Installation8:16:5 - Installation</t>
  </si>
  <si>
    <t>8:21:#10 CV02 PTEC Rodip-E8:21:#10 CV02 PTEC Rodip-E8:8:Dip Skid8:8:Dip Skid8:5:466315:5:466318:16:5 - Installation8:16:5 - Installation</t>
  </si>
  <si>
    <t>8:21:#10 CV02 PTEC Rodip-E8:21:#10 CV02 PTEC Rodip-E8:12:Safety fence8:12:Safety fence8:5:465755:5:465758:16:5 - Installation8:16:5 - Installation</t>
  </si>
  <si>
    <t>8:21:#10 CV02 PTEC Rodip-E8:21:#10 CV02 PTEC Rodip-E8:28:Transport trolly skid/hanger8:28:Transport trolly skid/hanger8:5:466245:5:466248:16:5 - Installation8:16:5 - Installation</t>
  </si>
  <si>
    <t>8:21:#10 CV02 PTEC Rodip-E8:21:#10 CV02 PTEC Rodip-E8:33:Ready for Control cabinets set up8:33:Ready for Control cabinets set up8:5:465965:5:465968:16:5 - Installation8:16:5 - Installation</t>
  </si>
  <si>
    <t>8:21:#10 CV02 PTEC Rodip-E8:21:#10 CV02 PTEC Rodip-E8:21:Skid checking station8:21:Skid checking station8:5:466105:5:466108:16:5 - Installation8:16:5 - Installation</t>
  </si>
  <si>
    <t>8:21:#10 CV02 PTEC Rodip-E8:21:#10 CV02 PTEC Rodip-E8:35:Risk assessment&amp; checklist reviewed8:35:Risk assessment&amp; checklist reviewed8:5:466385:5:466388:16:5 - Installation8:16:5 - Installation</t>
  </si>
  <si>
    <t>8:21:#10 CV02 PTEC Rodip-E8:21:#10 CV02 PTEC Rodip-E8:28:Ready for commissioning CG028:28:Ready for commissioning CG028:5:466455:5:466458:16:5 - Installation8:16:5 - Installation</t>
  </si>
  <si>
    <t>8:39:#10 CV03 EDStrip,TCSkid,Unlock,Transfer8:39:#10 CV03 EDStrip,TCSkid,Unlock,Transfer8:16:5 - Installation8:16:5 - Installation8:5:465255:5:465258:16:5 - Installation8:16:5 - Installation</t>
  </si>
  <si>
    <t>8:39:#10 CV03 EDStrip,TCSkid,Unlock,Transfer8:39:#10 CV03 EDStrip,TCSkid,Unlock,Transfer8:13:Rollerbed *808:13:Rollerbed *808:5:465375:5:465378:16:5 - Installation8:16:5 - Installation</t>
  </si>
  <si>
    <t>8:39:#10 CV03 EDStrip,TCSkid,Unlock,Transfer8:39:#10 CV03 EDStrip,TCSkid,Unlock,Transfer8:24:Turn and swivel table *28:24:Turn and swivel table *28:5:465515:5:465518:16:5 - Installation8:16:5 - Installation</t>
  </si>
  <si>
    <t>8:39:#10 CV03 EDStrip,TCSkid,Unlock,Transfer8:39:#10 CV03 EDStrip,TCSkid,Unlock,Transfer8:21:Cross transfer car *68:21:Cross transfer car *68:5:465375:5:465378:16:5 - Installation8:16:5 - Installation</t>
  </si>
  <si>
    <t>8:39:#10 CV03 EDStrip,TCSkid,Unlock,Transfer8:39:#10 CV03 EDStrip,TCSkid,Unlock,Transfer8:11:Elevator *18:11:Elevator *18:5:465325:5:465328:16:5 - Installation8:16:5 - Installation</t>
  </si>
  <si>
    <t>8:39:#10 CV03 EDStrip,TCSkid,Unlock,Transfer8:39:#10 CV03 EDStrip,TCSkid,Unlock,Transfer8:18:Scissor lift table8:18:Scissor lift table8:5:465525:5:465528:16:5 - Installation8:16:5 - Installation</t>
  </si>
  <si>
    <t>8:39:#10 CV03 EDStrip,TCSkid,Unlock,Transfer8:39:#10 CV03 EDStrip,TCSkid,Unlock,Transfer8:24:Body transfer station *18:24:Body transfer station *18:5:465525:5:465528:16:5 - Installation8:16:5 - Installation</t>
  </si>
  <si>
    <t>8:39:#10 CV03 EDStrip,TCSkid,Unlock,Transfer8:39:#10 CV03 EDStrip,TCSkid,Unlock,Transfer8:22:Body locking device *18:22:Body locking device *18:5:465525:5:465528:16:5 - Installation8:16:5 - Installation</t>
  </si>
  <si>
    <t>8:39:#10 CV03 EDStrip,TCSkid,Unlock,Transfer8:39:#10 CV03 EDStrip,TCSkid,Unlock,Transfer8:14:Skid fixing *28:14:Skid fixing *28:5:465525:5:465528:16:5 - Installation8:16:5 - Installation</t>
  </si>
  <si>
    <t>8:39:#10 CV03 EDStrip,TCSkid,Unlock,Transfer8:39:#10 CV03 EDStrip,TCSkid,Unlock,Transfer8:15:Skid stacker *18:15:Skid stacker *18:5:465525:5:465528:16:5 - Installation8:16:5 - Installation</t>
  </si>
  <si>
    <t>8:39:#10 CV03 EDStrip,TCSkid,Unlock,Transfer8:39:#10 CV03 EDStrip,TCSkid,Unlock,Transfer8:18:CV platform CP5.118:18:CV platform CP5.118:5:465255:5:465258:16:5 - Installation8:16:5 - Installation</t>
  </si>
  <si>
    <t>8:39:#10 CV03 EDStrip,TCSkid,Unlock,Transfer8:39:#10 CV03 EDStrip,TCSkid,Unlock,Transfer8:28:Steelwork CV profiles CP5.118:28:Steelwork CV profiles CP5.118:5:465255:5:465258:16:5 - Installation8:16:5 - Installation</t>
  </si>
  <si>
    <t>8:39:#10 CV03 EDStrip,TCSkid,Unlock,Transfer8:39:#10 CV03 EDStrip,TCSkid,Unlock,Transfer8:16:Structural steel8:16:Structural steel8:5:465255:5:465258:16:5 - Installation8:16:5 - Installation</t>
  </si>
  <si>
    <t>8:39:#10 CV03 EDStrip,TCSkid,Unlock,Transfer8:39:#10 CV03 EDStrip,TCSkid,Unlock,Transfer8:10:Paint Skid8:10:Paint Skid8:5:466295:5:466298:16:5 - Installation8:16:5 - Installation</t>
  </si>
  <si>
    <t>8:39:#10 CV03 EDStrip,TCSkid,Unlock,Transfer8:39:#10 CV03 EDStrip,TCSkid,Unlock,Transfer8:8:Dip Skid8:8:Dip Skid8:5:466295:5:466298:16:5 - Installation8:16:5 - Installation</t>
  </si>
  <si>
    <t>8:39:#10 CV03 EDStrip,TCSkid,Unlock,Transfer8:39:#10 CV03 EDStrip,TCSkid,Unlock,Transfer8:12:Safety fence8:12:Safety fence8:5:465595:5:465598:16:5 - Installation8:16:5 - Installation</t>
  </si>
  <si>
    <t>8:39:#10 CV03 EDStrip,TCSkid,Unlock,Transfer8:39:#10 CV03 EDStrip,TCSkid,Unlock,Transfer8:28:Transport trolly skid/hanger8:28:Transport trolly skid/hanger8:5:466225:5:466228:16:5 - Installation8:16:5 - Installation</t>
  </si>
  <si>
    <t>8:39:#10 CV03 EDStrip,TCSkid,Unlock,Transfer8:39:#10 CV03 EDStrip,TCSkid,Unlock,Transfer8:33:Ready for Control cabinets set up8:33:Ready for Control cabinets set up8:5:465945:5:465948:16:5 - Installation8:16:5 - Installation</t>
  </si>
  <si>
    <t>8:39:#10 CV03 EDStrip,TCSkid,Unlock,Transfer8:39:#10 CV03 EDStrip,TCSkid,Unlock,Transfer8:21:Skid checking station8:21:Skid checking station8:5:466085:5:466088:16:5 - Installation8:16:5 - Installation</t>
  </si>
  <si>
    <t>8:39:#10 CV03 EDStrip,TCSkid,Unlock,Transfer8:39:#10 CV03 EDStrip,TCSkid,Unlock,Transfer8:35:Risk assessment&amp; checklist reviewed8:35:Risk assessment&amp; checklist reviewed8:5:466365:5:466368:16:5 - Installation8:16:5 - Installation</t>
  </si>
  <si>
    <t>8:39:#10 CV03 EDStrip,TCSkid,Unlock,Transfer8:39:#10 CV03 EDStrip,TCSkid,Unlock,Transfer8:28:Ready for commissioning CG038:28:Ready for commissioning CG038:5:466425:5:466428:16:5 - Installation8:16:5 - Installation</t>
  </si>
  <si>
    <t>8:15:#10 CV04 ECOven8:15:#10 CV04 ECOven8:16:5 - Installation8:16:5 - Installation8:5:465385:5:465388:16:5 - Installation8:16:5 - Installation</t>
  </si>
  <si>
    <t>8:15:#10 CV04 ECOven8:15:#10 CV04 ECOven8:12:Rollerbed *58:12:Rollerbed *58:5:465455:5:465458:16:5 - Installation8:16:5 - Installation</t>
  </si>
  <si>
    <t>8:15:#10 CV04 ECOven8:15:#10 CV04 ECOven8:21:Turn and swivel table8:21:Turn and swivel table8:5:465455:5:465458:16:5 - Installation8:16:5 - Installation</t>
  </si>
  <si>
    <t>8:15:#10 CV04 ECOven8:15:#10 CV04 ECOven8:27:Suspension chain CV oven *18:27:Suspension chain CV oven *18:5:465385:5:465388:16:5 - Installation8:16:5 - Installation</t>
  </si>
  <si>
    <t>8:15:#10 CV04 ECOven8:15:#10 CV04 ECOven8:11:Lubrication8:11:Lubrication8:5:466225:5:466228:16:5 - Installation8:16:5 - Installation</t>
  </si>
  <si>
    <t>8:15:#10 CV04 ECOven8:15:#10 CV04 ECOven8:10:Paint Skid8:10:Paint Skid8:5:466155:5:466158:16:5 - Installation8:16:5 - Installation</t>
  </si>
  <si>
    <t>8:15:#10 CV04 ECOven8:15:#10 CV04 ECOven8:8:Dip Skid8:8:Dip Skid8:5:466155:5:466158:16:5 - Installation8:16:5 - Installation</t>
  </si>
  <si>
    <t>8:15:#10 CV04 ECOven8:15:#10 CV04 ECOven8:12:Safety fence8:12:Safety fence8:5:465595:5:465598:16:5 - Installation8:16:5 - Installation</t>
  </si>
  <si>
    <t>8:15:#10 CV04 ECOven8:15:#10 CV04 ECOven8:28:Transport trolly skid/hanger8:28:Transport trolly skid/hanger8:5:466085:5:466088:16:5 - Installation8:16:5 - Installation</t>
  </si>
  <si>
    <t>8:15:#10 CV04 ECOven8:15:#10 CV04 ECOven8:33:Ready for Control cabinets set up8:33:Ready for Control cabinets set up8:5:465805:5:465808:16:5 - Installation8:16:5 - Installation</t>
  </si>
  <si>
    <t>8:15:#10 CV04 ECOven8:15:#10 CV04 ECOven8:21:Skid checking station8:21:Skid checking station8:5:465945:5:465948:16:5 - Installation8:16:5 - Installation</t>
  </si>
  <si>
    <t>8:15:#10 CV04 ECOven8:15:#10 CV04 ECOven8:35:Risk assessment&amp; checklist reviewed8:35:Risk assessment&amp; checklist reviewed8:5:466225:5:466228:16:5 - Installation8:16:5 - Installation</t>
  </si>
  <si>
    <t>8:15:#10 CV04 ECOven8:15:#10 CV04 ECOven8:28:Ready for commissioning CG048:28:Ready for commissioning CG048:5:466295:5:466298:16:5 - Installation8:16:5 - Installation</t>
  </si>
  <si>
    <t>8:25:#10 CV05 PrimerBooth&amp;Oven8:25:#10 CV05 PrimerBooth&amp;Oven8:16:5 - Installation8:16:5 - Installation8:5:465325:5:465328:16:5 - Installation8:16:5 - Installation</t>
  </si>
  <si>
    <t>8:25:#10 CV05 PrimerBooth&amp;Oven8:25:#10 CV05 PrimerBooth&amp;Oven8:12:Rollerbed *78:12:Rollerbed *78:5:465515:5:465518:16:5 - Installation8:16:5 - Installation</t>
  </si>
  <si>
    <t>8:25:#10 CV05 PrimerBooth&amp;Oven8:25:#10 CV05 PrimerBooth&amp;Oven8:21:Turn and swivel table8:21:Turn and swivel table8:5:465585:5:465588:16:5 - Installation8:16:5 - Installation</t>
  </si>
  <si>
    <t>8:25:#10 CV05 PrimerBooth&amp;Oven8:25:#10 CV05 PrimerBooth&amp;Oven8:27:Suspension chain CV oven *18:27:Suspension chain CV oven *18:5:465515:5:465518:16:5 - Installation8:16:5 - Installation</t>
  </si>
  <si>
    <t>8:25:#10 CV05 PrimerBooth&amp;Oven8:25:#10 CV05 PrimerBooth&amp;Oven8:11:Lubrication8:11:Lubrication8:5:466225:5:466228:16:5 - Installation8:16:5 - Installation</t>
  </si>
  <si>
    <t>8:25:#10 CV05 PrimerBooth&amp;Oven8:25:#10 CV05 PrimerBooth&amp;Oven8:28:Suspension chain CV booth *18:28:Suspension chain CV booth *18:5:465325:5:465328:16:5 - Installation8:16:5 - Installation</t>
  </si>
  <si>
    <t>8:25:#10 CV05 PrimerBooth&amp;Oven8:25:#10 CV05 PrimerBooth&amp;Oven8:10:Paint Skid8:10:Paint Skid8:5:466155:5:466158:16:5 - Installation8:16:5 - Installation</t>
  </si>
  <si>
    <t>8:25:#10 CV05 PrimerBooth&amp;Oven8:25:#10 CV05 PrimerBooth&amp;Oven8:12:Safety fence8:12:Safety fence8:5:465595:5:465598:16:5 - Installation8:16:5 - Installation</t>
  </si>
  <si>
    <t>8:25:#10 CV05 PrimerBooth&amp;Oven8:25:#10 CV05 PrimerBooth&amp;Oven8:28:Transport trolly skid/hanger8:28:Transport trolly skid/hanger8:5:466085:5:466088:16:5 - Installation8:16:5 - Installation</t>
  </si>
  <si>
    <t>8:25:#10 CV05 PrimerBooth&amp;Oven8:25:#10 CV05 PrimerBooth&amp;Oven8:33:Ready for Control cabinets set up8:33:Ready for Control cabinets set up8:5:465805:5:465808:16:5 - Installation8:16:5 - Installation</t>
  </si>
  <si>
    <t>8:25:#10 CV05 PrimerBooth&amp;Oven8:25:#10 CV05 PrimerBooth&amp;Oven8:21:Skid checking station8:21:Skid checking station8:5:465945:5:465948:16:5 - Installation8:16:5 - Installation</t>
  </si>
  <si>
    <t>8:25:#10 CV05 PrimerBooth&amp;Oven8:25:#10 CV05 PrimerBooth&amp;Oven8:35:Risk assessment&amp; checklist reviewed8:35:Risk assessment&amp; checklist reviewed8:5:466225:5:466228:16:5 - Installation8:16:5 - Installation</t>
  </si>
  <si>
    <t>8:25:#10 CV05 PrimerBooth&amp;Oven8:25:#10 CV05 PrimerBooth&amp;Oven8:28:Ready for commissioning CG058:28:Ready for commissioning CG058:5:466285:5:466288:16:5 - Installation8:16:5 - Installation</t>
  </si>
  <si>
    <t>8:45:#10 CV06 PrimerStrip,Sand,TCIns,Buff,Wax,Spot8:45:#10 CV06 PrimerStrip,Sand,TCIns,Buff,Wax,Spot8:16:5 - Installation8:16:5 - Installation8:5:465075:5:465078:16:5 - Installation8:16:5 - Installation</t>
  </si>
  <si>
    <t>8:45:#10 CV06 PrimerStrip,Sand,TCIns,Buff,Wax,Spot8:45:#10 CV06 PrimerStrip,Sand,TCIns,Buff,Wax,Spot8:14:Rollerbed *1148:14:Rollerbed *1148:5:465305:5:465308:16:5 - Installation8:16:5 - Installation</t>
  </si>
  <si>
    <t>8:45:#10 CV06 PrimerStrip,Sand,TCIns,Buff,Wax,Spot8:45:#10 CV06 PrimerStrip,Sand,TCIns,Buff,Wax,Spot8:24:Turn and swivel table *38:24:Turn and swivel table *38:5:465305:5:465308:16:5 - Installation8:16:5 - Installation</t>
  </si>
  <si>
    <t>8:45:#10 CV06 PrimerStrip,Sand,TCIns,Buff,Wax,Spot8:45:#10 CV06 PrimerStrip,Sand,TCIns,Buff,Wax,Spot8:22:Cross transfer car *118:22:Cross transfer car *118:5:465305:5:465308:16:5 - Installation8:16:5 - Installation</t>
  </si>
  <si>
    <t>8:45:#10 CV06 PrimerStrip,Sand,TCIns,Buff,Wax,Spot8:45:#10 CV06 PrimerStrip,Sand,TCIns,Buff,Wax,Spot8:11:Elevator *18:11:Elevator *18:5:465255:5:465258:16:5 - Installation8:16:5 - Installation</t>
  </si>
  <si>
    <t>8:45:#10 CV06 PrimerStrip,Sand,TCIns,Buff,Wax,Spot8:45:#10 CV06 PrimerStrip,Sand,TCIns,Buff,Wax,Spot8:18:Scissor lift table8:18:Scissor lift table8:5:465525:5:465528:16:5 - Installation8:16:5 - Installation</t>
  </si>
  <si>
    <t>8:45:#10 CV06 PrimerStrip,Sand,TCIns,Buff,Wax,Spot8:45:#10 CV06 PrimerStrip,Sand,TCIns,Buff,Wax,Spot8:24:Body transfer station *18:24:Body transfer station *18:5:465525:5:465528:16:5 - Installation8:16:5 - Installation</t>
  </si>
  <si>
    <t>8:45:#10 CV06 PrimerStrip,Sand,TCIns,Buff,Wax,Spot8:45:#10 CV06 PrimerStrip,Sand,TCIns,Buff,Wax,Spot8:19:Body locking device8:19:Body locking device8:5:465525:5:465528:16:5 - Installation8:16:5 - Installation</t>
  </si>
  <si>
    <t>8:45:#10 CV06 PrimerStrip,Sand,TCIns,Buff,Wax,Spot8:45:#10 CV06 PrimerStrip,Sand,TCIns,Buff,Wax,Spot8:14:Skid fixing *18:14:Skid fixing *18:5:465525:5:465528:16:5 - Installation8:16:5 - Installation</t>
  </si>
  <si>
    <t>8:45:#10 CV06 PrimerStrip,Sand,TCIns,Buff,Wax,Spot8:45:#10 CV06 PrimerStrip,Sand,TCIns,Buff,Wax,Spot8:15:Skid stacker *18:15:Skid stacker *18:5:465525:5:465528:16:5 - Installation8:16:5 - Installation</t>
  </si>
  <si>
    <t>8:45:#10 CV06 PrimerStrip,Sand,TCIns,Buff,Wax,Spot8:45:#10 CV06 PrimerStrip,Sand,TCIns,Buff,Wax,Spot8:18:CV platform CP5.118:18:CV platform CP5.118:5:465075:5:465078:16:5 - Installation8:16:5 - Installation</t>
  </si>
  <si>
    <t>8:45:#10 CV06 PrimerStrip,Sand,TCIns,Buff,Wax,Spot8:45:#10 CV06 PrimerStrip,Sand,TCIns,Buff,Wax,Spot8:28:Steelwork CV profiles CP5.118:28:Steelwork CV profiles CP5.118:5:465075:5:465078:16:5 - Installation8:16:5 - Installation</t>
  </si>
  <si>
    <t>8:45:#10 CV06 PrimerStrip,Sand,TCIns,Buff,Wax,Spot8:45:#10 CV06 PrimerStrip,Sand,TCIns,Buff,Wax,Spot8:16:Structural steel8:16:Structural steel8:5:465075:5:465078:16:5 - Installation8:16:5 - Installation</t>
  </si>
  <si>
    <t>8:45:#10 CV06 PrimerStrip,Sand,TCIns,Buff,Wax,Spot8:45:#10 CV06 PrimerStrip,Sand,TCIns,Buff,Wax,Spot8:10:Paint Skid8:10:Paint Skid8:5:466295:5:466298:16:5 - Installation8:16:5 - Installation</t>
  </si>
  <si>
    <t>8:45:#10 CV06 PrimerStrip,Sand,TCIns,Buff,Wax,Spot8:45:#10 CV06 PrimerStrip,Sand,TCIns,Buff,Wax,Spot8:12:Safety fence8:12:Safety fence8:5:465595:5:465598:16:5 - Installation8:16:5 - Installation</t>
  </si>
  <si>
    <t>8:45:#10 CV06 PrimerStrip,Sand,TCIns,Buff,Wax,Spot8:45:#10 CV06 PrimerStrip,Sand,TCIns,Buff,Wax,Spot8:28:Transport trolly skid/hanger8:28:Transport trolly skid/hanger8:5:466225:5:466228:16:5 - Installation8:16:5 - Installation</t>
  </si>
  <si>
    <t>8:45:#10 CV06 PrimerStrip,Sand,TCIns,Buff,Wax,Spot8:45:#10 CV06 PrimerStrip,Sand,TCIns,Buff,Wax,Spot8:33:Ready for Control cabinets set up8:33:Ready for Control cabinets set up8:5:465945:5:465948:16:5 - Installation8:16:5 - Installation</t>
  </si>
  <si>
    <t>8:45:#10 CV06 PrimerStrip,Sand,TCIns,Buff,Wax,Spot8:45:#10 CV06 PrimerStrip,Sand,TCIns,Buff,Wax,Spot8:21:Skid checking station8:21:Skid checking station8:5:466085:5:466088:16:5 - Installation8:16:5 - Installation</t>
  </si>
  <si>
    <t>8:45:#10 CV06 PrimerStrip,Sand,TCIns,Buff,Wax,Spot8:45:#10 CV06 PrimerStrip,Sand,TCIns,Buff,Wax,Spot8:35:Risk assessment&amp; checklist reviewed8:35:Risk assessment&amp; checklist reviewed8:5:466365:5:466368:16:5 - Installation8:16:5 - Installation</t>
  </si>
  <si>
    <t>8:45:#10 CV06 PrimerStrip,Sand,TCIns,Buff,Wax,Spot8:45:#10 CV06 PrimerStrip,Sand,TCIns,Buff,Wax,Spot8:28:Ready for commissioning CG068:28:Ready for commissioning CG068:5:466425:5:466428:16:5 - Installation8:16:5 - Installation</t>
  </si>
  <si>
    <t>8:21:#10 CV07 TCBooth&amp;Oven8:21:#10 CV07 TCBooth&amp;Oven8:16:5 - Installation8:16:5 - Installation8:5:465625:5:465628:16:5 - Installation8:16:5 - Installation</t>
  </si>
  <si>
    <t>8:21:#10 CV07 TCBooth&amp;Oven8:21:#10 CV07 TCBooth&amp;Oven8:13:Rollerbed *108:13:Rollerbed *108:5:465735:5:465738:16:5 - Installation8:16:5 - Installation</t>
  </si>
  <si>
    <t>8:21:#10 CV07 TCBooth&amp;Oven8:21:#10 CV07 TCBooth&amp;Oven8:26:Excentric lifting table *38:26:Excentric lifting table *38:5:465805:5:465808:16:5 - Installation8:16:5 - Installation</t>
  </si>
  <si>
    <t>8:21:#10 CV07 TCBooth&amp;Oven8:21:#10 CV07 TCBooth&amp;Oven8:23:Cross chain conveyor *18:23:Cross chain conveyor *18:5:465805:5:465808:16:5 - Installation8:16:5 - Installation</t>
  </si>
  <si>
    <t>8:21:#10 CV07 TCBooth&amp;Oven8:21:#10 CV07 TCBooth&amp;Oven8:21:Turn and swivel table8:21:Turn and swivel table8:5:465805:5:465808:16:5 - Installation8:16:5 - Installation</t>
  </si>
  <si>
    <t>8:21:#10 CV07 TCBooth&amp;Oven8:21:#10 CV07 TCBooth&amp;Oven8:18:Cross transfer car8:18:Cross transfer car8:5:465805:5:465808:16:5 - Installation8:16:5 - Installation</t>
  </si>
  <si>
    <t>8:21:#10 CV07 TCBooth&amp;Oven8:21:#10 CV07 TCBooth&amp;Oven8:27:Suspension chain CV oven *18:27:Suspension chain CV oven *18:5:465635:5:465638:16:5 - Installation8:16:5 - Installation</t>
  </si>
  <si>
    <t>8:21:#10 CV07 TCBooth&amp;Oven8:21:#10 CV07 TCBooth&amp;Oven8:11:Lubrication8:11:Lubrication8:5:466365:5:466368:16:5 - Installation8:16:5 - Installation</t>
  </si>
  <si>
    <t>8:21:#10 CV07 TCBooth&amp;Oven8:21:#10 CV07 TCBooth&amp;Oven8:28:Suspension chain CV booth *18:28:Suspension chain CV booth *18:5:465625:5:465628:16:5 - Installation8:16:5 - Installation</t>
  </si>
  <si>
    <t>8:21:#10 CV07 TCBooth&amp;Oven8:21:#10 CV07 TCBooth&amp;Oven8:10:Paint Skid8:10:Paint Skid8:5:466295:5:466298:16:5 - Installation8:16:5 - Installation</t>
  </si>
  <si>
    <t>8:21:#10 CV07 TCBooth&amp;Oven8:21:#10 CV07 TCBooth&amp;Oven8:12:Safety fence8:12:Safety fence8:5:465735:5:465738:16:5 - Installation8:16:5 - Installation</t>
  </si>
  <si>
    <t>8:21:#10 CV07 TCBooth&amp;Oven8:21:#10 CV07 TCBooth&amp;Oven8:28:Transport trolly skid/hanger8:28:Transport trolly skid/hanger8:5:466225:5:466228:16:5 - Installation8:16:5 - Installation</t>
  </si>
  <si>
    <t>8:21:#10 CV07 TCBooth&amp;Oven8:21:#10 CV07 TCBooth&amp;Oven8:33:Ready for Control cabinets set up8:33:Ready for Control cabinets set up8:5:465945:5:465948:16:5 - Installation8:16:5 - Installation</t>
  </si>
  <si>
    <t>8:21:#10 CV07 TCBooth&amp;Oven8:21:#10 CV07 TCBooth&amp;Oven8:21:Skid checking station8:21:Skid checking station8:5:466085:5:466088:16:5 - Installation8:16:5 - Installation</t>
  </si>
  <si>
    <t>8:21:#10 CV07 TCBooth&amp;Oven8:21:#10 CV07 TCBooth&amp;Oven8:35:Risk assessment&amp; checklist reviewed8:35:Risk assessment&amp; checklist reviewed8:5:466365:5:466368:16:5 - Installation8:16:5 - Installation</t>
  </si>
  <si>
    <t>8:21:#10 CV07 TCBooth&amp;Oven8:21:#10 CV07 TCBooth&amp;Oven8:28:Ready for commissioning CG078:28:Ready for commissioning CG078:5:466425:5:466428:16:5 - Installation8:16:5 - Installation</t>
  </si>
  <si>
    <t>8:11:#10 RoDip E8:11:#10 RoDip E8:16:5 - Installation8:16:5 - Installation8:5:465535:5:465538:16:5 - Installation8:16:5 - Installation</t>
  </si>
  <si>
    <t>8:11:#10 RoDip E8:11:#10 RoDip E8:20:RoDip tracks process8:20:RoDip tracks process8:5:465825:5:465828:16:5 - Installation8:16:5 - Installation</t>
  </si>
  <si>
    <t>8:11:#10 RoDip E8:11:#10 RoDip E8:24:RoDip shaft lifter entry8:24:RoDip shaft lifter entry8:5:465685:5:465688:16:5 - Installation8:16:5 - Installation</t>
  </si>
  <si>
    <t>8:11:#10 RoDip E8:11:#10 RoDip E8:13:RoDip carrier8:13:RoDip carrier8:5:466165:5:466168:16:5 - Installation8:16:5 - Installation</t>
  </si>
  <si>
    <t>8:11:#10 RoDip E8:11:#10 RoDip E8:13:RoDip trolley8:13:RoDip trolley8:5:466165:5:466168:16:5 - Installation8:16:5 - Installation</t>
  </si>
  <si>
    <t>8:11:#10 RoDip E8:11:#10 RoDip E8:27:Alignment with filled tanks8:27:Alignment with filled tanks8:5:465825:5:465828:16:5 - Installation8:16:5 - Installation</t>
  </si>
  <si>
    <t>8:11:#10 RoDip E8:11:#10 RoDip E8:23:RoDip shaft lifter exit8:23:RoDip shaft lifter exit8:5:465605:5:465608:16:5 - Installation8:16:5 - Installation</t>
  </si>
  <si>
    <t>8:11:#10 RoDip E8:11:#10 RoDip E8:20:RoDip busbar process8:20:RoDip busbar process8:5:465825:5:465828:16:5 - Installation8:16:5 - Installation</t>
  </si>
  <si>
    <t>8:11:#10 RoDip E8:11:#10 RoDip E8:26:RoDip locking with control8:26:RoDip locking with control8:5:465755:5:465758:16:5 - Installation8:16:5 - Installation</t>
  </si>
  <si>
    <t>8:11:#10 RoDip E8:11:#10 RoDip E8:38:RoDip Expansion/-fall protection units8:38:RoDip Expansion/-fall protection units8:5:465755:5:465758:16:5 - Installation8:16:5 - Installation</t>
  </si>
  <si>
    <t>8:11:#10 RoDip E8:11:#10 RoDip E8:12:RoDip switch8:12:RoDip switch8:5:465825:5:465828:16:5 - Installation8:16:5 - Installation</t>
  </si>
  <si>
    <t>8:11:#10 RoDip E8:11:#10 RoDip E8:17:RoDip body rescue8:17:RoDip body rescue8:5:465885:5:465888:16:5 - Installation8:16:5 - Installation</t>
  </si>
  <si>
    <t>8:11:#10 RoDip E8:11:#10 RoDip E8:18:RoDip Transfer car8:18:RoDip Transfer car8:5:465895:5:465898:16:5 - Installation8:16:5 - Installation</t>
  </si>
  <si>
    <t>8:11:#10 RoDip E8:11:#10 RoDip E8:28:RoDip transfer station entry8:28:RoDip transfer station entry8:5:465615:5:465618:16:5 - Installation8:16:5 - Installation</t>
  </si>
  <si>
    <t>8:11:#10 RoDip E8:11:#10 RoDip E8:27:RoDip transfer station exit8:27:RoDip transfer station exit8:5:465535:5:465538:16:5 - Installation8:16:5 - Installation</t>
  </si>
  <si>
    <t>8:11:#10 RoDip E8:11:#10 RoDip E8:19:RoDip tracks return8:19:RoDip tracks return8:5:466035:5:466038:16:5 - Installation8:16:5 - Installation</t>
  </si>
  <si>
    <t>8:11:#10 RoDip E8:11:#10 RoDip E8:19:RoDip busbar return8:19:RoDip busbar return8:5:466035:5:466038:16:5 - Installation8:16:5 - Installation</t>
  </si>
  <si>
    <t>8:11:#10 RoDip E8:11:#10 RoDip E8:38:Ready for Control cabinets set up CG028:38:Ready for Control cabinets set up CG028:5:465955:5:465958:16:5 - Installation8:16:5 - Installation</t>
  </si>
  <si>
    <t>8:11:#10 RoDip E8:11:#10 RoDip E8:35:Risk assessment&amp; checklist reviewed8:35:Risk assessment&amp; checklist reviewed8:5:466375:5:466378:16:5 - Installation8:16:5 - Installation</t>
  </si>
  <si>
    <t>8:11:#10 RoDip E8:11:#10 RoDip E8:28:Ready for commissioning CG028:28:Ready for commissioning CG028:5:466445:5:466448:16:5 - Installation8:16:5 - Installation</t>
  </si>
  <si>
    <t>8:24:#11 Hot water generation8:24:#11 Hot water generation8:16:5 - Installation8:16:5 - Installation8:5:465215:5:465218:16:5 - Installation8:16:5 - Installation</t>
  </si>
  <si>
    <t>8:24:#11 Hot water generation8:24:#11 Hot water generation8:9:Axis line8:9:Axis line8:5:465215:5:465218:16:5 - Installation8:16:5 - Installation</t>
  </si>
  <si>
    <t>8:24:#11 Hot water generation8:24:#11 Hot water generation8:6:Boiler8:6:Boiler8:5:465245:5:465248:16:5 - Installation8:16:5 - Installation</t>
  </si>
  <si>
    <t>8:24:#11 Hot water generation8:24:#11 Hot water generation8:7:Chimney8:7:Chimney8:5:465315:5:465318:16:5 - Installation8:16:5 - Installation</t>
  </si>
  <si>
    <t>8:24:#11 Hot water generation8:24:#11 Hot water generation8:18:Preassembly groups8:18:Preassembly groups8:5:465385:5:465388:16:5 - Installation8:16:5 - Installation</t>
  </si>
  <si>
    <t>8:24:#11 Hot water generation8:24:#11 Hot water generation8:15:Internal Piping8:15:Internal Piping8:5:465455:5:465458:16:5 - Installation8:16:5 - Installation</t>
  </si>
  <si>
    <t>8:24:#11 Hot water generation8:24:#11 Hot water generation8:13:I&amp;C equipment8:13:I&amp;C equipment8:5:465615:5:465618:16:5 - Installation8:16:5 - Installation</t>
  </si>
  <si>
    <t>8:24:#11 Hot water generation8:24:#11 Hot water generation8:33:Ready for Control cabinets set up8:33:Ready for Control cabinets set up8:5:465895:5:465898:16:5 - Installation8:16:5 - Installation</t>
  </si>
  <si>
    <t>8:24:#11 Hot water generation8:24:#11 Hot water generation8:31:Process electrical installation8:31:Process electrical installation8:5:465895:5:465898:16:5 - Installation8:16:5 - Installation</t>
  </si>
  <si>
    <t>8:24:#11 Hot water generation8:24:#11 Hot water generation8:23:Ready for commissioning8:23:Ready for commissioning8:5:466455:5:466458:16:5 - Installation8:16:5 - Installation</t>
  </si>
  <si>
    <t>8:8:Batch ID8:8:Batch ID8:3:ETD8:3:ETD8:6:Pickup8:6:Pickup8:3:ETA8:3:ETA8:3:ETS8:3:ETS</t>
  </si>
  <si>
    <t>8:1:18:1:18:23:='Shipping Program'!A325:5:464478:5:=B2-75:5:464408:23:='Shipping Program'!E325:5:464778:23:='Shipping Program'!F325:5:46484</t>
  </si>
  <si>
    <t>8:1:28:1:28:23:='Shipping Program'!A335:5:464548:5:=B3-75:5:464478:23:='Shipping Program'!E335:5:464848:23:='Shipping Program'!F335:5:46491</t>
  </si>
  <si>
    <t>8:1:38:1:38:23:='Shipping Program'!A345:5:464618:5:=B4-75:5:464548:23:='Shipping Program'!E345:5:464918:23:='Shipping Program'!F345:5:46498</t>
  </si>
  <si>
    <t>8:1:48:1:48:23:='Shipping Program'!A355:5:464688:5:=B5-75:5:464618:23:='Shipping Program'!E355:5:464988:23:='Shipping Program'!F355:5:46505</t>
  </si>
  <si>
    <t>8:1:58:1:58:23:='Shipping Program'!A365:5:464758:5:=B6-75:5:464688:23:='Shipping Program'!E365:5:465058:23:='Shipping Program'!F365:5:46512</t>
  </si>
  <si>
    <t>8:1:68:1:68:23:='Shipping Program'!A375:5:464828:5:=B7-75:5:464758:23:='Shipping Program'!E375:5:465128:23:='Shipping Program'!F375:5:46519</t>
  </si>
  <si>
    <t>8:1:78:1:78:23:='Shipping Program'!A385:5:464898:5:=B8-75:5:464828:23:='Shipping Program'!E385:5:465198:23:='Shipping Program'!F385:5:46526</t>
  </si>
  <si>
    <t>8:1:88:1:88:23:='Shipping Program'!A395:5:464968:5:=B9-75:5:464898:23:='Shipping Program'!E395:5:465268:23:='Shipping Program'!F395:5:46533</t>
  </si>
  <si>
    <t>8:1:98:1:98:23:='Shipping Program'!A405:5:465038:6:=B10-75:5:464968:23:='Shipping Program'!E405:5:465338:23:='Shipping Program'!F405:5:46540</t>
  </si>
  <si>
    <t>8:2:108:2:108:23:='Shipping Program'!A415:5:465108:6:=B11-75:5:465038:23:='Shipping Program'!E415:5:465408:23:='Shipping Program'!F415:5:46547</t>
  </si>
  <si>
    <t>8:2:118:2:118:23:='Shipping Program'!A425:5:465178:6:=B12-75:5:465108:23:='Shipping Program'!E425:5:465478:23:='Shipping Program'!F425:5:46554</t>
  </si>
  <si>
    <t>8:2:128:2:128:23:='Shipping Program'!A435:5:465248:6:=B13-75:5:465178:23:='Shipping Program'!E435:5:465548:23:='Shipping Program'!F435:5:46561</t>
  </si>
  <si>
    <t>8:2:138:2:138:23:='Shipping Program'!A445:5:465318:6:=B14-75:5:465248:23:='Shipping Program'!E445:5:465618:23:='Shipping Program'!F445:5:46568</t>
  </si>
  <si>
    <t>8:2:148:2:148:23:='Shipping Program'!A455:5:465388:6:=B15-75:5:465318:23:='Shipping Program'!E455:5:465688:23:='Shipping Program'!F455:5:46575</t>
  </si>
  <si>
    <t>8:2:158:2:158:23:='Shipping Program'!A465:5:465458:6:=B16-75:5:465388:23:='Shipping Program'!E465:5:465758:23:='Shipping Program'!F465:5:46582</t>
  </si>
  <si>
    <t>8:2:168:2:168:23:='Shipping Program'!A475:5:465528:6:=B17-75:5:465458:23:='Shipping Program'!E475:5:465828:23:='Shipping Program'!F475:5:46589</t>
  </si>
  <si>
    <t>8:2:178:2:178:23:='Shipping Program'!A485:5:465598:6:=B18-75:5:465528:23:='Shipping Program'!E485:5:465898:23:='Shipping Program'!F485:5:46596</t>
  </si>
  <si>
    <t>8:2:188:2:188:23:='Shipping Program'!A495:5:465668:6:=B19-75:5:465598:23:='Shipping Program'!E495:5:465968:23:='Shipping Program'!F495:5:46603</t>
  </si>
  <si>
    <t>8:2:198:2:198:23:='Shipping Program'!A505:5:465738:6:=B20-75:5:465668:23:='Shipping Program'!E505:5:466038:23:='Shipping Program'!F505:5:46610</t>
  </si>
  <si>
    <t>8:2:208:2:208:23:='Shipping Program'!A515:5:465808:6:=B21-75:5:465738:23:='Shipping Program'!E515:5:466108:23:='Shipping Program'!F515:5:46617</t>
  </si>
  <si>
    <t>8:2:218:2:218:23:='Shipping Program'!A525:5:465878:6:=B22-75:5:465808:23:='Shipping Program'!E525:5:466178:23:='Shipping Program'!F525:5:46624</t>
  </si>
  <si>
    <t>8:2:228:2:228:23:='Shipping Program'!A535:5:465948:6:=B23-75:5:465878:23:='Shipping Program'!E535:5:466248:23:='Shipping Program'!F535:5:46631</t>
  </si>
  <si>
    <t>8:2:238:2:238:23:='Shipping Program'!A545:5:466018:6:=B24-75:5:465948:23:='Shipping Program'!E545:5:466318:23:='Shipping Program'!F545:5:46638</t>
  </si>
  <si>
    <t>8:2:248:2:248:23:='Shipping Program'!A555:5:466088:6:=B25-75:5:466018:23:='Shipping Program'!E555:5:466388:23:='Shipping Program'!F555:5:46645</t>
  </si>
  <si>
    <t>8:2:258:2:258:23:='Shipping Program'!A565:5:466158:6:=B26-75:5:466088:23:='Shipping Program'!E565:5:466458:23:='Shipping Program'!F565:5:46652</t>
  </si>
  <si>
    <t>8:2:268:2:268:23:='Shipping Program'!A575:5:466228:6:=B27-75:5:466158:23:='Shipping Program'!E575:5:466528:23:='Shipping Program'!F575:5:46659</t>
  </si>
  <si>
    <t>8:2:278:2:278:23:='Shipping Program'!A585:5:466298:6:=B28-75:5:466228:23:='Shipping Program'!E585:5:466598:23:='Shipping Program'!F585:5:46666</t>
  </si>
  <si>
    <t>8:2:288:2:288:23:='Shipping Program'!A595:5:466368:6:=B29-75:5:466298:23:='Shipping Program'!E595:5:466668:23:='Shipping Program'!F595:5:46673</t>
  </si>
  <si>
    <t>8:2:298:2:298:23:='Shipping Program'!A605:5:466438:6:=B30-75:5:466368:23:='Shipping Program'!E605:5:466738:23:='Shipping Program'!F605:5:46680</t>
  </si>
  <si>
    <t>8:2:308:2:308:23:='Shipping Program'!A615:5:466508:6:=B31-75:5:466438:23:='Shipping Program'!E615:5:466808:23:='Shipping Program'!F615:5:46687</t>
  </si>
  <si>
    <t>8:2:318:2:318:23:='Shipping Program'!A625:5:466578:6:=B32-75:5:466508:23:='Shipping Program'!E625:5:466878:23:='Shipping Program'!F625:5:46694</t>
  </si>
  <si>
    <t>8:2:328:2:328:23:='Shipping Program'!A635:5:466648:6:=B33-75:5:466578:23:='Shipping Program'!E635:5:466948:23:='Shipping Program'!F635:5:46701</t>
  </si>
  <si>
    <t>8:2:338:2:338:23:='Shipping Program'!A645:5:466718:6:=B34-75:5:466648:23:='Shipping Program'!E645:5:467018:23:='Shipping Program'!F645:5:46708</t>
  </si>
  <si>
    <t>8:2:348:2:348:23:='Shipping Program'!A655:5:466788:6:=B35-75:5:466718:23:='Shipping Program'!E655:5:467088:23:='Shipping Program'!F655:5:46715</t>
  </si>
  <si>
    <t>8:2:358:2:358:23:='Shipping Program'!A665:5:466858:6:=B36-75:5:466788:23:='Shipping Program'!E665:5:467158:23:='Shipping Program'!F665:5:46722</t>
  </si>
  <si>
    <t>8:2:368:2:368:23:='Shipping Program'!A675:5:466928:6:=B37-75:5:466858:23:='Shipping Program'!E675:5:467228:23:='Shipping Program'!F675:5:46729</t>
  </si>
  <si>
    <t>16:V14 date checked16:V14 date checked16:46303.633263888916:46303.63326388890:0:5:READY5:READY0:0:16:46303.633229166716:46303.633229166724:Shipment interval (days)24:Shipment interval (days)1:71:722:NR booking lead (days)22:NR booking lead (days)2:102:1019:Transit time (days)19:Transit time (days)2:302:3017:ETA to ETS (days)17:ETA to ETS (days)1:71:70:0:0:0:9:First ETD9:First ETD5:464475:464470:0:0:0:14:Reference only14:Reference only2:302:300:0:0:0:0:0:0:0:</t>
  </si>
  <si>
    <t>先选清单一行，再点击跳转；或双击。查看会验证缓存；重新检查强制重建。时间为真实生成时间，不自动改日期或名称。</t>
  </si>
  <si>
    <t>最近导入时间：2026/10/09 12:05</t>
    <phoneticPr fontId="1" type="noConversion"/>
  </si>
  <si>
    <t>日期已检查（异常数见上方；不代表总表已刷新）</t>
    <phoneticPr fontId="1" type="noConversion"/>
  </si>
  <si>
    <t>历史结果 / 生成时间：2026-10-09 12:09:29 / 已提交并刷新</t>
    <phoneticPr fontId="1" type="noConversion"/>
  </si>
  <si>
    <t>1 [=O4]</t>
  </si>
  <si>
    <t>1 [=O5]</t>
  </si>
  <si>
    <t>1 [=O6]</t>
  </si>
  <si>
    <t>1 [=O7]</t>
  </si>
  <si>
    <t>1 [=O8]</t>
  </si>
  <si>
    <t>1 [=O9]</t>
  </si>
  <si>
    <t>2 [=O11]</t>
  </si>
  <si>
    <t>2 [=O12]</t>
  </si>
  <si>
    <t>2 [=O13]</t>
  </si>
  <si>
    <t>2 [=O14]</t>
  </si>
  <si>
    <t>2 [=O15]</t>
  </si>
  <si>
    <t>2 [=O17]</t>
  </si>
  <si>
    <t>2 [=O18]</t>
  </si>
  <si>
    <t>3 [=O20]</t>
  </si>
  <si>
    <t>3 [=O21]</t>
  </si>
  <si>
    <t>3 [=O22]</t>
  </si>
  <si>
    <t>3 [3]</t>
  </si>
  <si>
    <t>=O23；已放弃人工安排，补充配置保留</t>
  </si>
  <si>
    <t>3 [=O24]</t>
  </si>
  <si>
    <t>3 [=O25]</t>
  </si>
  <si>
    <t>=O26；已放弃人工安排，补充配置保留</t>
  </si>
  <si>
    <t>=O27；已放弃人工安排，补充配置保留</t>
  </si>
  <si>
    <t>3 [=O28]</t>
  </si>
  <si>
    <t>3 [=O29]</t>
  </si>
  <si>
    <t>3 [=O30]</t>
  </si>
  <si>
    <t>3 [=O31]</t>
  </si>
  <si>
    <t>3 [=O32]</t>
  </si>
  <si>
    <t>4 [=O34]</t>
  </si>
  <si>
    <t>4 [=O35]</t>
  </si>
  <si>
    <t>4 [=O36]</t>
  </si>
  <si>
    <t>4 [=O37]</t>
  </si>
  <si>
    <t>4 [=O38]</t>
  </si>
  <si>
    <t>4 [=O39]</t>
  </si>
  <si>
    <t>40</t>
  </si>
  <si>
    <t>4 [=O40]</t>
  </si>
  <si>
    <t>4 [=O41]</t>
  </si>
  <si>
    <t>4 [=O42]</t>
  </si>
  <si>
    <t>4 [=O43]</t>
  </si>
  <si>
    <t>4 [=O44]</t>
  </si>
  <si>
    <t>4 [=O45]</t>
  </si>
  <si>
    <t>4 [=O46]</t>
  </si>
  <si>
    <t>5 [=O49]</t>
  </si>
  <si>
    <t>5 [=O50]</t>
  </si>
  <si>
    <t>5 [=O51]</t>
  </si>
  <si>
    <t>5 [=O52]</t>
  </si>
  <si>
    <t>53</t>
  </si>
  <si>
    <t>5 [=O53]</t>
  </si>
  <si>
    <t>5 [=O54]</t>
  </si>
  <si>
    <t>5 [=O57]</t>
  </si>
  <si>
    <t>5 [=O58]</t>
  </si>
  <si>
    <t>5 [=O59]</t>
  </si>
  <si>
    <t>5 [=O60]</t>
  </si>
  <si>
    <t>5 [=O61]</t>
  </si>
  <si>
    <t>5 [=O62]</t>
  </si>
  <si>
    <t>5 [=O63]</t>
  </si>
  <si>
    <t>5 [=O64]</t>
  </si>
  <si>
    <t>5 [=O65]</t>
  </si>
  <si>
    <t>66</t>
  </si>
  <si>
    <t>5 [=O66]</t>
  </si>
  <si>
    <t>5 [=O67]</t>
  </si>
  <si>
    <t>6 [=O69]</t>
  </si>
  <si>
    <t>6 [=O70]</t>
  </si>
  <si>
    <t>6 [=O71]</t>
  </si>
  <si>
    <t>6 [=O72]</t>
  </si>
  <si>
    <t>6 [=O73]</t>
  </si>
  <si>
    <t>6 [=O74]</t>
  </si>
  <si>
    <t>6 [=O75]</t>
  </si>
  <si>
    <t>6 [=O76]</t>
  </si>
  <si>
    <t>6 [=O77]</t>
  </si>
  <si>
    <t>6 [=O78]</t>
  </si>
  <si>
    <t>79</t>
  </si>
  <si>
    <t>6 [=O79]</t>
  </si>
  <si>
    <t>7 [=O81]</t>
  </si>
  <si>
    <t>7 [=O82]</t>
  </si>
  <si>
    <t>7 [=O83]</t>
  </si>
  <si>
    <t>7 [=O84]</t>
  </si>
  <si>
    <t>7 [=O85]</t>
  </si>
  <si>
    <t>7 [=O86]</t>
  </si>
  <si>
    <t>7 [=O87]</t>
  </si>
  <si>
    <t>7 [=O88]</t>
  </si>
  <si>
    <t>7 [=O89]</t>
  </si>
  <si>
    <t>7 [=O90]</t>
  </si>
  <si>
    <t>7 [=O91]</t>
  </si>
  <si>
    <t>7 [=O92]</t>
  </si>
  <si>
    <t>7 [=O93]</t>
  </si>
  <si>
    <t>7 [=O94]</t>
  </si>
  <si>
    <t>7 [=O95]</t>
  </si>
  <si>
    <t>96</t>
  </si>
  <si>
    <t>7 [=O96]</t>
  </si>
  <si>
    <t>8 [=O98]</t>
  </si>
  <si>
    <t>8 [=O99]</t>
  </si>
  <si>
    <t>8 [=O100]</t>
  </si>
  <si>
    <t>8 [=O101]</t>
  </si>
  <si>
    <t>8 [=O102]</t>
  </si>
  <si>
    <t>8 [=O103]</t>
  </si>
  <si>
    <t>8 [=O104]</t>
  </si>
  <si>
    <t>8 [=O105]</t>
  </si>
  <si>
    <t>8 [=O106]</t>
  </si>
  <si>
    <t>8 [=O107]</t>
  </si>
  <si>
    <t>8 [=O108]</t>
  </si>
  <si>
    <t>8 [=O109]</t>
  </si>
  <si>
    <t>8 [=O110]</t>
  </si>
  <si>
    <t>8 [=O111]</t>
  </si>
  <si>
    <t>8 [=O112]</t>
  </si>
  <si>
    <t>8 [=O113]</t>
  </si>
  <si>
    <t>114</t>
  </si>
  <si>
    <t>8 [=O114]</t>
  </si>
  <si>
    <t>8 [=O115]</t>
  </si>
  <si>
    <t>8 [=O116]</t>
  </si>
  <si>
    <t>8 [=O117]</t>
  </si>
  <si>
    <t>8 [=O118]</t>
  </si>
  <si>
    <t>8 [=O119]</t>
  </si>
  <si>
    <t>8 [=O120]</t>
  </si>
  <si>
    <t>8 [=O121]</t>
  </si>
  <si>
    <t>9 [=O123]</t>
  </si>
  <si>
    <t>9 [=O124]</t>
  </si>
  <si>
    <t>9 [=O125]</t>
  </si>
  <si>
    <t>9 [=O126]</t>
  </si>
  <si>
    <t>9 [=O127]</t>
  </si>
  <si>
    <t>9 [=O128]</t>
  </si>
  <si>
    <t>129</t>
  </si>
  <si>
    <t>9 [=O129]</t>
  </si>
  <si>
    <t>9 [=O131]</t>
  </si>
  <si>
    <t>9 [=O132]</t>
  </si>
  <si>
    <t>9 [=O133]</t>
  </si>
  <si>
    <t>9 [=O134]</t>
  </si>
  <si>
    <t>9 [=O135]</t>
  </si>
  <si>
    <t>136</t>
  </si>
  <si>
    <t>9 [=O136]</t>
  </si>
  <si>
    <t>9 [=O137]</t>
  </si>
  <si>
    <t>9 [=O138]</t>
  </si>
  <si>
    <t>9 [=O139]</t>
  </si>
  <si>
    <t>9 [=O140]</t>
  </si>
  <si>
    <t>9 [=O141]</t>
  </si>
  <si>
    <t>9 [=O142]</t>
  </si>
  <si>
    <t>143</t>
  </si>
  <si>
    <t>9 [=O143]</t>
  </si>
  <si>
    <t>9 [=O144]</t>
  </si>
  <si>
    <t>9 [=O145]</t>
  </si>
  <si>
    <t>9 [=O146]</t>
  </si>
  <si>
    <t>10 [=O148]</t>
  </si>
  <si>
    <t>10 [=O149]</t>
  </si>
  <si>
    <t>150</t>
  </si>
  <si>
    <t>10 [=O150]</t>
  </si>
  <si>
    <t>10 [=O152]</t>
  </si>
  <si>
    <t>11 [=O155]</t>
  </si>
  <si>
    <t>11 [=O156]</t>
  </si>
  <si>
    <t>157</t>
  </si>
  <si>
    <t>11 [=O157]</t>
  </si>
  <si>
    <t>11 [=O158]</t>
  </si>
  <si>
    <t>11 [=O159]</t>
  </si>
  <si>
    <t>11 [=O160]</t>
  </si>
  <si>
    <t>11 [=O161]</t>
  </si>
  <si>
    <t>11 [=O162]</t>
  </si>
  <si>
    <t>11 [=O163]</t>
  </si>
  <si>
    <t>164</t>
  </si>
  <si>
    <t>11 [=O164]</t>
  </si>
  <si>
    <t>11 [=O165]</t>
  </si>
  <si>
    <t>11 [=O166]</t>
  </si>
  <si>
    <t>11 [=O167]</t>
  </si>
  <si>
    <t>11 [=O168]</t>
  </si>
  <si>
    <t>11 [=O169]</t>
  </si>
  <si>
    <t>170</t>
  </si>
  <si>
    <t>11 [=O170]</t>
  </si>
  <si>
    <t>12 [=O172]</t>
  </si>
  <si>
    <t>12 [=O173]</t>
  </si>
  <si>
    <t>12 [=O174]</t>
  </si>
  <si>
    <t>12 [=O175]</t>
  </si>
  <si>
    <t>12 [=O176]</t>
  </si>
  <si>
    <t>12 [=O177]</t>
  </si>
  <si>
    <t>12 [=O178]</t>
  </si>
  <si>
    <t>12 [=O179]</t>
  </si>
  <si>
    <t>12 [=O180]</t>
  </si>
  <si>
    <t>12 [=O181]</t>
  </si>
  <si>
    <t>12 [=O182]</t>
  </si>
  <si>
    <t>183</t>
  </si>
  <si>
    <t>12 [=O183]</t>
  </si>
  <si>
    <t>12 [=O184]</t>
  </si>
  <si>
    <t>12 [=O185]</t>
  </si>
  <si>
    <t>12 [=O186]</t>
  </si>
  <si>
    <t>12 [=O187]</t>
  </si>
  <si>
    <t>12 [=O188]</t>
  </si>
  <si>
    <t>189</t>
  </si>
  <si>
    <t>12 [=O189]</t>
  </si>
  <si>
    <t>12 [=O190]</t>
  </si>
  <si>
    <t>12 [=O191]</t>
  </si>
  <si>
    <t>13 [=O193]</t>
  </si>
  <si>
    <t>13 [=O194]</t>
  </si>
  <si>
    <t>195</t>
  </si>
  <si>
    <t>13 [=O195]</t>
  </si>
  <si>
    <t>13 [=O196]</t>
  </si>
  <si>
    <t>13 [=O197]</t>
  </si>
  <si>
    <t>13 [=O198]</t>
  </si>
  <si>
    <t>13 [=O199]</t>
  </si>
  <si>
    <t>13 [=O200]</t>
  </si>
  <si>
    <t>201</t>
  </si>
  <si>
    <t>13 [=O201]</t>
  </si>
  <si>
    <t>205</t>
  </si>
  <si>
    <t>14 [=O205]</t>
  </si>
  <si>
    <t>14 [=O206]</t>
  </si>
  <si>
    <t>14 [=O207]</t>
  </si>
  <si>
    <t>14 [=O208]</t>
  </si>
  <si>
    <t>14 [=O209]</t>
  </si>
  <si>
    <t>211</t>
  </si>
  <si>
    <t>15 [=O211]</t>
  </si>
  <si>
    <t>15 [=O212]</t>
  </si>
  <si>
    <t>16 [=O214]</t>
  </si>
  <si>
    <t>16 [=O215]</t>
  </si>
  <si>
    <t>217</t>
  </si>
  <si>
    <t>17 [=O217]</t>
  </si>
  <si>
    <t>17 [=O218]</t>
  </si>
  <si>
    <t>17 [=O219]</t>
  </si>
  <si>
    <t>17 [=O220]</t>
  </si>
  <si>
    <t>#EXCEL:Error 2042 [=O222]</t>
  </si>
  <si>
    <t>223</t>
  </si>
  <si>
    <t>0 [=O223]</t>
  </si>
  <si>
    <t>0 [=O224]</t>
  </si>
  <si>
    <t>225</t>
  </si>
  <si>
    <t>0 [=O225]</t>
  </si>
  <si>
    <t>#EXCEL:Error 2042 [=O226]</t>
  </si>
  <si>
    <t>227</t>
  </si>
  <si>
    <t>#EXCEL:Error 2042 [=O227]</t>
  </si>
  <si>
    <t>229</t>
  </si>
  <si>
    <t>#EXCEL:Error 2042 [=O229]</t>
  </si>
  <si>
    <t>#EXCEL:Error 2042 [=O230]</t>
  </si>
  <si>
    <t>#EXCEL:Error 2042 [=O231]</t>
  </si>
  <si>
    <t>#EXCEL:Error 2042 [=O232]</t>
  </si>
  <si>
    <t>#EXCEL:Error 2042 [=O233]</t>
  </si>
  <si>
    <t>#EXCEL:Error 2042 [=O234]</t>
  </si>
  <si>
    <t>#EXCEL:Error 2042 [=O235]</t>
  </si>
  <si>
    <t>#EXCEL:Error 2042 [=O236]</t>
  </si>
  <si>
    <t>#EXCEL:Error 2042 [=O237]</t>
  </si>
  <si>
    <t>#EXCEL:Error 2042 [=O238]</t>
  </si>
  <si>
    <t>#EXCEL:Error 2042 [=O239]</t>
  </si>
  <si>
    <t>240</t>
  </si>
  <si>
    <t>#EXCEL:Error 2042 [=O240]</t>
  </si>
  <si>
    <t>#EXCEL:Error 2042 [=O241]</t>
  </si>
  <si>
    <t>#EXCEL:Error 2042 [=O242]</t>
  </si>
  <si>
    <t>#EXCEL:Error 2042 [=O243]</t>
  </si>
  <si>
    <t>#EXCEL:Error 2042 [=O244]</t>
  </si>
  <si>
    <t>#EXCEL:Error 2042 [=O245]</t>
  </si>
  <si>
    <t>#EXCEL:Error 2042 [=O246]</t>
  </si>
  <si>
    <t>#EXCEL:Error 2042 [=O247]</t>
  </si>
  <si>
    <t>248</t>
  </si>
  <si>
    <t>#EXCEL:Error 2042 [=O248]</t>
  </si>
  <si>
    <t>#EXCEL:Error 2042 [=O249]</t>
  </si>
  <si>
    <t>#EXCEL:Error 2042 [=O250]</t>
  </si>
  <si>
    <t>#EXCEL:Error 2042 [=O251]</t>
  </si>
  <si>
    <t>#EXCEL:Error 2042 [=O252]</t>
  </si>
  <si>
    <t>#EXCEL:Error 2042 [=O253]</t>
  </si>
  <si>
    <t>#EXCEL:Error 2042 [=O254]</t>
  </si>
  <si>
    <t>#EXCEL:Error 2042 [=O255]</t>
  </si>
  <si>
    <t>#EXCEL:Error 2042 [=O256]</t>
  </si>
  <si>
    <t>#EXCEL:Error 2042 [=O257]</t>
  </si>
  <si>
    <t>258</t>
  </si>
  <si>
    <t>#EXCEL:Error 2042 [=O258]</t>
  </si>
  <si>
    <t>#EXCEL:Error 2042 [=O259]</t>
  </si>
  <si>
    <t>#EXCEL:Error 2042 [=O260]</t>
  </si>
  <si>
    <t>#EXCEL:Error 2042 [=O261]</t>
  </si>
  <si>
    <t>262</t>
  </si>
  <si>
    <t>#EXCEL:Error 2042 [=O262]</t>
  </si>
  <si>
    <t>#EXCEL:Error 2042 [=O263]</t>
  </si>
  <si>
    <t>#EXCEL:Error 2042 [=O264]</t>
  </si>
  <si>
    <t>#EXCEL:Error 2042 [=O265]</t>
  </si>
  <si>
    <t>#EXCEL:Error 2042 [=O266]</t>
  </si>
  <si>
    <t>267</t>
  </si>
  <si>
    <t>#EXCEL:Error 2042 [=O267]</t>
  </si>
  <si>
    <t>#EXCEL:Error 2042 [=O268]</t>
  </si>
  <si>
    <t>#EXCEL:Error 2042 [=O269]</t>
  </si>
  <si>
    <t>#EXCEL:Error 2042 [=O270]</t>
  </si>
  <si>
    <t>#EXCEL:Error 2042 [=O271]</t>
  </si>
  <si>
    <t>#EXCEL:Error 2042 [=O272]</t>
  </si>
  <si>
    <t>#EXCEL:Error 2042 [=O273]</t>
  </si>
  <si>
    <t>#EXCEL:Error 2042 [=O274]</t>
  </si>
  <si>
    <t>#EXCEL:Error 2042 [=O276]</t>
  </si>
  <si>
    <t>#EXCEL:Error 2042 [=O277]</t>
  </si>
  <si>
    <t>#EXCEL:Error 2042 [=O278]</t>
  </si>
  <si>
    <t>#EXCEL:Error 2042 [=O279]</t>
  </si>
  <si>
    <t>#EXCEL:Error 2042 [=O280]</t>
  </si>
  <si>
    <t>#EXCEL:Error 2042 [=O281]</t>
  </si>
  <si>
    <t>#EXCEL:Error 2042 [=O282]</t>
  </si>
  <si>
    <t>#EXCEL:Error 2042 [=O283]</t>
  </si>
  <si>
    <t>290</t>
  </si>
  <si>
    <t>#EXCEL:Error 2042 [=O290]</t>
  </si>
  <si>
    <t>#EXCEL:Error 2042 [=O291]</t>
  </si>
  <si>
    <t>#EXCEL:Error 2042 [=O292]</t>
  </si>
  <si>
    <t>#EXCEL:Error 2042 [=O293]</t>
  </si>
  <si>
    <t>#EXCEL:Error 2042 [=O294]</t>
  </si>
  <si>
    <t>#EXCEL:Error 2042 [=O295]</t>
  </si>
  <si>
    <t>#EXCEL:Error 2042 [=O296]</t>
  </si>
  <si>
    <t>#EXCEL:Error 2042 [=O297]</t>
  </si>
  <si>
    <t>#EXCEL:Error 2042 [=O298]</t>
  </si>
  <si>
    <t>#EXCEL:Error 2042 [=O299]</t>
  </si>
  <si>
    <t>#EXCEL:Error 2042 [=O300]</t>
  </si>
  <si>
    <t>#EXCEL:Error 2042 [=O301]</t>
  </si>
  <si>
    <t>#EXCEL:Error 2042 [=O302]</t>
  </si>
  <si>
    <t>#EXCEL:Error 2042 [=O306]</t>
  </si>
  <si>
    <t>307</t>
  </si>
  <si>
    <t>#EXCEL:Error 2042 [=O307]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</si>
</sst>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"/>
    <numFmt numFmtId="177" formatCode="&quot;Shipment&quot;\ #"/>
    <numFmt numFmtId="178" formatCode="0_ "/>
    <numFmt numFmtId="179" formatCode="0_);[Red]\(0\)"/>
    <numFmt numFmtId="180" formatCode="yyyy\-mm\-dd"/>
    <numFmt numFmtId="181" formatCode=";;;"/>
    <numFmt numFmtId="182" formatCode="yyyy/mm/dd\ hh:mm"/>
  </numFmts>
  <fonts count="3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FZShuTi"/>
      <family val="3"/>
      <charset val="134"/>
    </font>
    <font>
      <b/>
      <sz val="10"/>
      <name val="Arial"/>
      <family val="2"/>
    </font>
    <font>
      <sz val="10"/>
      <name val="Arial"/>
      <family val="2"/>
    </font>
    <font>
      <sz val="11"/>
      <name val="等线"/>
      <family val="2"/>
      <scheme val="minor"/>
    </font>
    <font>
      <b/>
      <sz val="10"/>
      <name val="宋体"/>
      <family val="2"/>
      <charset val="134"/>
    </font>
    <font>
      <b/>
      <i/>
      <sz val="11"/>
      <name val="等线"/>
      <family val="2"/>
      <scheme val="minor"/>
    </font>
    <font>
      <sz val="10"/>
      <color theme="1"/>
      <name val="等线"/>
      <family val="3"/>
      <charset val="134"/>
      <scheme val="minor"/>
    </font>
    <font>
      <i/>
      <sz val="10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8"/>
      <name val="等线"/>
      <family val="3"/>
      <charset val="134"/>
      <scheme val="minor"/>
    </font>
    <font>
      <sz val="10"/>
      <color theme="1"/>
      <name val="Arial"/>
      <family val="2"/>
    </font>
    <font>
      <sz val="9"/>
      <color theme="1"/>
      <name val="Arial Unicode MS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707070"/>
      <name val="Microsoft YaHei"/>
      <family val="2"/>
      <charset val="134"/>
    </font>
    <font>
      <sz val="11"/>
      <color rgb="FF232D32"/>
      <name val="等线"/>
      <family val="2"/>
      <scheme val="minor"/>
    </font>
    <font>
      <b/>
      <sz val="11"/>
      <color rgb="FF232D32"/>
      <name val="等线"/>
      <family val="3"/>
      <charset val="134"/>
      <scheme val="minor"/>
    </font>
    <font>
      <sz val="11"/>
      <color rgb="FF232D32"/>
      <name val="等线"/>
      <family val="3"/>
      <charset val="134"/>
      <scheme val="minor"/>
    </font>
    <font>
      <sz val="10"/>
      <color theme="1"/>
      <name val="Microsoft YaHei"/>
      <family val="2"/>
      <charset val="134"/>
    </font>
    <font>
      <b/>
      <sz val="10"/>
      <color theme="1"/>
      <name val="Microsoft YaHei"/>
      <family val="2"/>
      <charset val="134"/>
    </font>
    <font>
      <b/>
      <sz val="11"/>
      <color rgb="FF233648"/>
      <name val="Calibri"/>
      <family val="2"/>
    </font>
    <font>
      <sz val="11"/>
      <color rgb="FF233648"/>
      <name val="Calibri"/>
      <family val="2"/>
    </font>
    <font>
      <b/>
      <sz val="12"/>
      <color rgb="FF233648"/>
      <name val="Calibri"/>
      <family val="2"/>
    </font>
    <font>
      <b/>
      <sz val="11"/>
      <color rgb="FFFFFFFF"/>
      <name val="Calibri"/>
      <family val="2"/>
    </font>
    <font>
      <b/>
      <sz val="22"/>
      <color rgb="FFFFFFFF"/>
      <name val="Calibri"/>
      <family val="2"/>
    </font>
    <font>
      <b/>
      <sz val="20"/>
      <color rgb="FF233648"/>
      <name val="Calibri"/>
      <family val="2"/>
    </font>
    <font>
      <b/>
      <sz val="10"/>
      <color rgb="FF233648"/>
      <name val="Calibri"/>
      <family val="2"/>
    </font>
    <font>
      <sz val="9"/>
      <color rgb="FF738291"/>
      <name val="Calibri"/>
      <family val="2"/>
    </font>
    <font>
      <sz val="11"/>
      <color theme="1"/>
      <name val="Microsoft YaHei"/>
      <family val="2"/>
      <charset val="134"/>
    </font>
    <font>
      <b/>
      <sz val="11"/>
      <color rgb="FFFFFFFF"/>
      <name val="Microsoft YaHei"/>
      <family val="2"/>
      <charset val="134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1E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4" tint="0.95999023407696771"/>
        <bgColor indexed="64"/>
      </patternFill>
    </fill>
    <fill>
      <patternFill patternType="solid">
        <fgColor theme="4" tint="-0.44999542222357858"/>
        <bgColor indexed="64"/>
      </patternFill>
    </fill>
    <fill>
      <patternFill patternType="solid">
        <fgColor theme="4" tint="0.84997100741599785"/>
        <bgColor indexed="64"/>
      </patternFill>
    </fill>
    <fill>
      <patternFill patternType="solid">
        <fgColor theme="4" tint="0.9299905392620624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9BE"/>
      </left>
      <right style="thin">
        <color rgb="FFB4B9BE"/>
      </right>
      <top style="thin">
        <color rgb="FFB4B9BE"/>
      </top>
      <bottom style="thin">
        <color rgb="FFB4B9BE"/>
      </bottom>
      <diagonal/>
    </border>
    <border>
      <left style="thin">
        <color rgb="FFB4B9BE"/>
      </left>
      <right style="medium">
        <color rgb="FF8C969B"/>
      </right>
      <top style="thin">
        <color rgb="FFB4B9BE"/>
      </top>
      <bottom style="medium">
        <color rgb="FF8C969B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medium">
        <color indexed="64"/>
      </bottom>
      <diagonal/>
    </border>
    <border>
      <left style="thin">
        <color rgb="FFBED4E9"/>
      </left>
      <right style="thin">
        <color rgb="FFBED4E9"/>
      </right>
      <top style="thin">
        <color rgb="FFBED4E9"/>
      </top>
      <bottom style="thin">
        <color rgb="FFBED4E9"/>
      </bottom>
      <diagonal/>
    </border>
    <border>
      <left style="thin">
        <color rgb="FFDDDDDD"/>
      </left>
      <right/>
      <top style="thin">
        <color rgb="FFDDDDDD"/>
      </top>
      <bottom style="medium">
        <color indexed="64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/>
      <right style="thin">
        <color rgb="FFDDDDDD"/>
      </right>
      <top style="thin">
        <color rgb="FFDDDDDD"/>
      </top>
      <bottom style="medium">
        <color indexed="64"/>
      </bottom>
      <diagonal/>
    </border>
    <border>
      <left style="thin">
        <color rgb="FFB4B9BE"/>
      </left>
      <right style="thin">
        <color rgb="FFB4B9BE"/>
      </right>
      <top style="thin">
        <color rgb="FFB4B9BE"/>
      </top>
      <bottom/>
      <diagonal/>
    </border>
    <border>
      <left/>
      <right/>
      <top style="medium">
        <color rgb="FF8C969B"/>
      </top>
      <bottom/>
      <diagonal/>
    </border>
    <border>
      <left style="medium">
        <color rgb="FF8C969B"/>
      </left>
      <right/>
      <top style="thin">
        <color rgb="FFB4B9BE"/>
      </top>
      <bottom style="medium">
        <color rgb="FF8C969B"/>
      </bottom>
      <diagonal/>
    </border>
    <border>
      <left style="thin">
        <color rgb="FFB4B9BE"/>
      </left>
      <right/>
      <top style="thin">
        <color rgb="FFB4B9BE"/>
      </top>
      <bottom style="medium">
        <color rgb="FF8C969B"/>
      </bottom>
      <diagonal/>
    </border>
    <border>
      <left style="medium">
        <color rgb="FF8C969B"/>
      </left>
      <right/>
      <top style="medium">
        <color rgb="FF8C969B"/>
      </top>
      <bottom/>
      <diagonal/>
    </border>
    <border>
      <left style="thin">
        <color rgb="FFB4B9BE"/>
      </left>
      <right/>
      <top style="medium">
        <color rgb="FF8C969B"/>
      </top>
      <bottom/>
      <diagonal/>
    </border>
    <border>
      <left style="thin">
        <color rgb="FFB4B9BE"/>
      </left>
      <right style="medium">
        <color rgb="FF8C969B"/>
      </right>
      <top style="medium">
        <color rgb="FF8C969B"/>
      </top>
      <bottom/>
      <diagonal/>
    </border>
    <border>
      <left style="medium">
        <color rgb="FF8C969B"/>
      </left>
      <right/>
      <top style="thin">
        <color rgb="FFB4B9BE"/>
      </top>
      <bottom/>
      <diagonal/>
    </border>
    <border>
      <left style="thin">
        <color rgb="FFB4B9BE"/>
      </left>
      <right/>
      <top style="thin">
        <color rgb="FFB4B9BE"/>
      </top>
      <bottom/>
      <diagonal/>
    </border>
    <border>
      <left style="thin">
        <color rgb="FFB4B9BE"/>
      </left>
      <right style="medium">
        <color rgb="FF8C969B"/>
      </right>
      <top style="thin">
        <color rgb="FFB4B9BE"/>
      </top>
      <bottom/>
      <diagonal/>
    </border>
  </borders>
  <cellStyleXfs count="1">
    <xf numFmtId="0" fontId="0" fillId="0" borderId="0"/>
  </cellStyleXfs>
  <cellXfs count="236">
    <xf numFmtId="0" fontId="0" fillId="0" borderId="0" xfId="0"/>
    <xf numFmtId="0" fontId="4" fillId="0" borderId="0" xfId="0" applyFont="1" applyAlignment="1" applyProtection="1">
      <alignment horizontal="center" vertical="center" wrapText="1"/>
      <protection locked="0"/>
    </xf>
    <xf numFmtId="176" fontId="4" fillId="0" borderId="0" xfId="0" applyNumberFormat="1" applyFont="1" applyAlignment="1" applyProtection="1">
      <alignment horizontal="center" vertical="center" wrapText="1"/>
      <protection locked="0"/>
    </xf>
    <xf numFmtId="14" fontId="4" fillId="0" borderId="0" xfId="0" applyNumberFormat="1" applyFont="1" applyAlignment="1" applyProtection="1">
      <alignment horizontal="center" vertical="center" wrapText="1"/>
      <protection locked="0"/>
    </xf>
    <xf numFmtId="176" fontId="4" fillId="0" borderId="0" xfId="0" applyNumberFormat="1" applyFont="1" applyAlignment="1" applyProtection="1">
      <alignment horizontal="centerContinuous" vertical="center" wrapText="1"/>
      <protection locked="0"/>
    </xf>
    <xf numFmtId="0" fontId="4" fillId="0" borderId="0" xfId="0" applyFont="1" applyAlignment="1" applyProtection="1">
      <alignment horizontal="centerContinuous" vertical="center" wrapText="1"/>
      <protection locked="0"/>
    </xf>
    <xf numFmtId="178" fontId="4" fillId="0" borderId="0" xfId="0" applyNumberFormat="1" applyFont="1" applyAlignment="1" applyProtection="1">
      <alignment horizontal="center" vertical="center" wrapText="1"/>
      <protection locked="0"/>
    </xf>
    <xf numFmtId="176" fontId="4" fillId="0" borderId="2" xfId="0" applyNumberFormat="1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Continuous" vertical="center"/>
      <protection locked="0"/>
    </xf>
    <xf numFmtId="0" fontId="3" fillId="6" borderId="2" xfId="0" applyFont="1" applyFill="1" applyBorder="1" applyAlignment="1" applyProtection="1">
      <alignment horizontal="center" vertical="center" wrapText="1"/>
      <protection locked="0"/>
    </xf>
    <xf numFmtId="176" fontId="3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176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178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176" fontId="3" fillId="9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1" xfId="0" applyFont="1" applyFill="1" applyBorder="1" applyAlignment="1" applyProtection="1">
      <alignment horizontal="center" vertical="center" wrapText="1"/>
      <protection locked="0"/>
    </xf>
    <xf numFmtId="178" fontId="3" fillId="9" borderId="1" xfId="0" applyNumberFormat="1" applyFont="1" applyFill="1" applyBorder="1" applyAlignment="1" applyProtection="1">
      <alignment horizontal="center" vertical="center" wrapText="1"/>
      <protection locked="0"/>
    </xf>
    <xf numFmtId="38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2" xfId="0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176" fontId="4" fillId="7" borderId="1" xfId="0" applyNumberFormat="1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38" fontId="10" fillId="2" borderId="1" xfId="0" applyNumberFormat="1" applyFont="1" applyFill="1" applyBorder="1" applyAlignment="1">
      <alignment horizontal="center" vertical="center" wrapText="1"/>
    </xf>
    <xf numFmtId="176" fontId="10" fillId="2" borderId="1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178" fontId="11" fillId="2" borderId="1" xfId="0" applyNumberFormat="1" applyFont="1" applyFill="1" applyBorder="1" applyAlignment="1">
      <alignment horizontal="center" vertical="center" wrapText="1"/>
    </xf>
    <xf numFmtId="177" fontId="9" fillId="7" borderId="1" xfId="0" applyNumberFormat="1" applyFont="1" applyFill="1" applyBorder="1" applyAlignment="1">
      <alignment horizontal="center" vertical="center" wrapText="1"/>
    </xf>
    <xf numFmtId="177" fontId="10" fillId="2" borderId="1" xfId="0" applyNumberFormat="1" applyFont="1" applyFill="1" applyBorder="1" applyAlignment="1">
      <alignment horizontal="center" vertical="center" wrapText="1"/>
    </xf>
    <xf numFmtId="38" fontId="10" fillId="2" borderId="1" xfId="0" applyNumberFormat="1" applyFont="1" applyFill="1" applyBorder="1" applyAlignment="1" applyProtection="1">
      <alignment horizontal="center" vertical="center" wrapText="1"/>
      <protection hidden="1"/>
    </xf>
    <xf numFmtId="176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178" fontId="4" fillId="0" borderId="1" xfId="0" applyNumberFormat="1" applyFont="1" applyBorder="1" applyAlignment="1" applyProtection="1">
      <alignment horizontal="center" vertical="center" wrapText="1"/>
      <protection locked="0"/>
    </xf>
    <xf numFmtId="176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1" xfId="0" applyNumberFormat="1" applyFont="1" applyBorder="1" applyAlignment="1" applyProtection="1">
      <alignment horizontal="center" vertical="center" wrapText="1"/>
      <protection locked="0"/>
    </xf>
    <xf numFmtId="178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176" fontId="4" fillId="5" borderId="2" xfId="0" applyNumberFormat="1" applyFont="1" applyFill="1" applyBorder="1" applyAlignment="1" applyProtection="1">
      <alignment horizontal="center" vertical="center" wrapText="1"/>
      <protection hidden="1"/>
    </xf>
    <xf numFmtId="176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5" borderId="1" xfId="0" applyFont="1" applyFill="1" applyBorder="1" applyAlignment="1" applyProtection="1">
      <alignment horizontal="center" vertical="center" wrapText="1"/>
      <protection hidden="1"/>
    </xf>
    <xf numFmtId="178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178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10" fillId="5" borderId="2" xfId="0" applyFont="1" applyFill="1" applyBorder="1" applyAlignment="1" applyProtection="1">
      <alignment horizontal="center" vertical="center" wrapText="1"/>
      <protection hidden="1"/>
    </xf>
    <xf numFmtId="176" fontId="10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10" fillId="2" borderId="1" xfId="0" applyFont="1" applyFill="1" applyBorder="1" applyAlignment="1" applyProtection="1">
      <alignment horizontal="center" vertical="center" wrapText="1"/>
      <protection hidden="1"/>
    </xf>
    <xf numFmtId="176" fontId="11" fillId="5" borderId="1" xfId="0" applyNumberFormat="1" applyFont="1" applyFill="1" applyBorder="1" applyAlignment="1" applyProtection="1">
      <alignment horizontal="center" vertical="center" wrapText="1"/>
      <protection hidden="1"/>
    </xf>
    <xf numFmtId="38" fontId="10" fillId="2" borderId="0" xfId="0" applyNumberFormat="1" applyFont="1" applyFill="1" applyAlignment="1" applyProtection="1">
      <alignment horizontal="center" vertical="center" wrapText="1"/>
      <protection locked="0"/>
    </xf>
    <xf numFmtId="179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179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179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179" fontId="10" fillId="2" borderId="1" xfId="0" applyNumberFormat="1" applyFont="1" applyFill="1" applyBorder="1" applyAlignment="1" applyProtection="1">
      <alignment horizontal="center" vertical="center" wrapText="1"/>
      <protection hidden="1"/>
    </xf>
    <xf numFmtId="179" fontId="4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4" fillId="5" borderId="1" xfId="0" applyFont="1" applyFill="1" applyBorder="1" applyAlignment="1" applyProtection="1">
      <alignment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left" vertical="center"/>
      <protection hidden="1"/>
    </xf>
    <xf numFmtId="0" fontId="9" fillId="7" borderId="2" xfId="0" applyFont="1" applyFill="1" applyBorder="1" applyAlignment="1">
      <alignment vertical="center" wrapText="1"/>
    </xf>
    <xf numFmtId="176" fontId="4" fillId="5" borderId="2" xfId="0" applyNumberFormat="1" applyFont="1" applyFill="1" applyBorder="1" applyAlignment="1" applyProtection="1">
      <alignment vertical="center" wrapText="1"/>
      <protection hidden="1"/>
    </xf>
    <xf numFmtId="0" fontId="4" fillId="5" borderId="1" xfId="0" applyFont="1" applyFill="1" applyBorder="1" applyAlignment="1" applyProtection="1">
      <alignment vertical="center" wrapText="1"/>
      <protection hidden="1"/>
    </xf>
    <xf numFmtId="0" fontId="9" fillId="7" borderId="2" xfId="0" applyFont="1" applyFill="1" applyBorder="1" applyAlignment="1">
      <alignment horizontal="left" vertical="center" wrapText="1"/>
    </xf>
    <xf numFmtId="176" fontId="4" fillId="5" borderId="2" xfId="0" applyNumberFormat="1" applyFont="1" applyFill="1" applyBorder="1" applyAlignment="1" applyProtection="1">
      <alignment horizontal="left" vertical="center" wrapText="1"/>
      <protection hidden="1"/>
    </xf>
    <xf numFmtId="0" fontId="4" fillId="5" borderId="1" xfId="0" applyFont="1" applyFill="1" applyBorder="1" applyAlignment="1" applyProtection="1">
      <alignment horizontal="left" vertical="center" wrapText="1"/>
      <protection hidden="1"/>
    </xf>
    <xf numFmtId="0" fontId="5" fillId="0" borderId="0" xfId="0" applyFont="1" applyAlignment="1" applyProtection="1">
      <alignment horizontal="left" vertical="center"/>
      <protection locked="0"/>
    </xf>
    <xf numFmtId="177" fontId="5" fillId="0" borderId="1" xfId="0" applyNumberFormat="1" applyFont="1" applyBorder="1" applyAlignment="1" applyProtection="1">
      <alignment vertical="center"/>
      <protection locked="0"/>
    </xf>
    <xf numFmtId="177" fontId="5" fillId="0" borderId="2" xfId="0" applyNumberFormat="1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vertical="center"/>
      <protection hidden="1"/>
    </xf>
    <xf numFmtId="0" fontId="10" fillId="2" borderId="1" xfId="0" applyFont="1" applyFill="1" applyBorder="1" applyAlignment="1" applyProtection="1">
      <alignment vertical="center" wrapText="1"/>
      <protection hidden="1"/>
    </xf>
    <xf numFmtId="0" fontId="4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4" fillId="0" borderId="1" xfId="0" applyFont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14" fontId="11" fillId="0" borderId="0" xfId="0" applyNumberFormat="1" applyFont="1" applyAlignment="1" applyProtection="1">
      <alignment horizontal="center" vertical="center"/>
      <protection locked="0"/>
    </xf>
    <xf numFmtId="177" fontId="9" fillId="0" borderId="1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76" fontId="4" fillId="0" borderId="2" xfId="0" applyNumberFormat="1" applyFont="1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76" fontId="4" fillId="0" borderId="1" xfId="0" applyNumberFormat="1" applyFont="1" applyBorder="1" applyAlignment="1">
      <alignment horizontal="center" vertical="center" wrapText="1"/>
    </xf>
    <xf numFmtId="176" fontId="4" fillId="0" borderId="1" xfId="0" applyNumberFormat="1" applyFont="1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179" fontId="4" fillId="0" borderId="1" xfId="0" applyNumberFormat="1" applyFont="1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>
      <alignment horizontal="center" vertical="center" wrapText="1"/>
    </xf>
    <xf numFmtId="38" fontId="10" fillId="0" borderId="1" xfId="0" applyNumberFormat="1" applyFont="1" applyBorder="1" applyAlignment="1" applyProtection="1">
      <alignment horizontal="center" vertical="center" wrapText="1"/>
      <protection hidden="1"/>
    </xf>
    <xf numFmtId="178" fontId="4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18" fillId="0" borderId="0" xfId="0" applyFont="1"/>
    <xf numFmtId="22" fontId="0" fillId="0" borderId="0" xfId="0" applyNumberFormat="1"/>
    <xf numFmtId="49" fontId="0" fillId="0" borderId="0" xfId="0" applyNumberFormat="1"/>
    <xf numFmtId="180" fontId="0" fillId="0" borderId="0" xfId="0" applyNumberFormat="1"/>
    <xf numFmtId="49" fontId="0" fillId="0" borderId="0" xfId="0" applyNumberFormat="1" applyAlignment="1">
      <alignment wrapText="1"/>
    </xf>
    <xf numFmtId="0" fontId="20" fillId="10" borderId="3" xfId="0" applyFont="1" applyFill="1" applyBorder="1" applyAlignment="1">
      <alignment horizontal="center" vertical="center" wrapText="1"/>
    </xf>
    <xf numFmtId="49" fontId="20" fillId="10" borderId="3" xfId="0" applyNumberFormat="1" applyFont="1" applyFill="1" applyBorder="1" applyAlignment="1">
      <alignment horizontal="center" vertical="center" wrapText="1"/>
    </xf>
    <xf numFmtId="180" fontId="20" fillId="10" borderId="3" xfId="0" applyNumberFormat="1" applyFont="1" applyFill="1" applyBorder="1" applyAlignment="1">
      <alignment horizontal="center" vertical="center" wrapText="1"/>
    </xf>
    <xf numFmtId="49" fontId="21" fillId="15" borderId="4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0" applyFont="1"/>
    <xf numFmtId="0" fontId="23" fillId="20" borderId="0" xfId="0" applyFont="1" applyFill="1"/>
    <xf numFmtId="49" fontId="22" fillId="0" borderId="0" xfId="0" applyNumberFormat="1" applyFont="1" applyAlignment="1">
      <alignment wrapText="1"/>
    </xf>
    <xf numFmtId="0" fontId="0" fillId="19" borderId="0" xfId="0" applyFill="1"/>
    <xf numFmtId="0" fontId="0" fillId="21" borderId="0" xfId="0" applyFill="1"/>
    <xf numFmtId="0" fontId="8" fillId="21" borderId="0" xfId="0" applyFont="1" applyFill="1" applyAlignment="1">
      <alignment horizontal="left" vertical="center"/>
    </xf>
    <xf numFmtId="0" fontId="25" fillId="21" borderId="0" xfId="0" applyFont="1" applyFill="1" applyAlignment="1">
      <alignment horizontal="left" vertical="center" wrapText="1"/>
    </xf>
    <xf numFmtId="0" fontId="25" fillId="21" borderId="0" xfId="0" applyFont="1" applyFill="1" applyAlignment="1">
      <alignment vertical="center" wrapText="1"/>
    </xf>
    <xf numFmtId="0" fontId="25" fillId="21" borderId="6" xfId="0" applyFont="1" applyFill="1" applyBorder="1" applyAlignment="1">
      <alignment vertical="center" wrapText="1"/>
    </xf>
    <xf numFmtId="0" fontId="25" fillId="21" borderId="6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0" borderId="1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24" fillId="21" borderId="7" xfId="0" applyFont="1" applyFill="1" applyBorder="1" applyAlignment="1">
      <alignment vertical="center" wrapText="1"/>
    </xf>
    <xf numFmtId="0" fontId="26" fillId="4" borderId="5" xfId="0" applyFont="1" applyFill="1" applyBorder="1" applyAlignment="1">
      <alignment horizontal="center" vertical="center" wrapText="1"/>
    </xf>
    <xf numFmtId="0" fontId="24" fillId="21" borderId="0" xfId="0" applyFont="1" applyFill="1" applyAlignment="1">
      <alignment vertical="center" wrapText="1"/>
    </xf>
    <xf numFmtId="0" fontId="30" fillId="21" borderId="0" xfId="0" applyFont="1" applyFill="1" applyAlignment="1">
      <alignment vertical="center" wrapText="1"/>
    </xf>
    <xf numFmtId="0" fontId="31" fillId="21" borderId="6" xfId="0" applyFont="1" applyFill="1" applyBorder="1" applyAlignment="1">
      <alignment vertical="center" wrapText="1"/>
    </xf>
    <xf numFmtId="181" fontId="31" fillId="21" borderId="6" xfId="0" applyNumberFormat="1" applyFont="1" applyFill="1" applyBorder="1" applyAlignment="1">
      <alignment horizontal="center" vertical="center" wrapText="1"/>
    </xf>
    <xf numFmtId="0" fontId="27" fillId="22" borderId="1" xfId="0" applyFont="1" applyFill="1" applyBorder="1" applyAlignment="1">
      <alignment horizontal="center" vertical="center" wrapText="1"/>
    </xf>
    <xf numFmtId="0" fontId="27" fillId="22" borderId="0" xfId="0" applyFont="1" applyFill="1" applyAlignment="1">
      <alignment horizontal="center" vertical="center" wrapText="1"/>
    </xf>
    <xf numFmtId="0" fontId="25" fillId="24" borderId="7" xfId="0" applyFont="1" applyFill="1" applyBorder="1" applyAlignment="1">
      <alignment horizontal="center" vertical="center"/>
    </xf>
    <xf numFmtId="0" fontId="25" fillId="4" borderId="7" xfId="0" applyFont="1" applyFill="1" applyBorder="1" applyAlignment="1">
      <alignment horizontal="center" vertical="center"/>
    </xf>
    <xf numFmtId="176" fontId="25" fillId="24" borderId="7" xfId="0" applyNumberFormat="1" applyFont="1" applyFill="1" applyBorder="1" applyAlignment="1">
      <alignment horizontal="center" vertical="center"/>
    </xf>
    <xf numFmtId="0" fontId="25" fillId="19" borderId="7" xfId="0" applyFont="1" applyFill="1" applyBorder="1" applyAlignment="1">
      <alignment horizontal="center" vertical="center"/>
    </xf>
    <xf numFmtId="176" fontId="25" fillId="19" borderId="7" xfId="0" applyNumberFormat="1" applyFont="1" applyFill="1" applyBorder="1" applyAlignment="1">
      <alignment horizontal="center" vertical="center"/>
    </xf>
    <xf numFmtId="0" fontId="32" fillId="0" borderId="0" xfId="0" applyFont="1"/>
    <xf numFmtId="0" fontId="26" fillId="9" borderId="0" xfId="0" applyFont="1" applyFill="1" applyAlignment="1">
      <alignment vertical="center" wrapText="1"/>
    </xf>
    <xf numFmtId="0" fontId="25" fillId="9" borderId="0" xfId="0" applyFont="1" applyFill="1" applyAlignment="1">
      <alignment vertical="center" wrapText="1"/>
    </xf>
    <xf numFmtId="0" fontId="25" fillId="21" borderId="0" xfId="0" applyFont="1" applyFill="1" applyAlignment="1">
      <alignment vertical="center" wrapText="1"/>
    </xf>
    <xf numFmtId="182" fontId="25" fillId="21" borderId="0" xfId="0" applyNumberFormat="1" applyFont="1" applyFill="1" applyAlignment="1">
      <alignment vertical="center" wrapText="1"/>
    </xf>
    <xf numFmtId="0" fontId="24" fillId="21" borderId="0" xfId="0" applyFont="1" applyFill="1" applyAlignment="1">
      <alignment horizontal="left" vertical="center" wrapText="1"/>
    </xf>
    <xf numFmtId="0" fontId="24" fillId="9" borderId="0" xfId="0" applyFont="1" applyFill="1" applyAlignment="1">
      <alignment horizontal="center" vertical="center" wrapText="1"/>
    </xf>
    <xf numFmtId="0" fontId="25" fillId="9" borderId="0" xfId="0" applyFont="1" applyFill="1" applyAlignment="1">
      <alignment horizontal="center" vertical="center" wrapText="1"/>
    </xf>
    <xf numFmtId="0" fontId="29" fillId="23" borderId="0" xfId="0" applyFont="1" applyFill="1" applyAlignment="1">
      <alignment horizontal="center" vertical="center" wrapText="1"/>
    </xf>
    <xf numFmtId="0" fontId="25" fillId="23" borderId="0" xfId="0" applyFont="1" applyFill="1" applyAlignment="1">
      <alignment horizontal="center" vertical="center" wrapText="1"/>
    </xf>
    <xf numFmtId="176" fontId="26" fillId="4" borderId="8" xfId="0" applyNumberFormat="1" applyFont="1" applyFill="1" applyBorder="1" applyAlignment="1">
      <alignment horizontal="center" vertical="center" wrapText="1"/>
    </xf>
    <xf numFmtId="180" fontId="25" fillId="4" borderId="9" xfId="0" applyNumberFormat="1" applyFont="1" applyFill="1" applyBorder="1" applyAlignment="1">
      <alignment horizontal="center" vertical="center" wrapText="1"/>
    </xf>
    <xf numFmtId="180" fontId="25" fillId="4" borderId="10" xfId="0" applyNumberFormat="1" applyFont="1" applyFill="1" applyBorder="1" applyAlignment="1">
      <alignment horizontal="center" vertical="center" wrapText="1"/>
    </xf>
    <xf numFmtId="0" fontId="24" fillId="9" borderId="0" xfId="0" applyFont="1" applyFill="1" applyAlignment="1">
      <alignment vertical="center" wrapText="1"/>
    </xf>
    <xf numFmtId="0" fontId="22" fillId="0" borderId="0" xfId="0" applyFont="1" applyAlignment="1">
      <alignment wrapText="1"/>
    </xf>
    <xf numFmtId="0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wrapText="1"/>
    </xf>
    <xf numFmtId="0" fontId="33" fillId="22" borderId="0" xfId="0" applyFont="1" applyFill="1" applyAlignment="1">
      <alignment horizontal="center" wrapText="1"/>
    </xf>
    <xf numFmtId="49" fontId="25" fillId="19" borderId="7" xfId="0" applyNumberFormat="1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10" borderId="13" xfId="0" applyFont="1" applyFill="1" applyBorder="1" applyAlignment="1">
      <alignment horizontal="center" vertical="center" wrapText="1"/>
    </xf>
    <xf numFmtId="49" fontId="21" fillId="0" borderId="12" xfId="0" applyNumberFormat="1" applyFont="1" applyBorder="1" applyAlignment="1">
      <alignment horizontal="center" vertical="center" wrapText="1"/>
    </xf>
    <xf numFmtId="0" fontId="19" fillId="10" borderId="14" xfId="0" applyFont="1" applyFill="1" applyBorder="1" applyAlignment="1">
      <alignment horizontal="center" vertical="center" wrapText="1"/>
    </xf>
    <xf numFmtId="49" fontId="21" fillId="10" borderId="14" xfId="0" applyNumberFormat="1" applyFont="1" applyFill="1" applyBorder="1" applyAlignment="1">
      <alignment horizontal="center" vertical="center" wrapText="1"/>
    </xf>
    <xf numFmtId="0" fontId="21" fillId="11" borderId="15" xfId="0" applyFont="1" applyFill="1" applyBorder="1" applyAlignment="1">
      <alignment horizontal="center" vertical="center" wrapText="1"/>
    </xf>
    <xf numFmtId="0" fontId="21" fillId="11" borderId="16" xfId="0" applyFont="1" applyFill="1" applyBorder="1" applyAlignment="1">
      <alignment horizontal="center" vertical="center" wrapText="1"/>
    </xf>
    <xf numFmtId="49" fontId="21" fillId="11" borderId="16" xfId="0" applyNumberFormat="1" applyFont="1" applyFill="1" applyBorder="1" applyAlignment="1">
      <alignment horizontal="center" vertical="center" wrapText="1"/>
    </xf>
    <xf numFmtId="49" fontId="21" fillId="15" borderId="17" xfId="0" applyNumberFormat="1" applyFont="1" applyFill="1" applyBorder="1" applyAlignment="1">
      <alignment horizontal="center" vertical="center" wrapText="1"/>
    </xf>
    <xf numFmtId="0" fontId="21" fillId="11" borderId="18" xfId="0" applyFont="1" applyFill="1" applyBorder="1" applyAlignment="1">
      <alignment horizontal="center" vertical="center" wrapText="1"/>
    </xf>
    <xf numFmtId="0" fontId="21" fillId="11" borderId="19" xfId="0" applyFont="1" applyFill="1" applyBorder="1" applyAlignment="1">
      <alignment horizontal="center" vertical="center" wrapText="1"/>
    </xf>
    <xf numFmtId="49" fontId="21" fillId="11" borderId="19" xfId="0" applyNumberFormat="1" applyFont="1" applyFill="1" applyBorder="1" applyAlignment="1">
      <alignment horizontal="center" vertical="center" wrapText="1"/>
    </xf>
    <xf numFmtId="49" fontId="21" fillId="15" borderId="20" xfId="0" applyNumberFormat="1" applyFont="1" applyFill="1" applyBorder="1" applyAlignment="1">
      <alignment horizontal="center" vertical="center" wrapText="1"/>
    </xf>
    <xf numFmtId="49" fontId="21" fillId="11" borderId="20" xfId="0" applyNumberFormat="1" applyFont="1" applyFill="1" applyBorder="1" applyAlignment="1">
      <alignment horizontal="center" vertical="center" wrapText="1"/>
    </xf>
    <xf numFmtId="0" fontId="19" fillId="11" borderId="18" xfId="0" applyFont="1" applyFill="1" applyBorder="1" applyAlignment="1">
      <alignment horizontal="center" vertical="center" wrapText="1"/>
    </xf>
    <xf numFmtId="0" fontId="19" fillId="11" borderId="19" xfId="0" applyFont="1" applyFill="1" applyBorder="1" applyAlignment="1">
      <alignment horizontal="center" vertical="center" wrapText="1"/>
    </xf>
    <xf numFmtId="0" fontId="19" fillId="12" borderId="15" xfId="0" applyFont="1" applyFill="1" applyBorder="1" applyAlignment="1">
      <alignment horizontal="center" vertical="center" wrapText="1"/>
    </xf>
    <xf numFmtId="0" fontId="19" fillId="12" borderId="16" xfId="0" applyFont="1" applyFill="1" applyBorder="1" applyAlignment="1">
      <alignment horizontal="center" vertical="center" wrapText="1"/>
    </xf>
    <xf numFmtId="49" fontId="21" fillId="12" borderId="16" xfId="0" applyNumberFormat="1" applyFont="1" applyFill="1" applyBorder="1" applyAlignment="1">
      <alignment horizontal="center" vertical="center" wrapText="1"/>
    </xf>
    <xf numFmtId="0" fontId="19" fillId="12" borderId="18" xfId="0" applyFont="1" applyFill="1" applyBorder="1" applyAlignment="1">
      <alignment horizontal="center" vertical="center" wrapText="1"/>
    </xf>
    <xf numFmtId="0" fontId="19" fillId="12" borderId="19" xfId="0" applyFont="1" applyFill="1" applyBorder="1" applyAlignment="1">
      <alignment horizontal="center" vertical="center" wrapText="1"/>
    </xf>
    <xf numFmtId="49" fontId="21" fillId="12" borderId="19" xfId="0" applyNumberFormat="1" applyFont="1" applyFill="1" applyBorder="1" applyAlignment="1">
      <alignment horizontal="center" vertical="center" wrapText="1"/>
    </xf>
    <xf numFmtId="0" fontId="21" fillId="12" borderId="18" xfId="0" applyFont="1" applyFill="1" applyBorder="1" applyAlignment="1">
      <alignment horizontal="center" vertical="center" wrapText="1"/>
    </xf>
    <xf numFmtId="0" fontId="21" fillId="12" borderId="19" xfId="0" applyFont="1" applyFill="1" applyBorder="1" applyAlignment="1">
      <alignment horizontal="center" vertical="center" wrapText="1"/>
    </xf>
    <xf numFmtId="0" fontId="19" fillId="13" borderId="15" xfId="0" applyFont="1" applyFill="1" applyBorder="1" applyAlignment="1">
      <alignment horizontal="center" vertical="center" wrapText="1"/>
    </xf>
    <xf numFmtId="0" fontId="19" fillId="13" borderId="16" xfId="0" applyFont="1" applyFill="1" applyBorder="1" applyAlignment="1">
      <alignment horizontal="center" vertical="center" wrapText="1"/>
    </xf>
    <xf numFmtId="49" fontId="21" fillId="13" borderId="16" xfId="0" applyNumberFormat="1" applyFont="1" applyFill="1" applyBorder="1" applyAlignment="1">
      <alignment horizontal="center" vertical="center" wrapText="1"/>
    </xf>
    <xf numFmtId="0" fontId="21" fillId="13" borderId="15" xfId="0" applyFont="1" applyFill="1" applyBorder="1" applyAlignment="1">
      <alignment horizontal="center" vertical="center" wrapText="1"/>
    </xf>
    <xf numFmtId="0" fontId="21" fillId="13" borderId="16" xfId="0" applyFont="1" applyFill="1" applyBorder="1" applyAlignment="1">
      <alignment horizontal="center" vertical="center" wrapText="1"/>
    </xf>
    <xf numFmtId="0" fontId="21" fillId="13" borderId="18" xfId="0" applyFont="1" applyFill="1" applyBorder="1" applyAlignment="1">
      <alignment horizontal="center" vertical="center" wrapText="1"/>
    </xf>
    <xf numFmtId="0" fontId="21" fillId="13" borderId="19" xfId="0" applyFont="1" applyFill="1" applyBorder="1" applyAlignment="1">
      <alignment horizontal="center" vertical="center" wrapText="1"/>
    </xf>
    <xf numFmtId="49" fontId="21" fillId="13" borderId="19" xfId="0" applyNumberFormat="1" applyFont="1" applyFill="1" applyBorder="1" applyAlignment="1">
      <alignment horizontal="center" vertical="center" wrapText="1"/>
    </xf>
    <xf numFmtId="49" fontId="21" fillId="13" borderId="20" xfId="0" applyNumberFormat="1" applyFont="1" applyFill="1" applyBorder="1" applyAlignment="1">
      <alignment horizontal="center" vertical="center" wrapText="1"/>
    </xf>
    <xf numFmtId="0" fontId="19" fillId="13" borderId="18" xfId="0" applyFont="1" applyFill="1" applyBorder="1" applyAlignment="1">
      <alignment horizontal="center" vertical="center" wrapText="1"/>
    </xf>
    <xf numFmtId="0" fontId="19" fillId="13" borderId="19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49" fontId="21" fillId="14" borderId="16" xfId="0" applyNumberFormat="1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49" fontId="21" fillId="14" borderId="19" xfId="0" applyNumberFormat="1" applyFont="1" applyFill="1" applyBorder="1" applyAlignment="1">
      <alignment horizontal="center" vertical="center" wrapText="1"/>
    </xf>
    <xf numFmtId="49" fontId="21" fillId="14" borderId="20" xfId="0" applyNumberFormat="1" applyFont="1" applyFill="1" applyBorder="1" applyAlignment="1">
      <alignment horizontal="center" vertical="center" wrapText="1"/>
    </xf>
    <xf numFmtId="0" fontId="21" fillId="14" borderId="18" xfId="0" applyFont="1" applyFill="1" applyBorder="1" applyAlignment="1">
      <alignment horizontal="center" vertical="center" wrapText="1"/>
    </xf>
    <xf numFmtId="0" fontId="21" fillId="14" borderId="19" xfId="0" applyFont="1" applyFill="1" applyBorder="1" applyAlignment="1">
      <alignment horizontal="center" vertical="center" wrapText="1"/>
    </xf>
    <xf numFmtId="0" fontId="21" fillId="14" borderId="15" xfId="0" applyFont="1" applyFill="1" applyBorder="1" applyAlignment="1">
      <alignment horizontal="center" vertical="center" wrapText="1"/>
    </xf>
    <xf numFmtId="0" fontId="21" fillId="14" borderId="16" xfId="0" applyFont="1" applyFill="1" applyBorder="1" applyAlignment="1">
      <alignment horizontal="center" vertical="center" wrapText="1"/>
    </xf>
    <xf numFmtId="0" fontId="21" fillId="16" borderId="15" xfId="0" applyFont="1" applyFill="1" applyBorder="1" applyAlignment="1">
      <alignment horizontal="center" vertical="center" wrapText="1"/>
    </xf>
    <xf numFmtId="0" fontId="21" fillId="16" borderId="16" xfId="0" applyFont="1" applyFill="1" applyBorder="1" applyAlignment="1">
      <alignment horizontal="center" vertical="center" wrapText="1"/>
    </xf>
    <xf numFmtId="49" fontId="21" fillId="16" borderId="16" xfId="0" applyNumberFormat="1" applyFont="1" applyFill="1" applyBorder="1" applyAlignment="1">
      <alignment horizontal="center" vertical="center" wrapText="1"/>
    </xf>
    <xf numFmtId="0" fontId="21" fillId="16" borderId="18" xfId="0" applyFont="1" applyFill="1" applyBorder="1" applyAlignment="1">
      <alignment horizontal="center" vertical="center" wrapText="1"/>
    </xf>
    <xf numFmtId="0" fontId="21" fillId="16" borderId="19" xfId="0" applyFont="1" applyFill="1" applyBorder="1" applyAlignment="1">
      <alignment horizontal="center" vertical="center" wrapText="1"/>
    </xf>
    <xf numFmtId="49" fontId="21" fillId="16" borderId="19" xfId="0" applyNumberFormat="1" applyFont="1" applyFill="1" applyBorder="1" applyAlignment="1">
      <alignment horizontal="center" vertical="center" wrapText="1"/>
    </xf>
    <xf numFmtId="49" fontId="21" fillId="16" borderId="20" xfId="0" applyNumberFormat="1" applyFont="1" applyFill="1" applyBorder="1" applyAlignment="1">
      <alignment horizontal="center" vertical="center" wrapText="1"/>
    </xf>
    <xf numFmtId="0" fontId="19" fillId="16" borderId="18" xfId="0" applyFont="1" applyFill="1" applyBorder="1" applyAlignment="1">
      <alignment horizontal="center" vertical="center" wrapText="1"/>
    </xf>
    <xf numFmtId="0" fontId="19" fillId="16" borderId="19" xfId="0" applyFont="1" applyFill="1" applyBorder="1" applyAlignment="1">
      <alignment horizontal="center" vertical="center" wrapText="1"/>
    </xf>
    <xf numFmtId="0" fontId="21" fillId="17" borderId="15" xfId="0" applyFont="1" applyFill="1" applyBorder="1" applyAlignment="1">
      <alignment horizontal="center" vertical="center" wrapText="1"/>
    </xf>
    <xf numFmtId="0" fontId="21" fillId="17" borderId="16" xfId="0" applyFont="1" applyFill="1" applyBorder="1" applyAlignment="1">
      <alignment horizontal="center" vertical="center" wrapText="1"/>
    </xf>
    <xf numFmtId="49" fontId="21" fillId="17" borderId="16" xfId="0" applyNumberFormat="1" applyFont="1" applyFill="1" applyBorder="1" applyAlignment="1">
      <alignment horizontal="center" vertical="center" wrapText="1"/>
    </xf>
    <xf numFmtId="0" fontId="21" fillId="17" borderId="18" xfId="0" applyFont="1" applyFill="1" applyBorder="1" applyAlignment="1">
      <alignment horizontal="center" vertical="center" wrapText="1"/>
    </xf>
    <xf numFmtId="0" fontId="21" fillId="17" borderId="19" xfId="0" applyFont="1" applyFill="1" applyBorder="1" applyAlignment="1">
      <alignment horizontal="center" vertical="center" wrapText="1"/>
    </xf>
    <xf numFmtId="49" fontId="21" fillId="17" borderId="19" xfId="0" applyNumberFormat="1" applyFont="1" applyFill="1" applyBorder="1" applyAlignment="1">
      <alignment horizontal="center" vertical="center" wrapText="1"/>
    </xf>
    <xf numFmtId="0" fontId="19" fillId="10" borderId="15" xfId="0" applyFont="1" applyFill="1" applyBorder="1" applyAlignment="1">
      <alignment horizontal="center" vertical="center" wrapText="1"/>
    </xf>
    <xf numFmtId="0" fontId="19" fillId="10" borderId="16" xfId="0" applyFont="1" applyFill="1" applyBorder="1" applyAlignment="1">
      <alignment horizontal="center" vertical="center" wrapText="1"/>
    </xf>
    <xf numFmtId="49" fontId="21" fillId="10" borderId="16" xfId="0" applyNumberFormat="1" applyFont="1" applyFill="1" applyBorder="1" applyAlignment="1">
      <alignment horizontal="center" vertical="center" wrapText="1"/>
    </xf>
    <xf numFmtId="49" fontId="21" fillId="10" borderId="17" xfId="0" applyNumberFormat="1" applyFont="1" applyFill="1" applyBorder="1" applyAlignment="1">
      <alignment horizontal="center" vertical="center" wrapText="1"/>
    </xf>
    <xf numFmtId="0" fontId="21" fillId="18" borderId="15" xfId="0" applyFont="1" applyFill="1" applyBorder="1" applyAlignment="1">
      <alignment horizontal="center" vertical="center" wrapText="1"/>
    </xf>
    <xf numFmtId="0" fontId="21" fillId="18" borderId="16" xfId="0" applyFont="1" applyFill="1" applyBorder="1" applyAlignment="1">
      <alignment horizontal="center" vertical="center" wrapText="1"/>
    </xf>
    <xf numFmtId="49" fontId="21" fillId="18" borderId="16" xfId="0" applyNumberFormat="1" applyFont="1" applyFill="1" applyBorder="1" applyAlignment="1">
      <alignment horizontal="center" vertical="center" wrapText="1"/>
    </xf>
    <xf numFmtId="49" fontId="21" fillId="18" borderId="17" xfId="0" applyNumberFormat="1" applyFont="1" applyFill="1" applyBorder="1" applyAlignment="1">
      <alignment horizontal="center" vertical="center" wrapText="1"/>
    </xf>
    <xf numFmtId="0" fontId="19" fillId="18" borderId="18" xfId="0" applyFont="1" applyFill="1" applyBorder="1" applyAlignment="1">
      <alignment horizontal="center" vertical="center" wrapText="1"/>
    </xf>
    <xf numFmtId="0" fontId="19" fillId="18" borderId="19" xfId="0" applyFont="1" applyFill="1" applyBorder="1" applyAlignment="1">
      <alignment horizontal="center" vertical="center" wrapText="1"/>
    </xf>
    <xf numFmtId="49" fontId="21" fillId="18" borderId="19" xfId="0" applyNumberFormat="1" applyFont="1" applyFill="1" applyBorder="1" applyAlignment="1">
      <alignment horizontal="center" vertical="center" wrapText="1"/>
    </xf>
    <xf numFmtId="49" fontId="21" fillId="18" borderId="20" xfId="0" applyNumberFormat="1" applyFont="1" applyFill="1" applyBorder="1" applyAlignment="1">
      <alignment horizontal="center" vertical="center" wrapText="1"/>
    </xf>
    <xf numFmtId="0" fontId="21" fillId="18" borderId="18" xfId="0" applyFont="1" applyFill="1" applyBorder="1" applyAlignment="1">
      <alignment horizontal="center" vertical="center" wrapText="1"/>
    </xf>
    <xf numFmtId="0" fontId="21" fillId="18" borderId="19" xfId="0" applyFont="1" applyFill="1" applyBorder="1" applyAlignment="1">
      <alignment horizontal="center" vertical="center" wrapText="1"/>
    </xf>
    <xf numFmtId="0" fontId="19" fillId="10" borderId="18" xfId="0" applyFont="1" applyFill="1" applyBorder="1" applyAlignment="1">
      <alignment horizontal="center" vertical="center" wrapText="1"/>
    </xf>
    <xf numFmtId="0" fontId="19" fillId="10" borderId="19" xfId="0" applyFont="1" applyFill="1" applyBorder="1" applyAlignment="1">
      <alignment horizontal="center" vertical="center" wrapText="1"/>
    </xf>
    <xf numFmtId="49" fontId="21" fillId="10" borderId="19" xfId="0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25" fillId="2" borderId="7" xfId="0" applyFont="1" applyFill="1" applyBorder="1" applyAlignment="1">
      <alignment horizontal="left" vertical="center" wrapText="1"/>
    </xf>
    <xf numFmtId="0" fontId="28" fillId="22" borderId="0" xfId="0" applyFont="1" applyFill="1" applyAlignment="1">
      <alignment horizontal="center" vertical="center" wrapText="1"/>
    </xf>
    <xf numFmtId="0" fontId="24" fillId="22" borderId="0" xfId="0" applyFont="1" applyFill="1" applyAlignment="1">
      <alignment horizontal="center" vertical="center" wrapText="1"/>
    </xf>
  </cellXfs>
  <cellStyles count="1">
    <cellStyle name="常规" xfId="0" builtinId="0"/>
  </cellStyles>
  <dxfs count="5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9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B3FFFF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B3FFFF"/>
      <color rgb="FF66FFFF"/>
      <color rgb="FFFBE4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233680</xdr:colOff>
      <xdr:row>2</xdr:row>
      <xdr:rowOff>69669</xdr:rowOff>
    </xdr:from>
    <xdr:to>
      <xdr:col>12</xdr:col>
      <xdr:colOff>979352</xdr:colOff>
      <xdr:row>3</xdr:row>
      <xdr:rowOff>185783</xdr:rowOff>
    </xdr:to>
    <xdr:sp macro="ImportPlants" textlink="">
      <xdr:nvSpPr>
        <xdr:cNvPr id="2" name="V15_ImportPlants">
          <a:extLst>
            <a:ext uri="{FF2B5EF4-FFF2-40B4-BE49-F238E27FC236}">
              <a16:creationId xmlns:a16="http://schemas.microsoft.com/office/drawing/2014/main" id="{F95FBC2E-0EAA-B35B-4302-122B71CB0460}"/>
            </a:ext>
          </a:extLst>
        </xdr:cNvPr>
        <xdr:cNvSpPr/>
      </xdr:nvSpPr>
      <xdr:spPr>
        <a:xfrm>
          <a:off x="10912566" y="7010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① 导入来源数据</a:t>
          </a:r>
        </a:p>
      </xdr:txBody>
    </xdr:sp>
    <xdr:clientData/>
  </xdr:twoCellAnchor>
  <xdr:twoCellAnchor editAs="absolute">
    <xdr:from>
      <xdr:col>10</xdr:col>
      <xdr:colOff>233680</xdr:colOff>
      <xdr:row>3</xdr:row>
      <xdr:rowOff>300083</xdr:rowOff>
    </xdr:from>
    <xdr:to>
      <xdr:col>12</xdr:col>
      <xdr:colOff>979352</xdr:colOff>
      <xdr:row>4</xdr:row>
      <xdr:rowOff>361769</xdr:rowOff>
    </xdr:to>
    <xdr:sp macro="UpdateInstallationDates" textlink="">
      <xdr:nvSpPr>
        <xdr:cNvPr id="8" name="V15_UpdateInstallationDates">
          <a:extLst>
            <a:ext uri="{FF2B5EF4-FFF2-40B4-BE49-F238E27FC236}">
              <a16:creationId xmlns:a16="http://schemas.microsoft.com/office/drawing/2014/main" id="{DB12F33D-91FE-95CE-7A26-66F1B2BBB8AC}"/>
            </a:ext>
          </a:extLst>
        </xdr:cNvPr>
        <xdr:cNvSpPr/>
      </xdr:nvSpPr>
      <xdr:spPr>
        <a:xfrm>
          <a:off x="10912566" y="12471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② 更新安装日期</a:t>
          </a:r>
        </a:p>
      </xdr:txBody>
    </xdr:sp>
    <xdr:clientData/>
  </xdr:twoCellAnchor>
  <xdr:twoCellAnchor editAs="absolute">
    <xdr:from>
      <xdr:col>10</xdr:col>
      <xdr:colOff>233680</xdr:colOff>
      <xdr:row>5</xdr:row>
      <xdr:rowOff>105954</xdr:rowOff>
    </xdr:from>
    <xdr:to>
      <xdr:col>12</xdr:col>
      <xdr:colOff>979352</xdr:colOff>
      <xdr:row>6</xdr:row>
      <xdr:rowOff>167640</xdr:rowOff>
    </xdr:to>
    <xdr:sp macro="UpdatePlanAndSummary" textlink="">
      <xdr:nvSpPr>
        <xdr:cNvPr id="9" name="V15_UpdatePlanAndSummary">
          <a:extLst>
            <a:ext uri="{FF2B5EF4-FFF2-40B4-BE49-F238E27FC236}">
              <a16:creationId xmlns:a16="http://schemas.microsoft.com/office/drawing/2014/main" id="{C262FE14-4937-AAB7-375F-361818A832AE}"/>
            </a:ext>
          </a:extLst>
        </xdr:cNvPr>
        <xdr:cNvSpPr/>
      </xdr:nvSpPr>
      <xdr:spPr>
        <a:xfrm>
          <a:off x="10912566" y="17932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③ 更新计划与总表</a:t>
          </a:r>
        </a:p>
      </xdr:txBody>
    </xdr:sp>
    <xdr:clientData/>
  </xdr:twoCellAnchor>
  <xdr:twoCellAnchor editAs="absolute">
    <xdr:from>
      <xdr:col>13</xdr:col>
      <xdr:colOff>277224</xdr:colOff>
      <xdr:row>2</xdr:row>
      <xdr:rowOff>69669</xdr:rowOff>
    </xdr:from>
    <xdr:to>
      <xdr:col>16</xdr:col>
      <xdr:colOff>467724</xdr:colOff>
      <xdr:row>3</xdr:row>
      <xdr:rowOff>185783</xdr:rowOff>
    </xdr:to>
    <xdr:sp macro="V14ShowDetail" textlink="">
      <xdr:nvSpPr>
        <xdr:cNvPr id="10" name="V15_V14ShowDetail">
          <a:extLst>
            <a:ext uri="{FF2B5EF4-FFF2-40B4-BE49-F238E27FC236}">
              <a16:creationId xmlns:a16="http://schemas.microsoft.com/office/drawing/2014/main" id="{99182047-B58A-2284-6044-4CC913F3C173}"/>
            </a:ext>
          </a:extLst>
        </xdr:cNvPr>
        <xdr:cNvSpPr/>
      </xdr:nvSpPr>
      <xdr:spPr>
        <a:xfrm>
          <a:off x="13242110" y="7010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查看出货明细 →</a:t>
          </a:r>
        </a:p>
      </xdr:txBody>
    </xdr:sp>
    <xdr:clientData/>
  </xdr:twoCellAnchor>
  <xdr:twoCellAnchor editAs="absolute">
    <xdr:from>
      <xdr:col>13</xdr:col>
      <xdr:colOff>277224</xdr:colOff>
      <xdr:row>3</xdr:row>
      <xdr:rowOff>300083</xdr:rowOff>
    </xdr:from>
    <xdr:to>
      <xdr:col>16</xdr:col>
      <xdr:colOff>467724</xdr:colOff>
      <xdr:row>4</xdr:row>
      <xdr:rowOff>361769</xdr:rowOff>
    </xdr:to>
    <xdr:sp macro="V14ShowSummary" textlink="">
      <xdr:nvSpPr>
        <xdr:cNvPr id="11" name="V15_V14ShowSummary">
          <a:extLst>
            <a:ext uri="{FF2B5EF4-FFF2-40B4-BE49-F238E27FC236}">
              <a16:creationId xmlns:a16="http://schemas.microsoft.com/office/drawing/2014/main" id="{1CD25C9A-C4D2-FC13-F6FC-7EF95521CFEC}"/>
            </a:ext>
          </a:extLst>
        </xdr:cNvPr>
        <xdr:cNvSpPr/>
      </xdr:nvSpPr>
      <xdr:spPr>
        <a:xfrm>
          <a:off x="13242110" y="12471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查看分批总览 →</a:t>
          </a:r>
        </a:p>
      </xdr:txBody>
    </xdr:sp>
    <xdr:clientData/>
  </xdr:twoCellAnchor>
  <xdr:twoCellAnchor editAs="absolute">
    <xdr:from>
      <xdr:col>13</xdr:col>
      <xdr:colOff>277224</xdr:colOff>
      <xdr:row>6</xdr:row>
      <xdr:rowOff>281940</xdr:rowOff>
    </xdr:from>
    <xdr:to>
      <xdr:col>16</xdr:col>
      <xdr:colOff>467724</xdr:colOff>
      <xdr:row>8</xdr:row>
      <xdr:rowOff>27940</xdr:rowOff>
    </xdr:to>
    <xdr:sp macro="V15DeleteShipment" textlink="">
      <xdr:nvSpPr>
        <xdr:cNvPr id="12" name="V15_V15DeleteShipment">
          <a:extLst>
            <a:ext uri="{FF2B5EF4-FFF2-40B4-BE49-F238E27FC236}">
              <a16:creationId xmlns:a16="http://schemas.microsoft.com/office/drawing/2014/main" id="{2B7FE639-ED98-7596-F39C-2F58BD87544A}"/>
            </a:ext>
          </a:extLst>
        </xdr:cNvPr>
        <xdr:cNvSpPr/>
      </xdr:nvSpPr>
      <xdr:spPr>
        <a:xfrm>
          <a:off x="13242110" y="23393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删除补充船次</a:t>
          </a:r>
        </a:p>
      </xdr:txBody>
    </xdr:sp>
    <xdr:clientData/>
  </xdr:twoCellAnchor>
  <xdr:twoCellAnchor editAs="absolute">
    <xdr:from>
      <xdr:col>13</xdr:col>
      <xdr:colOff>277224</xdr:colOff>
      <xdr:row>5</xdr:row>
      <xdr:rowOff>105954</xdr:rowOff>
    </xdr:from>
    <xdr:to>
      <xdr:col>16</xdr:col>
      <xdr:colOff>467724</xdr:colOff>
      <xdr:row>6</xdr:row>
      <xdr:rowOff>167640</xdr:rowOff>
    </xdr:to>
    <xdr:sp macro="V15ShowIssues" textlink="">
      <xdr:nvSpPr>
        <xdr:cNvPr id="13" name="V15_V15ShowIssues">
          <a:extLst>
            <a:ext uri="{FF2B5EF4-FFF2-40B4-BE49-F238E27FC236}">
              <a16:creationId xmlns:a16="http://schemas.microsoft.com/office/drawing/2014/main" id="{99A6488F-E31C-77C8-5160-6ACD5BED6F03}"/>
            </a:ext>
          </a:extLst>
        </xdr:cNvPr>
        <xdr:cNvSpPr/>
      </xdr:nvSpPr>
      <xdr:spPr>
        <a:xfrm>
          <a:off x="13242110" y="1793240"/>
          <a:ext cx="2019300" cy="431800"/>
        </a:xfrm>
        <a:prstGeom prst="rect">
          <a:avLst/>
        </a:prstGeom>
        <a:solidFill>
          <a:schemeClr val="accent1">
            <a:shade val="70000"/>
          </a:schemeClr>
        </a:solidFill>
        <a:ln>
          <a:solidFill>
            <a:schemeClr val="accent1">
              <a:shade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>
              <a:solidFill>
                <a:srgbClr val="FFFFFF"/>
              </a:solidFill>
              <a:latin typeface="Microsoft YaHei" panose="020B0503020204020204" pitchFamily="34" charset="-122"/>
            </a:rPr>
            <a:t>查看待处理事项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152399</xdr:colOff>
      <xdr:row>0</xdr:row>
      <xdr:rowOff>105410</xdr:rowOff>
    </xdr:from>
    <xdr:to>
      <xdr:col>1</xdr:col>
      <xdr:colOff>544285</xdr:colOff>
      <xdr:row>0</xdr:row>
      <xdr:rowOff>435610</xdr:rowOff>
    </xdr:to>
    <xdr:sp macro="RefreshShippingSummary" textlink="">
      <xdr:nvSpPr>
        <xdr:cNvPr id="2" name="V7Button0">
          <a:extLst>
            <a:ext uri="{FF2B5EF4-FFF2-40B4-BE49-F238E27FC236}">
              <a16:creationId xmlns:a16="http://schemas.microsoft.com/office/drawing/2014/main" id="{50FD0202-B85F-ED65-BFF0-1240B2FBDB9D}"/>
            </a:ext>
          </a:extLst>
        </xdr:cNvPr>
        <xdr:cNvSpPr/>
      </xdr:nvSpPr>
      <xdr:spPr>
        <a:xfrm>
          <a:off x="152399" y="105410"/>
          <a:ext cx="1676400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刷新总表</a:t>
          </a:r>
        </a:p>
      </xdr:txBody>
    </xdr:sp>
    <xdr:clientData/>
  </xdr:twoCellAnchor>
  <xdr:twoCellAnchor editAs="absolute">
    <xdr:from>
      <xdr:col>3</xdr:col>
      <xdr:colOff>1854200</xdr:colOff>
      <xdr:row>0</xdr:row>
      <xdr:rowOff>105410</xdr:rowOff>
    </xdr:from>
    <xdr:to>
      <xdr:col>4</xdr:col>
      <xdr:colOff>1484086</xdr:colOff>
      <xdr:row>0</xdr:row>
      <xdr:rowOff>435610</xdr:rowOff>
    </xdr:to>
    <xdr:sp macro="AddShipment" textlink="">
      <xdr:nvSpPr>
        <xdr:cNvPr id="3" name="V7Button1">
          <a:extLst>
            <a:ext uri="{FF2B5EF4-FFF2-40B4-BE49-F238E27FC236}">
              <a16:creationId xmlns:a16="http://schemas.microsoft.com/office/drawing/2014/main" id="{B15E29D5-00B0-4EE3-0D4E-69E068BD9141}"/>
            </a:ext>
          </a:extLst>
        </xdr:cNvPr>
        <xdr:cNvSpPr/>
      </xdr:nvSpPr>
      <xdr:spPr>
        <a:xfrm>
          <a:off x="7569200" y="105410"/>
          <a:ext cx="1676400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新增补充船次</a:t>
          </a:r>
        </a:p>
      </xdr:txBody>
    </xdr:sp>
    <xdr:clientData/>
  </xdr:twoCellAnchor>
  <xdr:twoCellAnchor editAs="absolute">
    <xdr:from>
      <xdr:col>2</xdr:col>
      <xdr:colOff>192314</xdr:colOff>
      <xdr:row>0</xdr:row>
      <xdr:rowOff>105410</xdr:rowOff>
    </xdr:from>
    <xdr:to>
      <xdr:col>2</xdr:col>
      <xdr:colOff>1868714</xdr:colOff>
      <xdr:row>0</xdr:row>
      <xdr:rowOff>435610</xdr:rowOff>
    </xdr:to>
    <xdr:sp macro="V15RestoreAutomatic" textlink="">
      <xdr:nvSpPr>
        <xdr:cNvPr id="4" name="V15Restore">
          <a:extLst>
            <a:ext uri="{FF2B5EF4-FFF2-40B4-BE49-F238E27FC236}">
              <a16:creationId xmlns:a16="http://schemas.microsoft.com/office/drawing/2014/main" id="{36F2E3DD-5C01-096B-C09D-5B9B5726040C}"/>
            </a:ext>
          </a:extLst>
        </xdr:cNvPr>
        <xdr:cNvSpPr/>
      </xdr:nvSpPr>
      <xdr:spPr>
        <a:xfrm>
          <a:off x="3860800" y="105410"/>
          <a:ext cx="1676400" cy="330200"/>
        </a:xfrm>
        <a:prstGeom prst="rect">
          <a:avLst/>
        </a:prstGeom>
        <a:solidFill>
          <a:srgbClr val="F5F5F5"/>
        </a:solidFill>
        <a:ln>
          <a:solidFill>
            <a:srgbClr val="A5A5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单条恢复自动批次</a:t>
          </a:r>
        </a:p>
      </xdr:txBody>
    </xdr:sp>
    <xdr:clientData/>
  </xdr:twoCellAnchor>
  <xdr:twoCellAnchor editAs="absolute">
    <xdr:from>
      <xdr:col>4</xdr:col>
      <xdr:colOff>1585686</xdr:colOff>
      <xdr:row>0</xdr:row>
      <xdr:rowOff>105410</xdr:rowOff>
    </xdr:from>
    <xdr:to>
      <xdr:col>5</xdr:col>
      <xdr:colOff>1215571</xdr:colOff>
      <xdr:row>0</xdr:row>
      <xdr:rowOff>435610</xdr:rowOff>
    </xdr:to>
    <xdr:sp macro="V15DeleteShipment" textlink="">
      <xdr:nvSpPr>
        <xdr:cNvPr id="5" name="V15Delete">
          <a:extLst>
            <a:ext uri="{FF2B5EF4-FFF2-40B4-BE49-F238E27FC236}">
              <a16:creationId xmlns:a16="http://schemas.microsoft.com/office/drawing/2014/main" id="{3CD9F300-0D55-85DB-0895-DD8BCD545E75}"/>
            </a:ext>
          </a:extLst>
        </xdr:cNvPr>
        <xdr:cNvSpPr/>
      </xdr:nvSpPr>
      <xdr:spPr>
        <a:xfrm>
          <a:off x="9347200" y="105410"/>
          <a:ext cx="1676400" cy="330200"/>
        </a:xfrm>
        <a:prstGeom prst="rect">
          <a:avLst/>
        </a:prstGeom>
        <a:solidFill>
          <a:srgbClr val="F5F5F5"/>
        </a:solidFill>
        <a:ln>
          <a:solidFill>
            <a:srgbClr val="A5A5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删除补充船次</a:t>
          </a:r>
        </a:p>
      </xdr:txBody>
    </xdr:sp>
    <xdr:clientData/>
  </xdr:twoCellAnchor>
  <xdr:twoCellAnchor editAs="absolute">
    <xdr:from>
      <xdr:col>1</xdr:col>
      <xdr:colOff>645886</xdr:colOff>
      <xdr:row>0</xdr:row>
      <xdr:rowOff>105410</xdr:rowOff>
    </xdr:from>
    <xdr:to>
      <xdr:col>1</xdr:col>
      <xdr:colOff>2322286</xdr:colOff>
      <xdr:row>0</xdr:row>
      <xdr:rowOff>435610</xdr:rowOff>
    </xdr:to>
    <xdr:sp macro="V15ShowIssues" textlink="">
      <xdr:nvSpPr>
        <xdr:cNvPr id="6" name="V15Issues">
          <a:extLst>
            <a:ext uri="{FF2B5EF4-FFF2-40B4-BE49-F238E27FC236}">
              <a16:creationId xmlns:a16="http://schemas.microsoft.com/office/drawing/2014/main" id="{52129D99-FE24-1DD5-CAC1-216B32CF4A4D}"/>
            </a:ext>
          </a:extLst>
        </xdr:cNvPr>
        <xdr:cNvSpPr/>
      </xdr:nvSpPr>
      <xdr:spPr>
        <a:xfrm>
          <a:off x="1930400" y="105410"/>
          <a:ext cx="1676400" cy="330200"/>
        </a:xfrm>
        <a:prstGeom prst="rect">
          <a:avLst/>
        </a:prstGeom>
        <a:solidFill>
          <a:srgbClr val="F5F5F5"/>
        </a:solidFill>
        <a:ln>
          <a:solidFill>
            <a:srgbClr val="A5A5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待处理事项</a:t>
          </a:r>
        </a:p>
      </xdr:txBody>
    </xdr:sp>
    <xdr:clientData/>
  </xdr:twoCellAnchor>
  <xdr:twoCellAnchor editAs="absolute">
    <xdr:from>
      <xdr:col>2</xdr:col>
      <xdr:colOff>1970314</xdr:colOff>
      <xdr:row>0</xdr:row>
      <xdr:rowOff>105410</xdr:rowOff>
    </xdr:from>
    <xdr:to>
      <xdr:col>3</xdr:col>
      <xdr:colOff>1600200</xdr:colOff>
      <xdr:row>0</xdr:row>
      <xdr:rowOff>435610</xdr:rowOff>
    </xdr:to>
    <xdr:sp macro="V18RestoreAllAutomatic" textlink="">
      <xdr:nvSpPr>
        <xdr:cNvPr id="7" name="V18RestoreAll">
          <a:extLst>
            <a:ext uri="{FF2B5EF4-FFF2-40B4-BE49-F238E27FC236}">
              <a16:creationId xmlns:a16="http://schemas.microsoft.com/office/drawing/2014/main" id="{0E1FE9FE-3A58-AA90-D3DC-918A94B191B7}"/>
            </a:ext>
          </a:extLst>
        </xdr:cNvPr>
        <xdr:cNvSpPr/>
      </xdr:nvSpPr>
      <xdr:spPr>
        <a:xfrm>
          <a:off x="5638800" y="105410"/>
          <a:ext cx="1676400" cy="330200"/>
        </a:xfrm>
        <a:prstGeom prst="rect">
          <a:avLst/>
        </a:prstGeom>
        <a:solidFill>
          <a:srgbClr val="F5F5F5"/>
        </a:solidFill>
        <a:ln>
          <a:solidFill>
            <a:srgbClr val="A5A5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全部恢复自动批次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208643</xdr:colOff>
      <xdr:row>0</xdr:row>
      <xdr:rowOff>38100</xdr:rowOff>
    </xdr:from>
    <xdr:to>
      <xdr:col>13</xdr:col>
      <xdr:colOff>784860</xdr:colOff>
      <xdr:row>0</xdr:row>
      <xdr:rowOff>368300</xdr:rowOff>
    </xdr:to>
    <xdr:sp macro="UpdateInstallationDates" textlink="">
      <xdr:nvSpPr>
        <xdr:cNvPr id="2" name="UpdateInstallationButton">
          <a:extLst>
            <a:ext uri="{FF2B5EF4-FFF2-40B4-BE49-F238E27FC236}">
              <a16:creationId xmlns:a16="http://schemas.microsoft.com/office/drawing/2014/main" id="{04DF5E9A-52EE-A4AA-87EA-0EBAEC535238}"/>
            </a:ext>
          </a:extLst>
        </xdr:cNvPr>
        <xdr:cNvSpPr/>
      </xdr:nvSpPr>
      <xdr:spPr>
        <a:xfrm>
          <a:off x="17376503" y="38100"/>
          <a:ext cx="1543957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更新安装日期</a:t>
          </a:r>
        </a:p>
      </xdr:txBody>
    </xdr:sp>
    <xdr:clientData/>
  </xdr:twoCellAnchor>
  <xdr:twoCellAnchor editAs="absolute">
    <xdr:from>
      <xdr:col>14</xdr:col>
      <xdr:colOff>136071</xdr:colOff>
      <xdr:row>0</xdr:row>
      <xdr:rowOff>38100</xdr:rowOff>
    </xdr:from>
    <xdr:to>
      <xdr:col>15</xdr:col>
      <xdr:colOff>680357</xdr:colOff>
      <xdr:row>0</xdr:row>
      <xdr:rowOff>368300</xdr:rowOff>
    </xdr:to>
    <xdr:sp macro="V18RestoreAllAutomatic" textlink="">
      <xdr:nvSpPr>
        <xdr:cNvPr id="3" name="V18RestoreAllPlanning">
          <a:extLst>
            <a:ext uri="{FF2B5EF4-FFF2-40B4-BE49-F238E27FC236}">
              <a16:creationId xmlns:a16="http://schemas.microsoft.com/office/drawing/2014/main" id="{FED8E4B0-69F5-30D3-849E-9CA55E61187E}"/>
            </a:ext>
          </a:extLst>
        </xdr:cNvPr>
        <xdr:cNvSpPr/>
      </xdr:nvSpPr>
      <xdr:spPr>
        <a:xfrm>
          <a:off x="19164300" y="38100"/>
          <a:ext cx="1676400" cy="330200"/>
        </a:xfrm>
        <a:prstGeom prst="rect">
          <a:avLst/>
        </a:prstGeom>
        <a:solidFill>
          <a:srgbClr val="F5F5F5"/>
        </a:solidFill>
        <a:ln>
          <a:solidFill>
            <a:srgbClr val="A5A5A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  <a:ea typeface="微软雅黑" panose="020B0503020204020204" pitchFamily="34" charset="-122"/>
            </a:rPr>
            <a:t>全部恢复自动批次</a:t>
          </a:r>
        </a:p>
      </xdr:txBody>
    </xdr:sp>
    <xdr:clientData/>
  </xdr:twoCellAnchor>
  <xdr:twoCellAnchor editAs="absolute">
    <xdr:from>
      <xdr:col>15</xdr:col>
      <xdr:colOff>883557</xdr:colOff>
      <xdr:row>0</xdr:row>
      <xdr:rowOff>38100</xdr:rowOff>
    </xdr:from>
    <xdr:to>
      <xdr:col>17</xdr:col>
      <xdr:colOff>947057</xdr:colOff>
      <xdr:row>0</xdr:row>
      <xdr:rowOff>368300</xdr:rowOff>
    </xdr:to>
    <xdr:sp macro="V21SortPlanning" textlink="">
      <xdr:nvSpPr>
        <xdr:cNvPr id="4" name="V21SortPlanning">
          <a:extLst>
            <a:ext uri="{FF2B5EF4-FFF2-40B4-BE49-F238E27FC236}">
              <a16:creationId xmlns:a16="http://schemas.microsoft.com/office/drawing/2014/main" id="{B734BA43-2BD7-EF6B-5CBF-E0675EC49AB2}"/>
            </a:ext>
          </a:extLst>
        </xdr:cNvPr>
        <xdr:cNvSpPr/>
      </xdr:nvSpPr>
      <xdr:spPr>
        <a:xfrm>
          <a:off x="21030837" y="38100"/>
          <a:ext cx="2387600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按批次排序并生成小计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2</xdr:row>
      <xdr:rowOff>50800</xdr:rowOff>
    </xdr:from>
    <xdr:to>
      <xdr:col>1</xdr:col>
      <xdr:colOff>642620</xdr:colOff>
      <xdr:row>2</xdr:row>
      <xdr:rowOff>381000</xdr:rowOff>
    </xdr:to>
    <xdr:sp macro="V17Recheck" textlink="">
      <xdr:nvSpPr>
        <xdr:cNvPr id="2" name="V21Recheck">
          <a:extLst>
            <a:ext uri="{FF2B5EF4-FFF2-40B4-BE49-F238E27FC236}">
              <a16:creationId xmlns:a16="http://schemas.microsoft.com/office/drawing/2014/main" id="{0F5827FF-5245-848F-B701-630B3F6B204F}"/>
            </a:ext>
          </a:extLst>
        </xdr:cNvPr>
        <xdr:cNvSpPr/>
      </xdr:nvSpPr>
      <xdr:spPr>
        <a:xfrm>
          <a:off x="127000" y="668020"/>
          <a:ext cx="1803400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重新检查（最新）</a:t>
          </a:r>
        </a:p>
      </xdr:txBody>
    </xdr:sp>
    <xdr:clientData/>
  </xdr:twoCellAnchor>
  <xdr:twoCellAnchor editAs="absolute">
    <xdr:from>
      <xdr:col>1</xdr:col>
      <xdr:colOff>782320</xdr:colOff>
      <xdr:row>2</xdr:row>
      <xdr:rowOff>50800</xdr:rowOff>
    </xdr:from>
    <xdr:to>
      <xdr:col>2</xdr:col>
      <xdr:colOff>63500</xdr:colOff>
      <xdr:row>2</xdr:row>
      <xdr:rowOff>381000</xdr:rowOff>
    </xdr:to>
    <xdr:sp macro="V15JumpIssue" textlink="">
      <xdr:nvSpPr>
        <xdr:cNvPr id="3" name="V21Jump">
          <a:extLst>
            <a:ext uri="{FF2B5EF4-FFF2-40B4-BE49-F238E27FC236}">
              <a16:creationId xmlns:a16="http://schemas.microsoft.com/office/drawing/2014/main" id="{BD8A1FA3-69CC-A1CF-9129-8D83ADDA0CA3}"/>
            </a:ext>
          </a:extLst>
        </xdr:cNvPr>
        <xdr:cNvSpPr/>
      </xdr:nvSpPr>
      <xdr:spPr>
        <a:xfrm>
          <a:off x="2070100" y="668020"/>
          <a:ext cx="1803400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跳转到明细任务</a:t>
          </a:r>
        </a:p>
      </xdr:txBody>
    </xdr:sp>
    <xdr:clientData/>
  </xdr:twoCellAnchor>
  <xdr:twoCellAnchor editAs="absolute">
    <xdr:from>
      <xdr:col>2</xdr:col>
      <xdr:colOff>203200</xdr:colOff>
      <xdr:row>2</xdr:row>
      <xdr:rowOff>50800</xdr:rowOff>
    </xdr:from>
    <xdr:to>
      <xdr:col>3</xdr:col>
      <xdr:colOff>703580</xdr:colOff>
      <xdr:row>2</xdr:row>
      <xdr:rowOff>381000</xdr:rowOff>
    </xdr:to>
    <xdr:sp macro="V21ShowProgram" textlink="">
      <xdr:nvSpPr>
        <xdr:cNvPr id="4" name="V21Back">
          <a:extLst>
            <a:ext uri="{FF2B5EF4-FFF2-40B4-BE49-F238E27FC236}">
              <a16:creationId xmlns:a16="http://schemas.microsoft.com/office/drawing/2014/main" id="{78284FFC-B5C3-1792-C3F3-CD24B027D4DA}"/>
            </a:ext>
          </a:extLst>
        </xdr:cNvPr>
        <xdr:cNvSpPr/>
      </xdr:nvSpPr>
      <xdr:spPr>
        <a:xfrm>
          <a:off x="4013200" y="668020"/>
          <a:ext cx="2336800" cy="330200"/>
        </a:xfrm>
        <a:prstGeom prst="rect">
          <a:avLst/>
        </a:prstGeom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zh-CN" altLang="en-US" sz="1000" b="0">
              <a:solidFill>
                <a:srgbClr val="303030"/>
              </a:solidFill>
              <a:latin typeface="Microsoft YaHei" panose="020B0503020204020204" pitchFamily="34" charset="-122"/>
            </a:rPr>
            <a:t>返回 </a:t>
          </a:r>
          <a:r>
            <a:rPr lang="en-US" altLang="zh-CN" sz="1000" b="0">
              <a:solidFill>
                <a:srgbClr val="303030"/>
              </a:solidFill>
              <a:latin typeface="Microsoft YaHei" panose="020B0503020204020204" pitchFamily="34" charset="-122"/>
            </a:rPr>
            <a:t>Shipping Program</a:t>
          </a:r>
          <a:endParaRPr lang="zh-CN" altLang="en-US" sz="1000" b="0">
            <a:solidFill>
              <a:srgbClr val="303030"/>
            </a:solidFill>
            <a:latin typeface="Microsoft YaHei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5F5F5"/>
        </a:solidFill>
        <a:ln w="12700" cap="flat" cmpd="sng" algn="ctr">
          <a:solidFill>
            <a:srgbClr val="A5A5A5"/>
          </a:solidFill>
          <a:prstDash val="solid"/>
          <a:miter lim="800000"/>
        </a:ln>
        <a:effectLst/>
      </a:spPr>
      <a:bodyPr vertOverflow="clip" horzOverflow="clip" lIns="25400" rIns="25400" rtlCol="0" anchor="ctr"/>
      <a:lstStyle>
        <a:defPPr algn="ctr">
          <a:defRPr sz="1000" b="0">
            <a:solidFill>
              <a:srgbClr val="303030"/>
            </a:solidFill>
            <a:latin typeface="Microsoft YaHei" panose="020B0503020204020204" pitchFamily="34" charset="-122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88A78-B7A8-49D9-A9B2-9F5F0C157E55}">
  <sheetPr codeName="Sheet8"/>
  <dimension ref="A1:E39"/>
  <sheetViews>
    <sheetView workbookViewId="0"/>
  </sheetViews>
  <sheetFormatPr defaultRowHeight="13.8"/>
  <cols>
    <col min="2" max="5" width="11.6640625" style="101" bestFit="1" customWidth="1"/>
  </cols>
  <sheetData>
    <row r="1" spans="1:5">
      <c r="A1" t="s">
        <v>598</v>
      </c>
      <c r="B1" s="101" t="s">
        <v>599</v>
      </c>
      <c r="C1" s="101" t="s">
        <v>600</v>
      </c>
      <c r="D1" s="101" t="s">
        <v>601</v>
      </c>
      <c r="E1" s="101" t="s">
        <v>602</v>
      </c>
    </row>
    <row r="2" spans="1:5">
      <c r="A2" s="100" t="s">
        <v>603</v>
      </c>
      <c r="B2" s="101">
        <f>'Shipping Program'!A32</f>
        <v>46447</v>
      </c>
      <c r="C2" s="101">
        <f t="shared" ref="C2:C37" si="0">B2-7</f>
        <v>46440</v>
      </c>
      <c r="D2" s="101">
        <f>'Shipping Program'!E32</f>
        <v>46477</v>
      </c>
      <c r="E2" s="101">
        <f>'Shipping Program'!F32</f>
        <v>46484</v>
      </c>
    </row>
    <row r="3" spans="1:5">
      <c r="A3" s="100" t="s">
        <v>604</v>
      </c>
      <c r="B3" s="101">
        <f>'Shipping Program'!A33</f>
        <v>46454</v>
      </c>
      <c r="C3" s="101">
        <f t="shared" si="0"/>
        <v>46447</v>
      </c>
      <c r="D3" s="101">
        <f>'Shipping Program'!E33</f>
        <v>46484</v>
      </c>
      <c r="E3" s="101">
        <f>'Shipping Program'!F33</f>
        <v>46491</v>
      </c>
    </row>
    <row r="4" spans="1:5">
      <c r="A4" s="100" t="s">
        <v>605</v>
      </c>
      <c r="B4" s="101">
        <f>'Shipping Program'!A34</f>
        <v>46461</v>
      </c>
      <c r="C4" s="101">
        <f t="shared" si="0"/>
        <v>46454</v>
      </c>
      <c r="D4" s="101">
        <f>'Shipping Program'!E34</f>
        <v>46491</v>
      </c>
      <c r="E4" s="101">
        <f>'Shipping Program'!F34</f>
        <v>46498</v>
      </c>
    </row>
    <row r="5" spans="1:5">
      <c r="A5" s="100" t="s">
        <v>606</v>
      </c>
      <c r="B5" s="101">
        <f>'Shipping Program'!A35</f>
        <v>46468</v>
      </c>
      <c r="C5" s="101">
        <f t="shared" si="0"/>
        <v>46461</v>
      </c>
      <c r="D5" s="101">
        <f>'Shipping Program'!E35</f>
        <v>46498</v>
      </c>
      <c r="E5" s="101">
        <f>'Shipping Program'!F35</f>
        <v>46505</v>
      </c>
    </row>
    <row r="6" spans="1:5">
      <c r="A6" s="100" t="s">
        <v>607</v>
      </c>
      <c r="B6" s="101">
        <f>'Shipping Program'!A36</f>
        <v>46475</v>
      </c>
      <c r="C6" s="101">
        <f t="shared" si="0"/>
        <v>46468</v>
      </c>
      <c r="D6" s="101">
        <f>'Shipping Program'!E36</f>
        <v>46505</v>
      </c>
      <c r="E6" s="101">
        <f>'Shipping Program'!F36</f>
        <v>46512</v>
      </c>
    </row>
    <row r="7" spans="1:5">
      <c r="A7" s="100" t="s">
        <v>608</v>
      </c>
      <c r="B7" s="101">
        <f>'Shipping Program'!A37</f>
        <v>46482</v>
      </c>
      <c r="C7" s="101">
        <f t="shared" si="0"/>
        <v>46475</v>
      </c>
      <c r="D7" s="101">
        <f>'Shipping Program'!E37</f>
        <v>46512</v>
      </c>
      <c r="E7" s="101">
        <f>'Shipping Program'!F37</f>
        <v>46519</v>
      </c>
    </row>
    <row r="8" spans="1:5">
      <c r="A8" s="100" t="s">
        <v>609</v>
      </c>
      <c r="B8" s="101">
        <f>'Shipping Program'!A38</f>
        <v>46489</v>
      </c>
      <c r="C8" s="101">
        <f t="shared" si="0"/>
        <v>46482</v>
      </c>
      <c r="D8" s="101">
        <f>'Shipping Program'!E38</f>
        <v>46519</v>
      </c>
      <c r="E8" s="101">
        <f>'Shipping Program'!F38</f>
        <v>46526</v>
      </c>
    </row>
    <row r="9" spans="1:5">
      <c r="A9" s="100" t="s">
        <v>610</v>
      </c>
      <c r="B9" s="101">
        <f>'Shipping Program'!A39</f>
        <v>46496</v>
      </c>
      <c r="C9" s="101">
        <f t="shared" si="0"/>
        <v>46489</v>
      </c>
      <c r="D9" s="101">
        <f>'Shipping Program'!E39</f>
        <v>46526</v>
      </c>
      <c r="E9" s="101">
        <f>'Shipping Program'!F39</f>
        <v>46533</v>
      </c>
    </row>
    <row r="10" spans="1:5">
      <c r="A10" s="100" t="s">
        <v>611</v>
      </c>
      <c r="B10" s="101">
        <f>'Shipping Program'!A40</f>
        <v>46503</v>
      </c>
      <c r="C10" s="101">
        <f t="shared" si="0"/>
        <v>46496</v>
      </c>
      <c r="D10" s="101">
        <f>'Shipping Program'!E40</f>
        <v>46533</v>
      </c>
      <c r="E10" s="101">
        <f>'Shipping Program'!F40</f>
        <v>46540</v>
      </c>
    </row>
    <row r="11" spans="1:5">
      <c r="A11" s="100" t="s">
        <v>612</v>
      </c>
      <c r="B11" s="101">
        <f>'Shipping Program'!A41</f>
        <v>46510</v>
      </c>
      <c r="C11" s="101">
        <f t="shared" si="0"/>
        <v>46503</v>
      </c>
      <c r="D11" s="101">
        <f>'Shipping Program'!E41</f>
        <v>46540</v>
      </c>
      <c r="E11" s="101">
        <f>'Shipping Program'!F41</f>
        <v>46547</v>
      </c>
    </row>
    <row r="12" spans="1:5">
      <c r="A12" s="100" t="s">
        <v>613</v>
      </c>
      <c r="B12" s="101">
        <f>'Shipping Program'!A42</f>
        <v>46517</v>
      </c>
      <c r="C12" s="101">
        <f t="shared" si="0"/>
        <v>46510</v>
      </c>
      <c r="D12" s="101">
        <f>'Shipping Program'!E42</f>
        <v>46547</v>
      </c>
      <c r="E12" s="101">
        <f>'Shipping Program'!F42</f>
        <v>46554</v>
      </c>
    </row>
    <row r="13" spans="1:5">
      <c r="A13" s="100" t="s">
        <v>614</v>
      </c>
      <c r="B13" s="101">
        <f>'Shipping Program'!A43</f>
        <v>46524</v>
      </c>
      <c r="C13" s="101">
        <f t="shared" si="0"/>
        <v>46517</v>
      </c>
      <c r="D13" s="101">
        <f>'Shipping Program'!E43</f>
        <v>46554</v>
      </c>
      <c r="E13" s="101">
        <f>'Shipping Program'!F43</f>
        <v>46561</v>
      </c>
    </row>
    <row r="14" spans="1:5">
      <c r="A14" s="100" t="s">
        <v>615</v>
      </c>
      <c r="B14" s="101">
        <f>'Shipping Program'!A44</f>
        <v>46531</v>
      </c>
      <c r="C14" s="101">
        <f t="shared" si="0"/>
        <v>46524</v>
      </c>
      <c r="D14" s="101">
        <f>'Shipping Program'!E44</f>
        <v>46561</v>
      </c>
      <c r="E14" s="101">
        <f>'Shipping Program'!F44</f>
        <v>46568</v>
      </c>
    </row>
    <row r="15" spans="1:5">
      <c r="A15" s="100" t="s">
        <v>616</v>
      </c>
      <c r="B15" s="101">
        <f>'Shipping Program'!A45</f>
        <v>46538</v>
      </c>
      <c r="C15" s="101">
        <f t="shared" si="0"/>
        <v>46531</v>
      </c>
      <c r="D15" s="101">
        <f>'Shipping Program'!E45</f>
        <v>46568</v>
      </c>
      <c r="E15" s="101">
        <f>'Shipping Program'!F45</f>
        <v>46575</v>
      </c>
    </row>
    <row r="16" spans="1:5">
      <c r="A16" s="100" t="s">
        <v>617</v>
      </c>
      <c r="B16" s="101">
        <f>'Shipping Program'!A46</f>
        <v>46545</v>
      </c>
      <c r="C16" s="101">
        <f t="shared" si="0"/>
        <v>46538</v>
      </c>
      <c r="D16" s="101">
        <f>'Shipping Program'!E46</f>
        <v>46575</v>
      </c>
      <c r="E16" s="101">
        <f>'Shipping Program'!F46</f>
        <v>46582</v>
      </c>
    </row>
    <row r="17" spans="1:5">
      <c r="A17" s="100" t="s">
        <v>618</v>
      </c>
      <c r="B17" s="101">
        <f>'Shipping Program'!A47</f>
        <v>46552</v>
      </c>
      <c r="C17" s="101">
        <f t="shared" si="0"/>
        <v>46545</v>
      </c>
      <c r="D17" s="101">
        <f>'Shipping Program'!E47</f>
        <v>46582</v>
      </c>
      <c r="E17" s="101">
        <f>'Shipping Program'!F47</f>
        <v>46589</v>
      </c>
    </row>
    <row r="18" spans="1:5">
      <c r="A18" s="100" t="s">
        <v>619</v>
      </c>
      <c r="B18" s="101">
        <f>'Shipping Program'!A48</f>
        <v>46559</v>
      </c>
      <c r="C18" s="101">
        <f t="shared" si="0"/>
        <v>46552</v>
      </c>
      <c r="D18" s="101">
        <f>'Shipping Program'!E48</f>
        <v>46589</v>
      </c>
      <c r="E18" s="101">
        <f>'Shipping Program'!F48</f>
        <v>46596</v>
      </c>
    </row>
    <row r="19" spans="1:5">
      <c r="A19" s="100" t="s">
        <v>620</v>
      </c>
      <c r="B19" s="101">
        <f>'Shipping Program'!A49</f>
        <v>46566</v>
      </c>
      <c r="C19" s="101">
        <f t="shared" si="0"/>
        <v>46559</v>
      </c>
      <c r="D19" s="101">
        <f>'Shipping Program'!E49</f>
        <v>46596</v>
      </c>
      <c r="E19" s="101">
        <f>'Shipping Program'!F49</f>
        <v>46603</v>
      </c>
    </row>
    <row r="20" spans="1:5">
      <c r="A20" s="100" t="s">
        <v>621</v>
      </c>
      <c r="B20" s="101">
        <f>'Shipping Program'!A50</f>
        <v>46573</v>
      </c>
      <c r="C20" s="101">
        <f t="shared" si="0"/>
        <v>46566</v>
      </c>
      <c r="D20" s="101">
        <f>'Shipping Program'!E50</f>
        <v>46603</v>
      </c>
      <c r="E20" s="101">
        <f>'Shipping Program'!F50</f>
        <v>46610</v>
      </c>
    </row>
    <row r="21" spans="1:5">
      <c r="A21" s="100" t="s">
        <v>622</v>
      </c>
      <c r="B21" s="101">
        <f>'Shipping Program'!A51</f>
        <v>46580</v>
      </c>
      <c r="C21" s="101">
        <f t="shared" si="0"/>
        <v>46573</v>
      </c>
      <c r="D21" s="101">
        <f>'Shipping Program'!E51</f>
        <v>46610</v>
      </c>
      <c r="E21" s="101">
        <f>'Shipping Program'!F51</f>
        <v>46617</v>
      </c>
    </row>
    <row r="22" spans="1:5">
      <c r="A22" s="100" t="s">
        <v>623</v>
      </c>
      <c r="B22" s="101">
        <f>'Shipping Program'!A52</f>
        <v>46587</v>
      </c>
      <c r="C22" s="101">
        <f t="shared" si="0"/>
        <v>46580</v>
      </c>
      <c r="D22" s="101">
        <f>'Shipping Program'!E52</f>
        <v>46617</v>
      </c>
      <c r="E22" s="101">
        <f>'Shipping Program'!F52</f>
        <v>46624</v>
      </c>
    </row>
    <row r="23" spans="1:5">
      <c r="A23" s="100" t="s">
        <v>624</v>
      </c>
      <c r="B23" s="101">
        <f>'Shipping Program'!A53</f>
        <v>46594</v>
      </c>
      <c r="C23" s="101">
        <f t="shared" si="0"/>
        <v>46587</v>
      </c>
      <c r="D23" s="101">
        <f>'Shipping Program'!E53</f>
        <v>46624</v>
      </c>
      <c r="E23" s="101">
        <f>'Shipping Program'!F53</f>
        <v>46631</v>
      </c>
    </row>
    <row r="24" spans="1:5">
      <c r="A24" s="100" t="s">
        <v>625</v>
      </c>
      <c r="B24" s="101">
        <f>'Shipping Program'!A54</f>
        <v>46601</v>
      </c>
      <c r="C24" s="101">
        <f t="shared" si="0"/>
        <v>46594</v>
      </c>
      <c r="D24" s="101">
        <f>'Shipping Program'!E54</f>
        <v>46631</v>
      </c>
      <c r="E24" s="101">
        <f>'Shipping Program'!F54</f>
        <v>46638</v>
      </c>
    </row>
    <row r="25" spans="1:5">
      <c r="A25" s="100" t="s">
        <v>626</v>
      </c>
      <c r="B25" s="101">
        <f>'Shipping Program'!A55</f>
        <v>46608</v>
      </c>
      <c r="C25" s="101">
        <f t="shared" si="0"/>
        <v>46601</v>
      </c>
      <c r="D25" s="101">
        <f>'Shipping Program'!E55</f>
        <v>46638</v>
      </c>
      <c r="E25" s="101">
        <f>'Shipping Program'!F55</f>
        <v>46645</v>
      </c>
    </row>
    <row r="26" spans="1:5">
      <c r="A26" s="100" t="s">
        <v>627</v>
      </c>
      <c r="B26" s="101">
        <f>'Shipping Program'!A56</f>
        <v>46615</v>
      </c>
      <c r="C26" s="101">
        <f t="shared" si="0"/>
        <v>46608</v>
      </c>
      <c r="D26" s="101">
        <f>'Shipping Program'!E56</f>
        <v>46645</v>
      </c>
      <c r="E26" s="101">
        <f>'Shipping Program'!F56</f>
        <v>46652</v>
      </c>
    </row>
    <row r="27" spans="1:5">
      <c r="A27" s="100" t="s">
        <v>628</v>
      </c>
      <c r="B27" s="101">
        <f>'Shipping Program'!A57</f>
        <v>46622</v>
      </c>
      <c r="C27" s="101">
        <f t="shared" si="0"/>
        <v>46615</v>
      </c>
      <c r="D27" s="101">
        <f>'Shipping Program'!E57</f>
        <v>46652</v>
      </c>
      <c r="E27" s="101">
        <f>'Shipping Program'!F57</f>
        <v>46659</v>
      </c>
    </row>
    <row r="28" spans="1:5">
      <c r="A28" s="100" t="s">
        <v>629</v>
      </c>
      <c r="B28" s="101">
        <f>'Shipping Program'!A58</f>
        <v>46629</v>
      </c>
      <c r="C28" s="101">
        <f t="shared" si="0"/>
        <v>46622</v>
      </c>
      <c r="D28" s="101">
        <f>'Shipping Program'!E58</f>
        <v>46659</v>
      </c>
      <c r="E28" s="101">
        <f>'Shipping Program'!F58</f>
        <v>46666</v>
      </c>
    </row>
    <row r="29" spans="1:5">
      <c r="A29" s="100" t="s">
        <v>630</v>
      </c>
      <c r="B29" s="101">
        <f>'Shipping Program'!A59</f>
        <v>46636</v>
      </c>
      <c r="C29" s="101">
        <f t="shared" si="0"/>
        <v>46629</v>
      </c>
      <c r="D29" s="101">
        <f>'Shipping Program'!E59</f>
        <v>46666</v>
      </c>
      <c r="E29" s="101">
        <f>'Shipping Program'!F59</f>
        <v>46673</v>
      </c>
    </row>
    <row r="30" spans="1:5">
      <c r="A30" s="100" t="s">
        <v>631</v>
      </c>
      <c r="B30" s="101">
        <f>'Shipping Program'!A60</f>
        <v>46643</v>
      </c>
      <c r="C30" s="101">
        <f t="shared" si="0"/>
        <v>46636</v>
      </c>
      <c r="D30" s="101">
        <f>'Shipping Program'!E60</f>
        <v>46673</v>
      </c>
      <c r="E30" s="101">
        <f>'Shipping Program'!F60</f>
        <v>46680</v>
      </c>
    </row>
    <row r="31" spans="1:5">
      <c r="A31" s="100" t="s">
        <v>632</v>
      </c>
      <c r="B31" s="101">
        <f>'Shipping Program'!A61</f>
        <v>46650</v>
      </c>
      <c r="C31" s="101">
        <f t="shared" si="0"/>
        <v>46643</v>
      </c>
      <c r="D31" s="101">
        <f>'Shipping Program'!E61</f>
        <v>46680</v>
      </c>
      <c r="E31" s="101">
        <f>'Shipping Program'!F61</f>
        <v>46687</v>
      </c>
    </row>
    <row r="32" spans="1:5">
      <c r="A32" s="100" t="s">
        <v>633</v>
      </c>
      <c r="B32" s="101">
        <f>'Shipping Program'!A62</f>
        <v>46657</v>
      </c>
      <c r="C32" s="101">
        <f t="shared" si="0"/>
        <v>46650</v>
      </c>
      <c r="D32" s="101">
        <f>'Shipping Program'!E62</f>
        <v>46687</v>
      </c>
      <c r="E32" s="101">
        <f>'Shipping Program'!F62</f>
        <v>46694</v>
      </c>
    </row>
    <row r="33" spans="1:5">
      <c r="A33" s="100" t="s">
        <v>634</v>
      </c>
      <c r="B33" s="101">
        <f>'Shipping Program'!A63</f>
        <v>46664</v>
      </c>
      <c r="C33" s="101">
        <f t="shared" si="0"/>
        <v>46657</v>
      </c>
      <c r="D33" s="101">
        <f>'Shipping Program'!E63</f>
        <v>46694</v>
      </c>
      <c r="E33" s="101">
        <f>'Shipping Program'!F63</f>
        <v>46701</v>
      </c>
    </row>
    <row r="34" spans="1:5">
      <c r="A34" s="100" t="s">
        <v>635</v>
      </c>
      <c r="B34" s="101">
        <f>'Shipping Program'!A64</f>
        <v>46671</v>
      </c>
      <c r="C34" s="101">
        <f t="shared" si="0"/>
        <v>46664</v>
      </c>
      <c r="D34" s="101">
        <f>'Shipping Program'!E64</f>
        <v>46701</v>
      </c>
      <c r="E34" s="101">
        <f>'Shipping Program'!F64</f>
        <v>46708</v>
      </c>
    </row>
    <row r="35" spans="1:5">
      <c r="A35" s="100" t="s">
        <v>636</v>
      </c>
      <c r="B35" s="101">
        <f>'Shipping Program'!A65</f>
        <v>46678</v>
      </c>
      <c r="C35" s="101">
        <f t="shared" si="0"/>
        <v>46671</v>
      </c>
      <c r="D35" s="101">
        <f>'Shipping Program'!E65</f>
        <v>46708</v>
      </c>
      <c r="E35" s="101">
        <f>'Shipping Program'!F65</f>
        <v>46715</v>
      </c>
    </row>
    <row r="36" spans="1:5">
      <c r="A36" s="100" t="s">
        <v>637</v>
      </c>
      <c r="B36" s="101">
        <f>'Shipping Program'!A66</f>
        <v>46685</v>
      </c>
      <c r="C36" s="101">
        <f t="shared" si="0"/>
        <v>46678</v>
      </c>
      <c r="D36" s="101">
        <f>'Shipping Program'!E66</f>
        <v>46715</v>
      </c>
      <c r="E36" s="101">
        <f>'Shipping Program'!F66</f>
        <v>46722</v>
      </c>
    </row>
    <row r="37" spans="1:5">
      <c r="A37" s="100" t="s">
        <v>638</v>
      </c>
      <c r="B37" s="101">
        <f>'Shipping Program'!A67</f>
        <v>46692</v>
      </c>
      <c r="C37" s="101">
        <f t="shared" si="0"/>
        <v>46685</v>
      </c>
      <c r="D37" s="101">
        <f>'Shipping Program'!E67</f>
        <v>46722</v>
      </c>
      <c r="E37" s="101">
        <f>'Shipping Program'!F67</f>
        <v>46729</v>
      </c>
    </row>
    <row r="38" spans="1:5">
      <c r="A38" s="100"/>
    </row>
    <row r="39" spans="1:5">
      <c r="A39" s="100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E6B82-8E90-4C5D-96E8-789079E258F8}">
  <sheetPr codeName="Sheet9"/>
  <dimension ref="A1:F309"/>
  <sheetViews>
    <sheetView workbookViewId="0"/>
  </sheetViews>
  <sheetFormatPr defaultRowHeight="13.8"/>
  <sheetData>
    <row r="1" spans="1:6">
      <c r="A1" s="100" t="s">
        <v>5853</v>
      </c>
      <c r="B1" s="100">
        <v>4</v>
      </c>
      <c r="C1" s="100" t="s">
        <v>603</v>
      </c>
      <c r="D1" s="100" t="s">
        <v>3912</v>
      </c>
      <c r="E1" s="100" t="s">
        <v>139</v>
      </c>
      <c r="F1" s="100" t="s">
        <v>179</v>
      </c>
    </row>
    <row r="2" spans="1:6">
      <c r="A2" s="100" t="s">
        <v>5858</v>
      </c>
      <c r="B2" s="100">
        <v>5</v>
      </c>
      <c r="C2" s="100" t="s">
        <v>603</v>
      </c>
      <c r="D2" s="100" t="s">
        <v>3905</v>
      </c>
      <c r="E2" s="100" t="s">
        <v>139</v>
      </c>
      <c r="F2" s="100" t="s">
        <v>178</v>
      </c>
    </row>
    <row r="3" spans="1:6">
      <c r="A3" s="100" t="s">
        <v>5863</v>
      </c>
      <c r="B3" s="100">
        <v>6</v>
      </c>
      <c r="C3" s="100" t="s">
        <v>603</v>
      </c>
      <c r="D3" s="100" t="s">
        <v>528</v>
      </c>
      <c r="E3" s="100" t="s">
        <v>139</v>
      </c>
      <c r="F3" s="100" t="s">
        <v>179</v>
      </c>
    </row>
    <row r="4" spans="1:6">
      <c r="A4" s="100" t="s">
        <v>5864</v>
      </c>
      <c r="B4" s="100">
        <v>7</v>
      </c>
      <c r="C4" s="100" t="s">
        <v>603</v>
      </c>
      <c r="D4" s="100" t="s">
        <v>528</v>
      </c>
      <c r="E4" s="100" t="s">
        <v>139</v>
      </c>
      <c r="F4" s="100" t="s">
        <v>178</v>
      </c>
    </row>
    <row r="5" spans="1:6">
      <c r="A5" s="100" t="s">
        <v>5953</v>
      </c>
      <c r="B5" s="100">
        <v>8</v>
      </c>
      <c r="C5" s="100" t="s">
        <v>603</v>
      </c>
      <c r="D5" s="100" t="s">
        <v>451</v>
      </c>
      <c r="E5" s="100" t="s">
        <v>144</v>
      </c>
      <c r="F5" s="100" t="s">
        <v>154</v>
      </c>
    </row>
    <row r="6" spans="1:6">
      <c r="A6" s="100" t="s">
        <v>6017</v>
      </c>
      <c r="B6" s="100">
        <v>9</v>
      </c>
      <c r="C6" s="100" t="s">
        <v>603</v>
      </c>
      <c r="D6" s="100" t="s">
        <v>363</v>
      </c>
      <c r="E6" s="100" t="s">
        <v>142</v>
      </c>
      <c r="F6" s="100" t="s">
        <v>224</v>
      </c>
    </row>
    <row r="7" spans="1:6">
      <c r="A7" s="100" t="s">
        <v>5852</v>
      </c>
      <c r="B7" s="100">
        <v>11</v>
      </c>
      <c r="C7" s="100" t="s">
        <v>604</v>
      </c>
      <c r="D7" s="100" t="s">
        <v>3911</v>
      </c>
      <c r="E7" s="100" t="s">
        <v>139</v>
      </c>
      <c r="F7" s="100" t="s">
        <v>179</v>
      </c>
    </row>
    <row r="8" spans="1:6">
      <c r="A8" s="100" t="s">
        <v>5859</v>
      </c>
      <c r="B8" s="100">
        <v>12</v>
      </c>
      <c r="C8" s="100" t="s">
        <v>604</v>
      </c>
      <c r="D8" s="100" t="s">
        <v>3906</v>
      </c>
      <c r="E8" s="100" t="s">
        <v>139</v>
      </c>
      <c r="F8" s="100" t="s">
        <v>178</v>
      </c>
    </row>
    <row r="9" spans="1:6">
      <c r="A9" s="100" t="s">
        <v>5887</v>
      </c>
      <c r="B9" s="100">
        <v>13</v>
      </c>
      <c r="C9" s="100" t="s">
        <v>604</v>
      </c>
      <c r="D9" s="100" t="s">
        <v>405</v>
      </c>
      <c r="E9" s="100" t="s">
        <v>141</v>
      </c>
      <c r="F9" s="100" t="s">
        <v>209</v>
      </c>
    </row>
    <row r="10" spans="1:6">
      <c r="A10" s="100" t="s">
        <v>5888</v>
      </c>
      <c r="B10" s="100">
        <v>14</v>
      </c>
      <c r="C10" s="100" t="s">
        <v>604</v>
      </c>
      <c r="D10" s="100" t="s">
        <v>216</v>
      </c>
      <c r="E10" s="100" t="s">
        <v>141</v>
      </c>
      <c r="F10" s="100" t="s">
        <v>209</v>
      </c>
    </row>
    <row r="11" spans="1:6">
      <c r="A11" s="100" t="s">
        <v>5889</v>
      </c>
      <c r="B11" s="100">
        <v>15</v>
      </c>
      <c r="C11" s="100" t="s">
        <v>604</v>
      </c>
      <c r="D11" s="100" t="s">
        <v>397</v>
      </c>
      <c r="E11" s="100" t="s">
        <v>141</v>
      </c>
      <c r="F11" s="100" t="s">
        <v>209</v>
      </c>
    </row>
    <row r="12" spans="1:6">
      <c r="A12" s="100" t="s">
        <v>5896</v>
      </c>
      <c r="B12" s="100">
        <v>16</v>
      </c>
      <c r="C12" s="100" t="s">
        <v>604</v>
      </c>
      <c r="D12" s="100" t="s">
        <v>467</v>
      </c>
      <c r="E12" s="100" t="s">
        <v>144</v>
      </c>
      <c r="F12" s="100" t="s">
        <v>154</v>
      </c>
    </row>
    <row r="13" spans="1:6">
      <c r="A13" s="100" t="s">
        <v>5860</v>
      </c>
      <c r="B13" s="100">
        <v>17</v>
      </c>
      <c r="C13" s="100" t="s">
        <v>604</v>
      </c>
      <c r="D13" s="100" t="s">
        <v>3907</v>
      </c>
      <c r="E13" s="100" t="s">
        <v>139</v>
      </c>
      <c r="F13" s="100" t="s">
        <v>178</v>
      </c>
    </row>
    <row r="14" spans="1:6">
      <c r="A14" s="100" t="s">
        <v>6018</v>
      </c>
      <c r="B14" s="100">
        <v>18</v>
      </c>
      <c r="C14" s="100" t="s">
        <v>604</v>
      </c>
      <c r="D14" s="100" t="s">
        <v>367</v>
      </c>
      <c r="E14" s="100" t="s">
        <v>142</v>
      </c>
      <c r="F14" s="100" t="s">
        <v>224</v>
      </c>
    </row>
    <row r="15" spans="1:6">
      <c r="A15" s="100" t="s">
        <v>5848</v>
      </c>
      <c r="B15" s="100">
        <v>20</v>
      </c>
      <c r="C15" s="100" t="s">
        <v>605</v>
      </c>
      <c r="D15" s="100" t="s">
        <v>454</v>
      </c>
      <c r="E15" s="100" t="s">
        <v>144</v>
      </c>
      <c r="F15" s="100" t="s">
        <v>154</v>
      </c>
    </row>
    <row r="16" spans="1:6">
      <c r="A16" s="100" t="s">
        <v>5849</v>
      </c>
      <c r="B16" s="100">
        <v>21</v>
      </c>
      <c r="C16" s="100" t="s">
        <v>605</v>
      </c>
      <c r="D16" s="100" t="s">
        <v>3909</v>
      </c>
      <c r="E16" s="100" t="s">
        <v>139</v>
      </c>
      <c r="F16" s="100" t="s">
        <v>179</v>
      </c>
    </row>
    <row r="17" spans="1:6">
      <c r="A17" s="100" t="s">
        <v>5850</v>
      </c>
      <c r="B17" s="100">
        <v>22</v>
      </c>
      <c r="C17" s="100" t="s">
        <v>605</v>
      </c>
      <c r="D17" s="100" t="s">
        <v>3910</v>
      </c>
      <c r="E17" s="100" t="s">
        <v>139</v>
      </c>
      <c r="F17" s="100" t="s">
        <v>179</v>
      </c>
    </row>
    <row r="18" spans="1:6">
      <c r="A18" s="100" t="s">
        <v>5851</v>
      </c>
      <c r="B18" s="100">
        <v>23</v>
      </c>
      <c r="C18" s="100" t="s">
        <v>605</v>
      </c>
      <c r="D18" s="100" t="s">
        <v>3905</v>
      </c>
      <c r="E18" s="100" t="s">
        <v>139</v>
      </c>
      <c r="F18" s="100" t="s">
        <v>179</v>
      </c>
    </row>
    <row r="19" spans="1:6">
      <c r="A19" s="100" t="s">
        <v>5885</v>
      </c>
      <c r="B19" s="100">
        <v>24</v>
      </c>
      <c r="C19" s="100" t="s">
        <v>605</v>
      </c>
      <c r="D19" s="100" t="s">
        <v>403</v>
      </c>
      <c r="E19" s="100" t="s">
        <v>141</v>
      </c>
      <c r="F19" s="100" t="s">
        <v>209</v>
      </c>
    </row>
    <row r="20" spans="1:6">
      <c r="A20" s="100" t="s">
        <v>5886</v>
      </c>
      <c r="B20" s="100">
        <v>25</v>
      </c>
      <c r="C20" s="100" t="s">
        <v>605</v>
      </c>
      <c r="D20" s="100" t="s">
        <v>416</v>
      </c>
      <c r="E20" s="100" t="s">
        <v>141</v>
      </c>
      <c r="F20" s="100" t="s">
        <v>209</v>
      </c>
    </row>
    <row r="21" spans="1:6">
      <c r="A21" s="100" t="s">
        <v>5922</v>
      </c>
      <c r="B21" s="100">
        <v>26</v>
      </c>
      <c r="C21" s="100" t="s">
        <v>605</v>
      </c>
      <c r="D21" s="100" t="s">
        <v>419</v>
      </c>
      <c r="E21" s="100" t="s">
        <v>138</v>
      </c>
      <c r="F21" s="100" t="s">
        <v>175</v>
      </c>
    </row>
    <row r="22" spans="1:6">
      <c r="A22" s="100" t="s">
        <v>5923</v>
      </c>
      <c r="B22" s="100">
        <v>27</v>
      </c>
      <c r="C22" s="100" t="s">
        <v>605</v>
      </c>
      <c r="D22" s="100" t="s">
        <v>367</v>
      </c>
      <c r="E22" s="100" t="s">
        <v>138</v>
      </c>
      <c r="F22" s="100" t="s">
        <v>175</v>
      </c>
    </row>
    <row r="23" spans="1:6">
      <c r="A23" s="100" t="s">
        <v>6161</v>
      </c>
      <c r="B23" s="100">
        <v>28</v>
      </c>
      <c r="C23" s="100" t="s">
        <v>605</v>
      </c>
      <c r="D23" s="100" t="s">
        <v>448</v>
      </c>
      <c r="E23" s="100" t="s">
        <v>138</v>
      </c>
      <c r="F23" s="100" t="s">
        <v>177</v>
      </c>
    </row>
    <row r="24" spans="1:6">
      <c r="A24" s="100" t="s">
        <v>5955</v>
      </c>
      <c r="B24" s="100">
        <v>29</v>
      </c>
      <c r="C24" s="100" t="s">
        <v>605</v>
      </c>
      <c r="D24" s="100" t="s">
        <v>457</v>
      </c>
      <c r="E24" s="100" t="s">
        <v>144</v>
      </c>
      <c r="F24" s="100" t="s">
        <v>154</v>
      </c>
    </row>
    <row r="25" spans="1:6">
      <c r="A25" s="100" t="s">
        <v>5958</v>
      </c>
      <c r="B25" s="100">
        <v>30</v>
      </c>
      <c r="C25" s="100" t="s">
        <v>605</v>
      </c>
      <c r="D25" s="100" t="s">
        <v>462</v>
      </c>
      <c r="E25" s="100" t="s">
        <v>144</v>
      </c>
      <c r="F25" s="100" t="s">
        <v>154</v>
      </c>
    </row>
    <row r="26" spans="1:6">
      <c r="A26" s="100" t="s">
        <v>6019</v>
      </c>
      <c r="B26" s="100">
        <v>31</v>
      </c>
      <c r="C26" s="100" t="s">
        <v>605</v>
      </c>
      <c r="D26" s="100" t="s">
        <v>368</v>
      </c>
      <c r="E26" s="100" t="s">
        <v>142</v>
      </c>
      <c r="F26" s="100" t="s">
        <v>224</v>
      </c>
    </row>
    <row r="27" spans="1:6">
      <c r="A27" s="100" t="s">
        <v>6056</v>
      </c>
      <c r="B27" s="100">
        <v>32</v>
      </c>
      <c r="C27" s="100" t="s">
        <v>605</v>
      </c>
      <c r="D27" s="100" t="s">
        <v>565</v>
      </c>
      <c r="E27" s="100" t="s">
        <v>145</v>
      </c>
      <c r="F27" s="100" t="s">
        <v>247</v>
      </c>
    </row>
    <row r="28" spans="1:6">
      <c r="A28" s="100" t="s">
        <v>5861</v>
      </c>
      <c r="B28" s="100">
        <v>34</v>
      </c>
      <c r="C28" s="100" t="s">
        <v>606</v>
      </c>
      <c r="D28" s="100" t="s">
        <v>542</v>
      </c>
      <c r="E28" s="100" t="s">
        <v>139</v>
      </c>
      <c r="F28" s="100" t="s">
        <v>179</v>
      </c>
    </row>
    <row r="29" spans="1:6">
      <c r="A29" s="100" t="s">
        <v>5874</v>
      </c>
      <c r="B29" s="100">
        <v>35</v>
      </c>
      <c r="C29" s="100" t="s">
        <v>606</v>
      </c>
      <c r="D29" s="100" t="s">
        <v>560</v>
      </c>
      <c r="E29" s="100" t="s">
        <v>139</v>
      </c>
      <c r="F29" s="100" t="s">
        <v>178</v>
      </c>
    </row>
    <row r="30" spans="1:6">
      <c r="A30" s="100" t="s">
        <v>5890</v>
      </c>
      <c r="B30" s="100">
        <v>36</v>
      </c>
      <c r="C30" s="100" t="s">
        <v>606</v>
      </c>
      <c r="D30" s="100" t="s">
        <v>414</v>
      </c>
      <c r="E30" s="100" t="s">
        <v>141</v>
      </c>
      <c r="F30" s="100" t="s">
        <v>209</v>
      </c>
    </row>
    <row r="31" spans="1:6">
      <c r="A31" s="100" t="s">
        <v>5891</v>
      </c>
      <c r="B31" s="100">
        <v>37</v>
      </c>
      <c r="C31" s="100" t="s">
        <v>606</v>
      </c>
      <c r="D31" s="100" t="s">
        <v>393</v>
      </c>
      <c r="E31" s="100" t="s">
        <v>141</v>
      </c>
      <c r="F31" s="100" t="s">
        <v>209</v>
      </c>
    </row>
    <row r="32" spans="1:6">
      <c r="A32" s="100" t="s">
        <v>5892</v>
      </c>
      <c r="B32" s="100">
        <v>38</v>
      </c>
      <c r="C32" s="100" t="s">
        <v>606</v>
      </c>
      <c r="D32" s="100" t="s">
        <v>651</v>
      </c>
      <c r="E32" s="100" t="s">
        <v>141</v>
      </c>
      <c r="F32" s="100" t="s">
        <v>209</v>
      </c>
    </row>
    <row r="33" spans="1:6">
      <c r="A33" s="100" t="s">
        <v>5925</v>
      </c>
      <c r="B33" s="100">
        <v>39</v>
      </c>
      <c r="C33" s="100" t="s">
        <v>606</v>
      </c>
      <c r="D33" s="100" t="s">
        <v>654</v>
      </c>
      <c r="E33" s="100" t="s">
        <v>138</v>
      </c>
      <c r="F33" s="100" t="s">
        <v>175</v>
      </c>
    </row>
    <row r="34" spans="1:6">
      <c r="A34" s="100" t="s">
        <v>5926</v>
      </c>
      <c r="B34" s="100">
        <v>40</v>
      </c>
      <c r="C34" s="100" t="s">
        <v>606</v>
      </c>
      <c r="D34" s="100" t="s">
        <v>388</v>
      </c>
      <c r="E34" s="100" t="s">
        <v>138</v>
      </c>
      <c r="F34" s="100" t="s">
        <v>175</v>
      </c>
    </row>
    <row r="35" spans="1:6">
      <c r="A35" s="100" t="s">
        <v>5927</v>
      </c>
      <c r="B35" s="100">
        <v>41</v>
      </c>
      <c r="C35" s="100" t="s">
        <v>606</v>
      </c>
      <c r="D35" s="100" t="s">
        <v>389</v>
      </c>
      <c r="E35" s="100" t="s">
        <v>138</v>
      </c>
      <c r="F35" s="100" t="s">
        <v>175</v>
      </c>
    </row>
    <row r="36" spans="1:6">
      <c r="A36" s="100" t="s">
        <v>5954</v>
      </c>
      <c r="B36" s="100">
        <v>42</v>
      </c>
      <c r="C36" s="100" t="s">
        <v>606</v>
      </c>
      <c r="D36" s="100" t="s">
        <v>452</v>
      </c>
      <c r="E36" s="100" t="s">
        <v>144</v>
      </c>
      <c r="F36" s="100" t="s">
        <v>154</v>
      </c>
    </row>
    <row r="37" spans="1:6">
      <c r="A37" s="100" t="s">
        <v>6003</v>
      </c>
      <c r="B37" s="100">
        <v>43</v>
      </c>
      <c r="C37" s="100" t="s">
        <v>606</v>
      </c>
      <c r="D37" s="100" t="s">
        <v>490</v>
      </c>
      <c r="E37" s="100" t="s">
        <v>146</v>
      </c>
      <c r="F37" s="100" t="s">
        <v>297</v>
      </c>
    </row>
    <row r="38" spans="1:6">
      <c r="A38" s="100" t="s">
        <v>6006</v>
      </c>
      <c r="B38" s="100">
        <v>44</v>
      </c>
      <c r="C38" s="100" t="s">
        <v>606</v>
      </c>
      <c r="D38" s="100" t="s">
        <v>304</v>
      </c>
      <c r="E38" s="100" t="s">
        <v>146</v>
      </c>
      <c r="F38" s="100" t="s">
        <v>300</v>
      </c>
    </row>
    <row r="39" spans="1:6">
      <c r="A39" s="100" t="s">
        <v>6007</v>
      </c>
      <c r="B39" s="100">
        <v>45</v>
      </c>
      <c r="C39" s="100" t="s">
        <v>606</v>
      </c>
      <c r="D39" s="100" t="s">
        <v>508</v>
      </c>
      <c r="E39" s="100" t="s">
        <v>146</v>
      </c>
      <c r="F39" s="100" t="s">
        <v>299</v>
      </c>
    </row>
    <row r="40" spans="1:6">
      <c r="A40" s="100" t="s">
        <v>6022</v>
      </c>
      <c r="B40" s="100">
        <v>46</v>
      </c>
      <c r="C40" s="100" t="s">
        <v>606</v>
      </c>
      <c r="D40" s="100" t="s">
        <v>363</v>
      </c>
      <c r="E40" s="100" t="s">
        <v>142</v>
      </c>
      <c r="F40" s="100" t="s">
        <v>225</v>
      </c>
    </row>
    <row r="41" spans="1:6">
      <c r="A41" s="100" t="s">
        <v>6083</v>
      </c>
      <c r="B41" s="100">
        <v>47</v>
      </c>
      <c r="C41" s="100" t="s">
        <v>606</v>
      </c>
      <c r="D41" s="100" t="s">
        <v>277</v>
      </c>
      <c r="E41" s="100" t="s">
        <v>145</v>
      </c>
      <c r="F41" s="100" t="s">
        <v>252</v>
      </c>
    </row>
    <row r="42" spans="1:6">
      <c r="A42" s="100" t="s">
        <v>5865</v>
      </c>
      <c r="B42" s="100">
        <v>49</v>
      </c>
      <c r="C42" s="100" t="s">
        <v>607</v>
      </c>
      <c r="D42" s="100" t="s">
        <v>527</v>
      </c>
      <c r="E42" s="100" t="s">
        <v>139</v>
      </c>
      <c r="F42" s="100" t="s">
        <v>179</v>
      </c>
    </row>
    <row r="43" spans="1:6">
      <c r="A43" s="100" t="s">
        <v>5867</v>
      </c>
      <c r="B43" s="100">
        <v>50</v>
      </c>
      <c r="C43" s="100" t="s">
        <v>607</v>
      </c>
      <c r="D43" s="100" t="s">
        <v>527</v>
      </c>
      <c r="E43" s="100" t="s">
        <v>139</v>
      </c>
      <c r="F43" s="100" t="s">
        <v>178</v>
      </c>
    </row>
    <row r="44" spans="1:6">
      <c r="A44" s="100" t="s">
        <v>5868</v>
      </c>
      <c r="B44" s="100">
        <v>51</v>
      </c>
      <c r="C44" s="100" t="s">
        <v>607</v>
      </c>
      <c r="D44" s="100" t="s">
        <v>554</v>
      </c>
      <c r="E44" s="100" t="s">
        <v>139</v>
      </c>
      <c r="F44" s="100" t="s">
        <v>179</v>
      </c>
    </row>
    <row r="45" spans="1:6">
      <c r="A45" s="100" t="s">
        <v>5897</v>
      </c>
      <c r="B45" s="100">
        <v>52</v>
      </c>
      <c r="C45" s="100" t="s">
        <v>607</v>
      </c>
      <c r="D45" s="100" t="s">
        <v>403</v>
      </c>
      <c r="E45" s="100" t="s">
        <v>141</v>
      </c>
      <c r="F45" s="100" t="s">
        <v>221</v>
      </c>
    </row>
    <row r="46" spans="1:6">
      <c r="A46" s="100" t="s">
        <v>5898</v>
      </c>
      <c r="B46" s="100">
        <v>53</v>
      </c>
      <c r="C46" s="100" t="s">
        <v>607</v>
      </c>
      <c r="D46" s="100" t="s">
        <v>416</v>
      </c>
      <c r="E46" s="100" t="s">
        <v>141</v>
      </c>
      <c r="F46" s="100" t="s">
        <v>221</v>
      </c>
    </row>
    <row r="47" spans="1:6">
      <c r="A47" s="100" t="s">
        <v>5930</v>
      </c>
      <c r="B47" s="100">
        <v>54</v>
      </c>
      <c r="C47" s="100" t="s">
        <v>607</v>
      </c>
      <c r="D47" s="100" t="s">
        <v>434</v>
      </c>
      <c r="E47" s="100" t="s">
        <v>138</v>
      </c>
      <c r="F47" s="100" t="s">
        <v>175</v>
      </c>
    </row>
    <row r="48" spans="1:6">
      <c r="A48" s="100" t="s">
        <v>5931</v>
      </c>
      <c r="B48" s="100">
        <v>55</v>
      </c>
      <c r="C48" s="100" t="s">
        <v>607</v>
      </c>
      <c r="D48" s="100" t="s">
        <v>435</v>
      </c>
      <c r="E48" s="100" t="s">
        <v>138</v>
      </c>
      <c r="F48" s="100" t="s">
        <v>175</v>
      </c>
    </row>
    <row r="49" spans="1:6">
      <c r="A49" s="100" t="s">
        <v>5932</v>
      </c>
      <c r="B49" s="100">
        <v>56</v>
      </c>
      <c r="C49" s="100" t="s">
        <v>607</v>
      </c>
      <c r="D49" s="100" t="s">
        <v>436</v>
      </c>
      <c r="E49" s="100" t="s">
        <v>138</v>
      </c>
      <c r="F49" s="100" t="s">
        <v>175</v>
      </c>
    </row>
    <row r="50" spans="1:6">
      <c r="A50" s="100" t="s">
        <v>5989</v>
      </c>
      <c r="B50" s="100">
        <v>57</v>
      </c>
      <c r="C50" s="100" t="s">
        <v>607</v>
      </c>
      <c r="D50" s="100" t="s">
        <v>437</v>
      </c>
      <c r="E50" s="100" t="s">
        <v>147</v>
      </c>
      <c r="F50" s="100" t="s">
        <v>238</v>
      </c>
    </row>
    <row r="51" spans="1:6">
      <c r="A51" s="100" t="s">
        <v>5991</v>
      </c>
      <c r="B51" s="100">
        <v>58</v>
      </c>
      <c r="C51" s="100" t="s">
        <v>607</v>
      </c>
      <c r="D51" s="100" t="s">
        <v>445</v>
      </c>
      <c r="E51" s="100" t="s">
        <v>147</v>
      </c>
      <c r="F51" s="100" t="s">
        <v>238</v>
      </c>
    </row>
    <row r="52" spans="1:6">
      <c r="A52" s="100" t="s">
        <v>6004</v>
      </c>
      <c r="B52" s="100">
        <v>59</v>
      </c>
      <c r="C52" s="100" t="s">
        <v>607</v>
      </c>
      <c r="D52" s="100" t="s">
        <v>491</v>
      </c>
      <c r="E52" s="100" t="s">
        <v>146</v>
      </c>
      <c r="F52" s="100" t="s">
        <v>297</v>
      </c>
    </row>
    <row r="53" spans="1:6">
      <c r="A53" s="100" t="s">
        <v>6008</v>
      </c>
      <c r="B53" s="100">
        <v>60</v>
      </c>
      <c r="C53" s="100" t="s">
        <v>607</v>
      </c>
      <c r="D53" s="100" t="s">
        <v>491</v>
      </c>
      <c r="E53" s="100" t="s">
        <v>146</v>
      </c>
      <c r="F53" s="100" t="s">
        <v>299</v>
      </c>
    </row>
    <row r="54" spans="1:6">
      <c r="A54" s="100" t="s">
        <v>6021</v>
      </c>
      <c r="B54" s="100">
        <v>61</v>
      </c>
      <c r="C54" s="100" t="s">
        <v>607</v>
      </c>
      <c r="D54" s="100" t="s">
        <v>376</v>
      </c>
      <c r="E54" s="100" t="s">
        <v>142</v>
      </c>
      <c r="F54" s="100" t="s">
        <v>224</v>
      </c>
    </row>
    <row r="55" spans="1:6">
      <c r="A55" s="100" t="s">
        <v>6024</v>
      </c>
      <c r="B55" s="100">
        <v>62</v>
      </c>
      <c r="C55" s="100" t="s">
        <v>607</v>
      </c>
      <c r="D55" s="100" t="s">
        <v>368</v>
      </c>
      <c r="E55" s="100" t="s">
        <v>142</v>
      </c>
      <c r="F55" s="100" t="s">
        <v>225</v>
      </c>
    </row>
    <row r="56" spans="1:6">
      <c r="A56" s="100" t="s">
        <v>6067</v>
      </c>
      <c r="B56" s="100">
        <v>63</v>
      </c>
      <c r="C56" s="100" t="s">
        <v>607</v>
      </c>
      <c r="D56" s="100" t="s">
        <v>277</v>
      </c>
      <c r="E56" s="100" t="s">
        <v>145</v>
      </c>
      <c r="F56" s="100" t="s">
        <v>249</v>
      </c>
    </row>
    <row r="57" spans="1:6">
      <c r="A57" s="100" t="s">
        <v>6079</v>
      </c>
      <c r="B57" s="100">
        <v>64</v>
      </c>
      <c r="C57" s="100" t="s">
        <v>607</v>
      </c>
      <c r="D57" s="100" t="s">
        <v>286</v>
      </c>
      <c r="E57" s="100" t="s">
        <v>145</v>
      </c>
      <c r="F57" s="100" t="s">
        <v>251</v>
      </c>
    </row>
    <row r="58" spans="1:6">
      <c r="A58" s="100" t="s">
        <v>6080</v>
      </c>
      <c r="B58" s="100">
        <v>65</v>
      </c>
      <c r="C58" s="100" t="s">
        <v>607</v>
      </c>
      <c r="D58" s="100" t="s">
        <v>287</v>
      </c>
      <c r="E58" s="100" t="s">
        <v>145</v>
      </c>
      <c r="F58" s="100" t="s">
        <v>252</v>
      </c>
    </row>
    <row r="59" spans="1:6">
      <c r="A59" s="100" t="s">
        <v>6081</v>
      </c>
      <c r="B59" s="100">
        <v>66</v>
      </c>
      <c r="C59" s="100" t="s">
        <v>607</v>
      </c>
      <c r="D59" s="100" t="s">
        <v>288</v>
      </c>
      <c r="E59" s="100" t="s">
        <v>145</v>
      </c>
      <c r="F59" s="100" t="s">
        <v>252</v>
      </c>
    </row>
    <row r="60" spans="1:6">
      <c r="A60" s="100" t="s">
        <v>6082</v>
      </c>
      <c r="B60" s="100">
        <v>67</v>
      </c>
      <c r="C60" s="100" t="s">
        <v>607</v>
      </c>
      <c r="D60" s="100" t="s">
        <v>289</v>
      </c>
      <c r="E60" s="100" t="s">
        <v>145</v>
      </c>
      <c r="F60" s="100" t="s">
        <v>252</v>
      </c>
    </row>
    <row r="61" spans="1:6">
      <c r="A61" s="100" t="s">
        <v>5899</v>
      </c>
      <c r="B61" s="100">
        <v>69</v>
      </c>
      <c r="C61" s="100" t="s">
        <v>608</v>
      </c>
      <c r="D61" s="100" t="s">
        <v>417</v>
      </c>
      <c r="E61" s="100" t="s">
        <v>141</v>
      </c>
      <c r="F61" s="100" t="s">
        <v>221</v>
      </c>
    </row>
    <row r="62" spans="1:6">
      <c r="A62" s="100" t="s">
        <v>5900</v>
      </c>
      <c r="B62" s="100">
        <v>70</v>
      </c>
      <c r="C62" s="100" t="s">
        <v>608</v>
      </c>
      <c r="D62" s="100" t="s">
        <v>216</v>
      </c>
      <c r="E62" s="100" t="s">
        <v>141</v>
      </c>
      <c r="F62" s="100" t="s">
        <v>221</v>
      </c>
    </row>
    <row r="63" spans="1:6">
      <c r="A63" s="100" t="s">
        <v>5901</v>
      </c>
      <c r="B63" s="100">
        <v>71</v>
      </c>
      <c r="C63" s="100" t="s">
        <v>608</v>
      </c>
      <c r="D63" s="100" t="s">
        <v>397</v>
      </c>
      <c r="E63" s="100" t="s">
        <v>141</v>
      </c>
      <c r="F63" s="100" t="s">
        <v>221</v>
      </c>
    </row>
    <row r="64" spans="1:6">
      <c r="A64" s="100" t="s">
        <v>5928</v>
      </c>
      <c r="B64" s="100">
        <v>72</v>
      </c>
      <c r="C64" s="100" t="s">
        <v>608</v>
      </c>
      <c r="D64" s="100" t="s">
        <v>449</v>
      </c>
      <c r="E64" s="100" t="s">
        <v>138</v>
      </c>
      <c r="F64" s="100" t="s">
        <v>177</v>
      </c>
    </row>
    <row r="65" spans="1:6">
      <c r="A65" s="100" t="s">
        <v>5935</v>
      </c>
      <c r="B65" s="100">
        <v>73</v>
      </c>
      <c r="C65" s="100" t="s">
        <v>608</v>
      </c>
      <c r="D65" s="100" t="s">
        <v>419</v>
      </c>
      <c r="E65" s="100" t="s">
        <v>138</v>
      </c>
      <c r="F65" s="100" t="s">
        <v>174</v>
      </c>
    </row>
    <row r="66" spans="1:6">
      <c r="A66" s="100" t="s">
        <v>5990</v>
      </c>
      <c r="B66" s="100">
        <v>74</v>
      </c>
      <c r="C66" s="100" t="s">
        <v>608</v>
      </c>
      <c r="D66" s="100" t="s">
        <v>439</v>
      </c>
      <c r="E66" s="100" t="s">
        <v>147</v>
      </c>
      <c r="F66" s="100" t="s">
        <v>238</v>
      </c>
    </row>
    <row r="67" spans="1:6">
      <c r="A67" s="100" t="s">
        <v>6012</v>
      </c>
      <c r="B67" s="100">
        <v>75</v>
      </c>
      <c r="C67" s="100" t="s">
        <v>608</v>
      </c>
      <c r="D67" s="100" t="s">
        <v>363</v>
      </c>
      <c r="E67" s="100" t="s">
        <v>142</v>
      </c>
      <c r="F67" s="100" t="s">
        <v>223</v>
      </c>
    </row>
    <row r="68" spans="1:6">
      <c r="A68" s="100" t="s">
        <v>6013</v>
      </c>
      <c r="B68" s="100">
        <v>76</v>
      </c>
      <c r="C68" s="100" t="s">
        <v>608</v>
      </c>
      <c r="D68" s="100" t="s">
        <v>367</v>
      </c>
      <c r="E68" s="100" t="s">
        <v>142</v>
      </c>
      <c r="F68" s="100" t="s">
        <v>223</v>
      </c>
    </row>
    <row r="69" spans="1:6">
      <c r="A69" s="100" t="s">
        <v>6064</v>
      </c>
      <c r="B69" s="100">
        <v>77</v>
      </c>
      <c r="C69" s="100" t="s">
        <v>608</v>
      </c>
      <c r="D69" s="100" t="s">
        <v>276</v>
      </c>
      <c r="E69" s="100" t="s">
        <v>145</v>
      </c>
      <c r="F69" s="100" t="s">
        <v>249</v>
      </c>
    </row>
    <row r="70" spans="1:6">
      <c r="A70" s="100" t="s">
        <v>6066</v>
      </c>
      <c r="B70" s="100">
        <v>78</v>
      </c>
      <c r="C70" s="100" t="s">
        <v>608</v>
      </c>
      <c r="D70" s="100" t="s">
        <v>261</v>
      </c>
      <c r="E70" s="100" t="s">
        <v>145</v>
      </c>
      <c r="F70" s="100" t="s">
        <v>249</v>
      </c>
    </row>
    <row r="71" spans="1:6">
      <c r="A71" s="100" t="s">
        <v>6075</v>
      </c>
      <c r="B71" s="100">
        <v>79</v>
      </c>
      <c r="C71" s="100" t="s">
        <v>608</v>
      </c>
      <c r="D71" s="100" t="s">
        <v>284</v>
      </c>
      <c r="E71" s="100" t="s">
        <v>145</v>
      </c>
      <c r="F71" s="100" t="s">
        <v>250</v>
      </c>
    </row>
    <row r="72" spans="1:6">
      <c r="A72" s="100" t="s">
        <v>5866</v>
      </c>
      <c r="B72" s="100">
        <v>81</v>
      </c>
      <c r="C72" s="100" t="s">
        <v>609</v>
      </c>
      <c r="D72" s="100" t="s">
        <v>530</v>
      </c>
      <c r="E72" s="100" t="s">
        <v>139</v>
      </c>
      <c r="F72" s="100" t="s">
        <v>179</v>
      </c>
    </row>
    <row r="73" spans="1:6">
      <c r="A73" s="100" t="s">
        <v>5902</v>
      </c>
      <c r="B73" s="100">
        <v>82</v>
      </c>
      <c r="C73" s="100" t="s">
        <v>609</v>
      </c>
      <c r="D73" s="100" t="s">
        <v>414</v>
      </c>
      <c r="E73" s="100" t="s">
        <v>141</v>
      </c>
      <c r="F73" s="100" t="s">
        <v>221</v>
      </c>
    </row>
    <row r="74" spans="1:6">
      <c r="A74" s="100" t="s">
        <v>5903</v>
      </c>
      <c r="B74" s="100">
        <v>83</v>
      </c>
      <c r="C74" s="100" t="s">
        <v>609</v>
      </c>
      <c r="D74" s="100" t="s">
        <v>393</v>
      </c>
      <c r="E74" s="100" t="s">
        <v>141</v>
      </c>
      <c r="F74" s="100" t="s">
        <v>221</v>
      </c>
    </row>
    <row r="75" spans="1:6">
      <c r="A75" s="100" t="s">
        <v>5904</v>
      </c>
      <c r="B75" s="100">
        <v>84</v>
      </c>
      <c r="C75" s="100" t="s">
        <v>609</v>
      </c>
      <c r="D75" s="100" t="s">
        <v>651</v>
      </c>
      <c r="E75" s="100" t="s">
        <v>141</v>
      </c>
      <c r="F75" s="100" t="s">
        <v>221</v>
      </c>
    </row>
    <row r="76" spans="1:6">
      <c r="A76" s="100" t="s">
        <v>5936</v>
      </c>
      <c r="B76" s="100">
        <v>85</v>
      </c>
      <c r="C76" s="100" t="s">
        <v>609</v>
      </c>
      <c r="D76" s="100" t="s">
        <v>367</v>
      </c>
      <c r="E76" s="100" t="s">
        <v>138</v>
      </c>
      <c r="F76" s="100" t="s">
        <v>174</v>
      </c>
    </row>
    <row r="77" spans="1:6">
      <c r="A77" s="100" t="s">
        <v>5909</v>
      </c>
      <c r="B77" s="100">
        <v>86</v>
      </c>
      <c r="C77" s="100" t="s">
        <v>609</v>
      </c>
      <c r="D77" s="100" t="s">
        <v>403</v>
      </c>
      <c r="E77" s="100" t="s">
        <v>141</v>
      </c>
      <c r="F77" s="100" t="s">
        <v>222</v>
      </c>
    </row>
    <row r="78" spans="1:6">
      <c r="A78" s="100" t="s">
        <v>5938</v>
      </c>
      <c r="B78" s="100">
        <v>87</v>
      </c>
      <c r="C78" s="100" t="s">
        <v>609</v>
      </c>
      <c r="D78" s="100" t="s">
        <v>654</v>
      </c>
      <c r="E78" s="100" t="s">
        <v>138</v>
      </c>
      <c r="F78" s="100" t="s">
        <v>174</v>
      </c>
    </row>
    <row r="79" spans="1:6">
      <c r="A79" s="100" t="s">
        <v>5939</v>
      </c>
      <c r="B79" s="100">
        <v>88</v>
      </c>
      <c r="C79" s="100" t="s">
        <v>609</v>
      </c>
      <c r="D79" s="100" t="s">
        <v>388</v>
      </c>
      <c r="E79" s="100" t="s">
        <v>138</v>
      </c>
      <c r="F79" s="100" t="s">
        <v>174</v>
      </c>
    </row>
    <row r="80" spans="1:6">
      <c r="A80" s="100" t="s">
        <v>5940</v>
      </c>
      <c r="B80" s="100">
        <v>89</v>
      </c>
      <c r="C80" s="100" t="s">
        <v>609</v>
      </c>
      <c r="D80" s="100" t="s">
        <v>389</v>
      </c>
      <c r="E80" s="100" t="s">
        <v>138</v>
      </c>
      <c r="F80" s="100" t="s">
        <v>174</v>
      </c>
    </row>
    <row r="81" spans="1:6">
      <c r="A81" s="100" t="s">
        <v>5941</v>
      </c>
      <c r="B81" s="100">
        <v>90</v>
      </c>
      <c r="C81" s="100" t="s">
        <v>609</v>
      </c>
      <c r="D81" s="100" t="s">
        <v>448</v>
      </c>
      <c r="E81" s="100" t="s">
        <v>138</v>
      </c>
      <c r="F81" s="100" t="s">
        <v>176</v>
      </c>
    </row>
    <row r="82" spans="1:6">
      <c r="A82" s="100" t="s">
        <v>5952</v>
      </c>
      <c r="B82" s="100">
        <v>91</v>
      </c>
      <c r="C82" s="100" t="s">
        <v>609</v>
      </c>
      <c r="D82" s="100" t="s">
        <v>459</v>
      </c>
      <c r="E82" s="100" t="s">
        <v>144</v>
      </c>
      <c r="F82" s="100" t="s">
        <v>154</v>
      </c>
    </row>
    <row r="83" spans="1:6">
      <c r="A83" s="100" t="s">
        <v>5992</v>
      </c>
      <c r="B83" s="100">
        <v>92</v>
      </c>
      <c r="C83" s="100" t="s">
        <v>609</v>
      </c>
      <c r="D83" s="100" t="s">
        <v>440</v>
      </c>
      <c r="E83" s="100" t="s">
        <v>147</v>
      </c>
      <c r="F83" s="100" t="s">
        <v>238</v>
      </c>
    </row>
    <row r="84" spans="1:6">
      <c r="A84" s="100" t="s">
        <v>6014</v>
      </c>
      <c r="B84" s="100">
        <v>93</v>
      </c>
      <c r="C84" s="100" t="s">
        <v>609</v>
      </c>
      <c r="D84" s="100" t="s">
        <v>368</v>
      </c>
      <c r="E84" s="100" t="s">
        <v>142</v>
      </c>
      <c r="F84" s="100" t="s">
        <v>223</v>
      </c>
    </row>
    <row r="85" spans="1:6">
      <c r="A85" s="100" t="s">
        <v>6026</v>
      </c>
      <c r="B85" s="100">
        <v>94</v>
      </c>
      <c r="C85" s="100" t="s">
        <v>609</v>
      </c>
      <c r="D85" s="100" t="s">
        <v>376</v>
      </c>
      <c r="E85" s="100" t="s">
        <v>142</v>
      </c>
      <c r="F85" s="100" t="s">
        <v>225</v>
      </c>
    </row>
    <row r="86" spans="1:6">
      <c r="A86" s="100" t="s">
        <v>6073</v>
      </c>
      <c r="B86" s="100">
        <v>95</v>
      </c>
      <c r="C86" s="100" t="s">
        <v>609</v>
      </c>
      <c r="D86" s="100" t="s">
        <v>282</v>
      </c>
      <c r="E86" s="100" t="s">
        <v>145</v>
      </c>
      <c r="F86" s="100" t="s">
        <v>250</v>
      </c>
    </row>
    <row r="87" spans="1:6">
      <c r="A87" s="100" t="s">
        <v>6074</v>
      </c>
      <c r="B87" s="100">
        <v>96</v>
      </c>
      <c r="C87" s="100" t="s">
        <v>609</v>
      </c>
      <c r="D87" s="100" t="s">
        <v>283</v>
      </c>
      <c r="E87" s="100" t="s">
        <v>145</v>
      </c>
      <c r="F87" s="100" t="s">
        <v>250</v>
      </c>
    </row>
    <row r="88" spans="1:6">
      <c r="A88" s="100" t="s">
        <v>5870</v>
      </c>
      <c r="B88" s="100">
        <v>98</v>
      </c>
      <c r="C88" s="100" t="s">
        <v>610</v>
      </c>
      <c r="D88" s="100" t="s">
        <v>546</v>
      </c>
      <c r="E88" s="100" t="s">
        <v>139</v>
      </c>
      <c r="F88" s="100" t="s">
        <v>179</v>
      </c>
    </row>
    <row r="89" spans="1:6">
      <c r="A89" s="100" t="s">
        <v>5876</v>
      </c>
      <c r="B89" s="100">
        <v>99</v>
      </c>
      <c r="C89" s="100" t="s">
        <v>610</v>
      </c>
      <c r="D89" s="100" t="s">
        <v>546</v>
      </c>
      <c r="E89" s="100" t="s">
        <v>139</v>
      </c>
      <c r="F89" s="100" t="s">
        <v>178</v>
      </c>
    </row>
    <row r="90" spans="1:6">
      <c r="A90" s="100" t="s">
        <v>5894</v>
      </c>
      <c r="B90" s="100">
        <v>100</v>
      </c>
      <c r="C90" s="100" t="s">
        <v>610</v>
      </c>
      <c r="D90" s="100" t="s">
        <v>184</v>
      </c>
      <c r="E90" s="100" t="s">
        <v>141</v>
      </c>
      <c r="F90" s="100" t="s">
        <v>209</v>
      </c>
    </row>
    <row r="91" spans="1:6">
      <c r="A91" s="100" t="s">
        <v>5912</v>
      </c>
      <c r="B91" s="100">
        <v>101</v>
      </c>
      <c r="C91" s="100" t="s">
        <v>610</v>
      </c>
      <c r="D91" s="100" t="s">
        <v>216</v>
      </c>
      <c r="E91" s="100" t="s">
        <v>141</v>
      </c>
      <c r="F91" s="100" t="s">
        <v>222</v>
      </c>
    </row>
    <row r="92" spans="1:6">
      <c r="A92" s="100" t="s">
        <v>5994</v>
      </c>
      <c r="B92" s="100">
        <v>102</v>
      </c>
      <c r="C92" s="100" t="s">
        <v>610</v>
      </c>
      <c r="D92" s="100" t="s">
        <v>184</v>
      </c>
      <c r="E92" s="100" t="s">
        <v>147</v>
      </c>
      <c r="F92" s="100" t="s">
        <v>238</v>
      </c>
    </row>
    <row r="93" spans="1:6">
      <c r="A93" s="100" t="s">
        <v>6016</v>
      </c>
      <c r="B93" s="100">
        <v>103</v>
      </c>
      <c r="C93" s="100" t="s">
        <v>610</v>
      </c>
      <c r="D93" s="100" t="s">
        <v>376</v>
      </c>
      <c r="E93" s="100" t="s">
        <v>142</v>
      </c>
      <c r="F93" s="100" t="s">
        <v>223</v>
      </c>
    </row>
    <row r="94" spans="1:6">
      <c r="A94" s="100" t="s">
        <v>6047</v>
      </c>
      <c r="B94" s="100">
        <v>104</v>
      </c>
      <c r="C94" s="100" t="s">
        <v>610</v>
      </c>
      <c r="D94" s="100" t="s">
        <v>259</v>
      </c>
      <c r="E94" s="100" t="s">
        <v>145</v>
      </c>
      <c r="F94" s="100" t="s">
        <v>247</v>
      </c>
    </row>
    <row r="95" spans="1:6">
      <c r="A95" s="100" t="s">
        <v>6049</v>
      </c>
      <c r="B95" s="100">
        <v>105</v>
      </c>
      <c r="C95" s="100" t="s">
        <v>610</v>
      </c>
      <c r="D95" s="100" t="s">
        <v>261</v>
      </c>
      <c r="E95" s="100" t="s">
        <v>145</v>
      </c>
      <c r="F95" s="100" t="s">
        <v>247</v>
      </c>
    </row>
    <row r="96" spans="1:6">
      <c r="A96" s="100" t="s">
        <v>6050</v>
      </c>
      <c r="B96" s="100">
        <v>106</v>
      </c>
      <c r="C96" s="100" t="s">
        <v>610</v>
      </c>
      <c r="D96" s="100" t="s">
        <v>262</v>
      </c>
      <c r="E96" s="100" t="s">
        <v>145</v>
      </c>
      <c r="F96" s="100" t="s">
        <v>247</v>
      </c>
    </row>
    <row r="97" spans="1:6">
      <c r="A97" s="100" t="s">
        <v>6061</v>
      </c>
      <c r="B97" s="100">
        <v>107</v>
      </c>
      <c r="C97" s="100" t="s">
        <v>610</v>
      </c>
      <c r="D97" s="100" t="s">
        <v>273</v>
      </c>
      <c r="E97" s="100" t="s">
        <v>145</v>
      </c>
      <c r="F97" s="100" t="s">
        <v>254</v>
      </c>
    </row>
    <row r="98" spans="1:6">
      <c r="A98" s="100" t="s">
        <v>6065</v>
      </c>
      <c r="B98" s="100">
        <v>108</v>
      </c>
      <c r="C98" s="100" t="s">
        <v>610</v>
      </c>
      <c r="D98" s="100" t="s">
        <v>260</v>
      </c>
      <c r="E98" s="100" t="s">
        <v>145</v>
      </c>
      <c r="F98" s="100" t="s">
        <v>249</v>
      </c>
    </row>
    <row r="99" spans="1:6">
      <c r="A99" s="100" t="s">
        <v>6068</v>
      </c>
      <c r="B99" s="100">
        <v>109</v>
      </c>
      <c r="C99" s="100" t="s">
        <v>610</v>
      </c>
      <c r="D99" s="100" t="s">
        <v>278</v>
      </c>
      <c r="E99" s="100" t="s">
        <v>145</v>
      </c>
      <c r="F99" s="100" t="s">
        <v>249</v>
      </c>
    </row>
    <row r="100" spans="1:6">
      <c r="A100" s="100" t="s">
        <v>6069</v>
      </c>
      <c r="B100" s="100">
        <v>110</v>
      </c>
      <c r="C100" s="100" t="s">
        <v>610</v>
      </c>
      <c r="D100" s="100" t="s">
        <v>264</v>
      </c>
      <c r="E100" s="100" t="s">
        <v>145</v>
      </c>
      <c r="F100" s="100" t="s">
        <v>249</v>
      </c>
    </row>
    <row r="101" spans="1:6">
      <c r="A101" s="100" t="s">
        <v>6070</v>
      </c>
      <c r="B101" s="100">
        <v>111</v>
      </c>
      <c r="C101" s="100" t="s">
        <v>610</v>
      </c>
      <c r="D101" s="100" t="s">
        <v>279</v>
      </c>
      <c r="E101" s="100" t="s">
        <v>145</v>
      </c>
      <c r="F101" s="100" t="s">
        <v>249</v>
      </c>
    </row>
    <row r="102" spans="1:6">
      <c r="A102" s="100" t="s">
        <v>6071</v>
      </c>
      <c r="B102" s="100">
        <v>112</v>
      </c>
      <c r="C102" s="100" t="s">
        <v>610</v>
      </c>
      <c r="D102" s="100" t="s">
        <v>280</v>
      </c>
      <c r="E102" s="100" t="s">
        <v>145</v>
      </c>
      <c r="F102" s="100" t="s">
        <v>249</v>
      </c>
    </row>
    <row r="103" spans="1:6">
      <c r="A103" s="100" t="s">
        <v>6072</v>
      </c>
      <c r="B103" s="100">
        <v>113</v>
      </c>
      <c r="C103" s="100" t="s">
        <v>610</v>
      </c>
      <c r="D103" s="100" t="s">
        <v>267</v>
      </c>
      <c r="E103" s="100" t="s">
        <v>145</v>
      </c>
      <c r="F103" s="100" t="s">
        <v>249</v>
      </c>
    </row>
    <row r="104" spans="1:6">
      <c r="A104" s="100" t="s">
        <v>6076</v>
      </c>
      <c r="B104" s="100">
        <v>114</v>
      </c>
      <c r="C104" s="100" t="s">
        <v>610</v>
      </c>
      <c r="D104" s="100" t="s">
        <v>285</v>
      </c>
      <c r="E104" s="100" t="s">
        <v>145</v>
      </c>
      <c r="F104" s="100" t="s">
        <v>251</v>
      </c>
    </row>
    <row r="105" spans="1:6">
      <c r="A105" s="100" t="s">
        <v>6078</v>
      </c>
      <c r="B105" s="100">
        <v>115</v>
      </c>
      <c r="C105" s="100" t="s">
        <v>610</v>
      </c>
      <c r="D105" s="100" t="s">
        <v>284</v>
      </c>
      <c r="E105" s="100" t="s">
        <v>145</v>
      </c>
      <c r="F105" s="100" t="s">
        <v>251</v>
      </c>
    </row>
    <row r="106" spans="1:6">
      <c r="A106" s="100" t="s">
        <v>6084</v>
      </c>
      <c r="B106" s="100">
        <v>116</v>
      </c>
      <c r="C106" s="100" t="s">
        <v>610</v>
      </c>
      <c r="D106" s="100" t="s">
        <v>278</v>
      </c>
      <c r="E106" s="100" t="s">
        <v>145</v>
      </c>
      <c r="F106" s="100" t="s">
        <v>252</v>
      </c>
    </row>
    <row r="107" spans="1:6">
      <c r="A107" s="100" t="s">
        <v>6085</v>
      </c>
      <c r="B107" s="100">
        <v>117</v>
      </c>
      <c r="C107" s="100" t="s">
        <v>610</v>
      </c>
      <c r="D107" s="100" t="s">
        <v>264</v>
      </c>
      <c r="E107" s="100" t="s">
        <v>145</v>
      </c>
      <c r="F107" s="100" t="s">
        <v>252</v>
      </c>
    </row>
    <row r="108" spans="1:6">
      <c r="A108" s="100" t="s">
        <v>6086</v>
      </c>
      <c r="B108" s="100">
        <v>118</v>
      </c>
      <c r="C108" s="100" t="s">
        <v>610</v>
      </c>
      <c r="D108" s="100" t="s">
        <v>290</v>
      </c>
      <c r="E108" s="100" t="s">
        <v>145</v>
      </c>
      <c r="F108" s="100" t="s">
        <v>252</v>
      </c>
    </row>
    <row r="109" spans="1:6">
      <c r="A109" s="100" t="s">
        <v>6087</v>
      </c>
      <c r="B109" s="100">
        <v>119</v>
      </c>
      <c r="C109" s="100" t="s">
        <v>610</v>
      </c>
      <c r="D109" s="100" t="s">
        <v>267</v>
      </c>
      <c r="E109" s="100" t="s">
        <v>145</v>
      </c>
      <c r="F109" s="100" t="s">
        <v>252</v>
      </c>
    </row>
    <row r="110" spans="1:6">
      <c r="A110" s="100" t="s">
        <v>6088</v>
      </c>
      <c r="B110" s="100">
        <v>120</v>
      </c>
      <c r="C110" s="100" t="s">
        <v>610</v>
      </c>
      <c r="D110" s="100" t="s">
        <v>291</v>
      </c>
      <c r="E110" s="100" t="s">
        <v>145</v>
      </c>
      <c r="F110" s="100" t="s">
        <v>252</v>
      </c>
    </row>
    <row r="111" spans="1:6">
      <c r="A111" s="100" t="s">
        <v>6111</v>
      </c>
      <c r="B111" s="100">
        <v>121</v>
      </c>
      <c r="C111" s="100" t="s">
        <v>610</v>
      </c>
      <c r="D111" s="100" t="s">
        <v>320</v>
      </c>
      <c r="E111" s="100" t="s">
        <v>150</v>
      </c>
      <c r="F111" s="100" t="s">
        <v>314</v>
      </c>
    </row>
    <row r="112" spans="1:6">
      <c r="A112" s="100" t="s">
        <v>5869</v>
      </c>
      <c r="B112" s="100">
        <v>123</v>
      </c>
      <c r="C112" s="100" t="s">
        <v>611</v>
      </c>
      <c r="D112" s="100" t="s">
        <v>545</v>
      </c>
      <c r="E112" s="100" t="s">
        <v>139</v>
      </c>
      <c r="F112" s="100" t="s">
        <v>179</v>
      </c>
    </row>
    <row r="113" spans="1:6">
      <c r="A113" s="100" t="s">
        <v>5875</v>
      </c>
      <c r="B113" s="100">
        <v>124</v>
      </c>
      <c r="C113" s="100" t="s">
        <v>611</v>
      </c>
      <c r="D113" s="100" t="s">
        <v>545</v>
      </c>
      <c r="E113" s="100" t="s">
        <v>139</v>
      </c>
      <c r="F113" s="100" t="s">
        <v>178</v>
      </c>
    </row>
    <row r="114" spans="1:6">
      <c r="A114" s="100" t="s">
        <v>5913</v>
      </c>
      <c r="B114" s="100">
        <v>125</v>
      </c>
      <c r="C114" s="100" t="s">
        <v>611</v>
      </c>
      <c r="D114" s="100" t="s">
        <v>397</v>
      </c>
      <c r="E114" s="100" t="s">
        <v>141</v>
      </c>
      <c r="F114" s="100" t="s">
        <v>222</v>
      </c>
    </row>
    <row r="115" spans="1:6">
      <c r="A115" s="100" t="s">
        <v>5915</v>
      </c>
      <c r="B115" s="100">
        <v>126</v>
      </c>
      <c r="C115" s="100" t="s">
        <v>611</v>
      </c>
      <c r="D115" s="100" t="s">
        <v>393</v>
      </c>
      <c r="E115" s="100" t="s">
        <v>141</v>
      </c>
      <c r="F115" s="100" t="s">
        <v>222</v>
      </c>
    </row>
    <row r="116" spans="1:6">
      <c r="A116" s="100" t="s">
        <v>5916</v>
      </c>
      <c r="B116" s="100">
        <v>127</v>
      </c>
      <c r="C116" s="100" t="s">
        <v>611</v>
      </c>
      <c r="D116" s="100" t="s">
        <v>651</v>
      </c>
      <c r="E116" s="100" t="s">
        <v>141</v>
      </c>
      <c r="F116" s="100" t="s">
        <v>222</v>
      </c>
    </row>
    <row r="117" spans="1:6">
      <c r="A117" s="100" t="s">
        <v>5929</v>
      </c>
      <c r="B117" s="100">
        <v>128</v>
      </c>
      <c r="C117" s="100" t="s">
        <v>611</v>
      </c>
      <c r="D117" s="100" t="s">
        <v>431</v>
      </c>
      <c r="E117" s="100" t="s">
        <v>138</v>
      </c>
      <c r="F117" s="100" t="s">
        <v>175</v>
      </c>
    </row>
    <row r="118" spans="1:6">
      <c r="A118" s="100" t="s">
        <v>5947</v>
      </c>
      <c r="B118" s="100">
        <v>129</v>
      </c>
      <c r="C118" s="100" t="s">
        <v>611</v>
      </c>
      <c r="D118" s="100" t="s">
        <v>434</v>
      </c>
      <c r="E118" s="100" t="s">
        <v>138</v>
      </c>
      <c r="F118" s="100" t="s">
        <v>174</v>
      </c>
    </row>
    <row r="119" spans="1:6">
      <c r="A119" s="100" t="s">
        <v>5948</v>
      </c>
      <c r="B119" s="100">
        <v>130</v>
      </c>
      <c r="C119" s="100" t="s">
        <v>611</v>
      </c>
      <c r="D119" s="100" t="s">
        <v>435</v>
      </c>
      <c r="E119" s="100" t="s">
        <v>138</v>
      </c>
      <c r="F119" s="100" t="s">
        <v>174</v>
      </c>
    </row>
    <row r="120" spans="1:6">
      <c r="A120" s="100" t="s">
        <v>5949</v>
      </c>
      <c r="B120" s="100">
        <v>131</v>
      </c>
      <c r="C120" s="100" t="s">
        <v>611</v>
      </c>
      <c r="D120" s="100" t="s">
        <v>436</v>
      </c>
      <c r="E120" s="100" t="s">
        <v>138</v>
      </c>
      <c r="F120" s="100" t="s">
        <v>174</v>
      </c>
    </row>
    <row r="121" spans="1:6">
      <c r="A121" s="100" t="s">
        <v>5965</v>
      </c>
      <c r="B121" s="100">
        <v>132</v>
      </c>
      <c r="C121" s="100" t="s">
        <v>611</v>
      </c>
      <c r="D121" s="100" t="s">
        <v>437</v>
      </c>
      <c r="E121" s="100" t="s">
        <v>147</v>
      </c>
      <c r="F121" s="100" t="s">
        <v>236</v>
      </c>
    </row>
    <row r="122" spans="1:6">
      <c r="A122" s="100" t="s">
        <v>6030</v>
      </c>
      <c r="B122" s="100">
        <v>133</v>
      </c>
      <c r="C122" s="100" t="s">
        <v>611</v>
      </c>
      <c r="D122" s="100" t="s">
        <v>363</v>
      </c>
      <c r="E122" s="100" t="s">
        <v>142</v>
      </c>
      <c r="F122" s="100" t="s">
        <v>226</v>
      </c>
    </row>
    <row r="123" spans="1:6">
      <c r="A123" s="100" t="s">
        <v>6031</v>
      </c>
      <c r="B123" s="100">
        <v>134</v>
      </c>
      <c r="C123" s="100" t="s">
        <v>611</v>
      </c>
      <c r="D123" s="100" t="s">
        <v>367</v>
      </c>
      <c r="E123" s="100" t="s">
        <v>142</v>
      </c>
      <c r="F123" s="100" t="s">
        <v>226</v>
      </c>
    </row>
    <row r="124" spans="1:6">
      <c r="A124" s="100" t="s">
        <v>6035</v>
      </c>
      <c r="B124" s="100">
        <v>135</v>
      </c>
      <c r="C124" s="100" t="s">
        <v>611</v>
      </c>
      <c r="D124" s="100" t="s">
        <v>363</v>
      </c>
      <c r="E124" s="100" t="s">
        <v>142</v>
      </c>
      <c r="F124" s="100" t="s">
        <v>231</v>
      </c>
    </row>
    <row r="125" spans="1:6">
      <c r="A125" s="100" t="s">
        <v>6048</v>
      </c>
      <c r="B125" s="100">
        <v>136</v>
      </c>
      <c r="C125" s="100" t="s">
        <v>611</v>
      </c>
      <c r="D125" s="100" t="s">
        <v>260</v>
      </c>
      <c r="E125" s="100" t="s">
        <v>145</v>
      </c>
      <c r="F125" s="100" t="s">
        <v>247</v>
      </c>
    </row>
    <row r="126" spans="1:6">
      <c r="A126" s="100" t="s">
        <v>6051</v>
      </c>
      <c r="B126" s="100">
        <v>137</v>
      </c>
      <c r="C126" s="100" t="s">
        <v>611</v>
      </c>
      <c r="D126" s="100" t="s">
        <v>263</v>
      </c>
      <c r="E126" s="100" t="s">
        <v>145</v>
      </c>
      <c r="F126" s="100" t="s">
        <v>247</v>
      </c>
    </row>
    <row r="127" spans="1:6">
      <c r="A127" s="100" t="s">
        <v>6052</v>
      </c>
      <c r="B127" s="100">
        <v>138</v>
      </c>
      <c r="C127" s="100" t="s">
        <v>611</v>
      </c>
      <c r="D127" s="100" t="s">
        <v>264</v>
      </c>
      <c r="E127" s="100" t="s">
        <v>145</v>
      </c>
      <c r="F127" s="100" t="s">
        <v>247</v>
      </c>
    </row>
    <row r="128" spans="1:6">
      <c r="A128" s="100" t="s">
        <v>6053</v>
      </c>
      <c r="B128" s="100">
        <v>139</v>
      </c>
      <c r="C128" s="100" t="s">
        <v>611</v>
      </c>
      <c r="D128" s="100" t="s">
        <v>265</v>
      </c>
      <c r="E128" s="100" t="s">
        <v>145</v>
      </c>
      <c r="F128" s="100" t="s">
        <v>247</v>
      </c>
    </row>
    <row r="129" spans="1:6">
      <c r="A129" s="100" t="s">
        <v>6054</v>
      </c>
      <c r="B129" s="100">
        <v>140</v>
      </c>
      <c r="C129" s="100" t="s">
        <v>611</v>
      </c>
      <c r="D129" s="100" t="s">
        <v>266</v>
      </c>
      <c r="E129" s="100" t="s">
        <v>145</v>
      </c>
      <c r="F129" s="100" t="s">
        <v>247</v>
      </c>
    </row>
    <row r="130" spans="1:6">
      <c r="A130" s="100" t="s">
        <v>6055</v>
      </c>
      <c r="B130" s="100">
        <v>141</v>
      </c>
      <c r="C130" s="100" t="s">
        <v>611</v>
      </c>
      <c r="D130" s="100" t="s">
        <v>267</v>
      </c>
      <c r="E130" s="100" t="s">
        <v>145</v>
      </c>
      <c r="F130" s="100" t="s">
        <v>247</v>
      </c>
    </row>
    <row r="131" spans="1:6">
      <c r="A131" s="100" t="s">
        <v>6060</v>
      </c>
      <c r="B131" s="100">
        <v>142</v>
      </c>
      <c r="C131" s="100" t="s">
        <v>611</v>
      </c>
      <c r="D131" s="100" t="s">
        <v>272</v>
      </c>
      <c r="E131" s="100" t="s">
        <v>145</v>
      </c>
      <c r="F131" s="100" t="s">
        <v>254</v>
      </c>
    </row>
    <row r="132" spans="1:6">
      <c r="A132" s="100" t="s">
        <v>6077</v>
      </c>
      <c r="B132" s="100">
        <v>143</v>
      </c>
      <c r="C132" s="100" t="s">
        <v>611</v>
      </c>
      <c r="D132" s="100" t="s">
        <v>283</v>
      </c>
      <c r="E132" s="100" t="s">
        <v>145</v>
      </c>
      <c r="F132" s="100" t="s">
        <v>251</v>
      </c>
    </row>
    <row r="133" spans="1:6">
      <c r="A133" s="100" t="s">
        <v>6094</v>
      </c>
      <c r="B133" s="100">
        <v>144</v>
      </c>
      <c r="C133" s="100" t="s">
        <v>611</v>
      </c>
      <c r="D133" s="100" t="s">
        <v>284</v>
      </c>
      <c r="E133" s="100" t="s">
        <v>145</v>
      </c>
      <c r="F133" s="100" t="s">
        <v>253</v>
      </c>
    </row>
    <row r="134" spans="1:6">
      <c r="A134" s="100" t="s">
        <v>6095</v>
      </c>
      <c r="B134" s="100">
        <v>145</v>
      </c>
      <c r="C134" s="100" t="s">
        <v>611</v>
      </c>
      <c r="D134" s="100" t="s">
        <v>286</v>
      </c>
      <c r="E134" s="100" t="s">
        <v>145</v>
      </c>
      <c r="F134" s="100" t="s">
        <v>253</v>
      </c>
    </row>
    <row r="135" spans="1:6">
      <c r="A135" s="100" t="s">
        <v>6108</v>
      </c>
      <c r="B135" s="100">
        <v>146</v>
      </c>
      <c r="C135" s="100" t="s">
        <v>611</v>
      </c>
      <c r="D135" s="100" t="s">
        <v>320</v>
      </c>
      <c r="E135" s="100" t="s">
        <v>150</v>
      </c>
      <c r="F135" s="100" t="s">
        <v>311</v>
      </c>
    </row>
    <row r="136" spans="1:6">
      <c r="A136" s="100" t="s">
        <v>5934</v>
      </c>
      <c r="B136" s="100">
        <v>148</v>
      </c>
      <c r="C136" s="100" t="s">
        <v>612</v>
      </c>
      <c r="D136" s="100" t="s">
        <v>184</v>
      </c>
      <c r="E136" s="100" t="s">
        <v>138</v>
      </c>
      <c r="F136" s="100" t="s">
        <v>175</v>
      </c>
    </row>
    <row r="137" spans="1:6">
      <c r="A137" s="100" t="s">
        <v>5967</v>
      </c>
      <c r="B137" s="100">
        <v>149</v>
      </c>
      <c r="C137" s="100" t="s">
        <v>612</v>
      </c>
      <c r="D137" s="100" t="s">
        <v>445</v>
      </c>
      <c r="E137" s="100" t="s">
        <v>147</v>
      </c>
      <c r="F137" s="100" t="s">
        <v>236</v>
      </c>
    </row>
    <row r="138" spans="1:6">
      <c r="A138" s="100" t="s">
        <v>5983</v>
      </c>
      <c r="B138" s="100">
        <v>150</v>
      </c>
      <c r="C138" s="100" t="s">
        <v>612</v>
      </c>
      <c r="D138" s="100" t="s">
        <v>437</v>
      </c>
      <c r="E138" s="100" t="s">
        <v>147</v>
      </c>
      <c r="F138" s="100" t="s">
        <v>237</v>
      </c>
    </row>
    <row r="139" spans="1:6">
      <c r="A139" s="100" t="s">
        <v>5985</v>
      </c>
      <c r="B139" s="100">
        <v>151</v>
      </c>
      <c r="C139" s="100" t="s">
        <v>612</v>
      </c>
      <c r="D139" s="100" t="s">
        <v>445</v>
      </c>
      <c r="E139" s="100" t="s">
        <v>147</v>
      </c>
      <c r="F139" s="100" t="s">
        <v>237</v>
      </c>
    </row>
    <row r="140" spans="1:6">
      <c r="A140" s="100" t="s">
        <v>6032</v>
      </c>
      <c r="B140" s="100">
        <v>152</v>
      </c>
      <c r="C140" s="100" t="s">
        <v>612</v>
      </c>
      <c r="D140" s="100" t="s">
        <v>368</v>
      </c>
      <c r="E140" s="100" t="s">
        <v>142</v>
      </c>
      <c r="F140" s="100" t="s">
        <v>226</v>
      </c>
    </row>
    <row r="141" spans="1:6">
      <c r="A141" s="100" t="s">
        <v>6036</v>
      </c>
      <c r="B141" s="100">
        <v>153</v>
      </c>
      <c r="C141" s="100" t="s">
        <v>612</v>
      </c>
      <c r="D141" s="100" t="s">
        <v>367</v>
      </c>
      <c r="E141" s="100" t="s">
        <v>142</v>
      </c>
      <c r="F141" s="100" t="s">
        <v>231</v>
      </c>
    </row>
    <row r="142" spans="1:6">
      <c r="A142" s="100" t="s">
        <v>5906</v>
      </c>
      <c r="B142" s="100">
        <v>155</v>
      </c>
      <c r="C142" s="100" t="s">
        <v>613</v>
      </c>
      <c r="D142" s="100" t="s">
        <v>184</v>
      </c>
      <c r="E142" s="100" t="s">
        <v>141</v>
      </c>
      <c r="F142" s="100" t="s">
        <v>221</v>
      </c>
    </row>
    <row r="143" spans="1:6">
      <c r="A143" s="100" t="s">
        <v>5921</v>
      </c>
      <c r="B143" s="100">
        <v>156</v>
      </c>
      <c r="C143" s="100" t="s">
        <v>613</v>
      </c>
      <c r="D143" s="100" t="s">
        <v>463</v>
      </c>
      <c r="E143" s="100" t="s">
        <v>144</v>
      </c>
      <c r="F143" s="100" t="s">
        <v>154</v>
      </c>
    </row>
    <row r="144" spans="1:6">
      <c r="A144" s="100" t="s">
        <v>5977</v>
      </c>
      <c r="B144" s="100">
        <v>157</v>
      </c>
      <c r="C144" s="100" t="s">
        <v>613</v>
      </c>
      <c r="D144" s="100" t="s">
        <v>437</v>
      </c>
      <c r="E144" s="100" t="s">
        <v>147</v>
      </c>
      <c r="F144" s="100" t="s">
        <v>232</v>
      </c>
    </row>
    <row r="145" spans="1:6">
      <c r="A145" s="100" t="s">
        <v>5979</v>
      </c>
      <c r="B145" s="100">
        <v>158</v>
      </c>
      <c r="C145" s="100" t="s">
        <v>613</v>
      </c>
      <c r="D145" s="100" t="s">
        <v>445</v>
      </c>
      <c r="E145" s="100" t="s">
        <v>147</v>
      </c>
      <c r="F145" s="100" t="s">
        <v>232</v>
      </c>
    </row>
    <row r="146" spans="1:6">
      <c r="A146" s="100" t="s">
        <v>5984</v>
      </c>
      <c r="B146" s="100">
        <v>159</v>
      </c>
      <c r="C146" s="100" t="s">
        <v>613</v>
      </c>
      <c r="D146" s="100" t="s">
        <v>439</v>
      </c>
      <c r="E146" s="100" t="s">
        <v>147</v>
      </c>
      <c r="F146" s="100" t="s">
        <v>237</v>
      </c>
    </row>
    <row r="147" spans="1:6">
      <c r="A147" s="100" t="s">
        <v>6011</v>
      </c>
      <c r="B147" s="100">
        <v>160</v>
      </c>
      <c r="C147" s="100" t="s">
        <v>613</v>
      </c>
      <c r="D147" s="100" t="s">
        <v>496</v>
      </c>
      <c r="E147" s="100" t="s">
        <v>146</v>
      </c>
      <c r="F147" s="100" t="s">
        <v>298</v>
      </c>
    </row>
    <row r="148" spans="1:6">
      <c r="A148" s="100" t="s">
        <v>6034</v>
      </c>
      <c r="B148" s="100">
        <v>161</v>
      </c>
      <c r="C148" s="100" t="s">
        <v>613</v>
      </c>
      <c r="D148" s="100" t="s">
        <v>376</v>
      </c>
      <c r="E148" s="100" t="s">
        <v>142</v>
      </c>
      <c r="F148" s="100" t="s">
        <v>226</v>
      </c>
    </row>
    <row r="149" spans="1:6">
      <c r="A149" s="100" t="s">
        <v>6037</v>
      </c>
      <c r="B149" s="100">
        <v>162</v>
      </c>
      <c r="C149" s="100" t="s">
        <v>613</v>
      </c>
      <c r="D149" s="100" t="s">
        <v>368</v>
      </c>
      <c r="E149" s="100" t="s">
        <v>142</v>
      </c>
      <c r="F149" s="100" t="s">
        <v>231</v>
      </c>
    </row>
    <row r="150" spans="1:6">
      <c r="A150" s="100" t="s">
        <v>6039</v>
      </c>
      <c r="B150" s="100">
        <v>163</v>
      </c>
      <c r="C150" s="100" t="s">
        <v>613</v>
      </c>
      <c r="D150" s="100" t="s">
        <v>376</v>
      </c>
      <c r="E150" s="100" t="s">
        <v>142</v>
      </c>
      <c r="F150" s="100" t="s">
        <v>231</v>
      </c>
    </row>
    <row r="151" spans="1:6">
      <c r="A151" s="100" t="s">
        <v>6040</v>
      </c>
      <c r="B151" s="100">
        <v>164</v>
      </c>
      <c r="C151" s="100" t="s">
        <v>613</v>
      </c>
      <c r="D151" s="100" t="s">
        <v>363</v>
      </c>
      <c r="E151" s="100" t="s">
        <v>142</v>
      </c>
      <c r="F151" s="100" t="s">
        <v>228</v>
      </c>
    </row>
    <row r="152" spans="1:6">
      <c r="A152" s="100" t="s">
        <v>6041</v>
      </c>
      <c r="B152" s="100">
        <v>165</v>
      </c>
      <c r="C152" s="100" t="s">
        <v>613</v>
      </c>
      <c r="D152" s="100" t="s">
        <v>367</v>
      </c>
      <c r="E152" s="100" t="s">
        <v>142</v>
      </c>
      <c r="F152" s="100" t="s">
        <v>228</v>
      </c>
    </row>
    <row r="153" spans="1:6">
      <c r="A153" s="100" t="s">
        <v>6062</v>
      </c>
      <c r="B153" s="100">
        <v>166</v>
      </c>
      <c r="C153" s="100" t="s">
        <v>613</v>
      </c>
      <c r="D153" s="100" t="s">
        <v>274</v>
      </c>
      <c r="E153" s="100" t="s">
        <v>145</v>
      </c>
      <c r="F153" s="100" t="s">
        <v>254</v>
      </c>
    </row>
    <row r="154" spans="1:6">
      <c r="A154" s="100" t="s">
        <v>6089</v>
      </c>
      <c r="B154" s="100">
        <v>167</v>
      </c>
      <c r="C154" s="100" t="s">
        <v>613</v>
      </c>
      <c r="D154" s="100" t="s">
        <v>292</v>
      </c>
      <c r="E154" s="100" t="s">
        <v>145</v>
      </c>
      <c r="F154" s="100" t="s">
        <v>253</v>
      </c>
    </row>
    <row r="155" spans="1:6">
      <c r="A155" s="100" t="s">
        <v>6105</v>
      </c>
      <c r="B155" s="100">
        <v>168</v>
      </c>
      <c r="C155" s="100" t="s">
        <v>613</v>
      </c>
      <c r="D155" s="100" t="s">
        <v>320</v>
      </c>
      <c r="E155" s="100" t="s">
        <v>150</v>
      </c>
      <c r="F155" s="100" t="s">
        <v>308</v>
      </c>
    </row>
    <row r="156" spans="1:6">
      <c r="A156" s="100" t="s">
        <v>6110</v>
      </c>
      <c r="B156" s="100">
        <v>169</v>
      </c>
      <c r="C156" s="100" t="s">
        <v>613</v>
      </c>
      <c r="D156" s="100" t="s">
        <v>320</v>
      </c>
      <c r="E156" s="100" t="s">
        <v>150</v>
      </c>
      <c r="F156" s="100" t="s">
        <v>313</v>
      </c>
    </row>
    <row r="157" spans="1:6">
      <c r="A157" s="100" t="s">
        <v>6113</v>
      </c>
      <c r="B157" s="100">
        <v>170</v>
      </c>
      <c r="C157" s="100" t="s">
        <v>613</v>
      </c>
      <c r="D157" s="100" t="s">
        <v>320</v>
      </c>
      <c r="E157" s="100" t="s">
        <v>150</v>
      </c>
      <c r="F157" s="100" t="s">
        <v>316</v>
      </c>
    </row>
    <row r="158" spans="1:6">
      <c r="A158" s="100" t="s">
        <v>5883</v>
      </c>
      <c r="B158" s="100">
        <v>172</v>
      </c>
      <c r="C158" s="100" t="s">
        <v>614</v>
      </c>
      <c r="D158" s="100" t="s">
        <v>557</v>
      </c>
      <c r="E158" s="100" t="s">
        <v>139</v>
      </c>
      <c r="F158" s="100" t="s">
        <v>178</v>
      </c>
    </row>
    <row r="159" spans="1:6">
      <c r="A159" s="100" t="s">
        <v>6090</v>
      </c>
      <c r="B159" s="100">
        <v>173</v>
      </c>
      <c r="C159" s="100" t="s">
        <v>614</v>
      </c>
      <c r="D159" s="100" t="s">
        <v>294</v>
      </c>
      <c r="E159" s="100" t="s">
        <v>145</v>
      </c>
      <c r="F159" s="100" t="s">
        <v>253</v>
      </c>
    </row>
    <row r="160" spans="1:6">
      <c r="A160" s="100" t="s">
        <v>5943</v>
      </c>
      <c r="B160" s="100">
        <v>174</v>
      </c>
      <c r="C160" s="100" t="s">
        <v>614</v>
      </c>
      <c r="D160" s="100" t="s">
        <v>431</v>
      </c>
      <c r="E160" s="100" t="s">
        <v>138</v>
      </c>
      <c r="F160" s="100" t="s">
        <v>174</v>
      </c>
    </row>
    <row r="161" spans="1:6">
      <c r="A161" s="100" t="s">
        <v>5944</v>
      </c>
      <c r="B161" s="100">
        <v>175</v>
      </c>
      <c r="C161" s="100" t="s">
        <v>614</v>
      </c>
      <c r="D161" s="100" t="s">
        <v>73</v>
      </c>
      <c r="E161" s="100" t="s">
        <v>138</v>
      </c>
      <c r="F161" s="100" t="s">
        <v>175</v>
      </c>
    </row>
    <row r="162" spans="1:6">
      <c r="A162" s="100" t="s">
        <v>5966</v>
      </c>
      <c r="B162" s="100">
        <v>176</v>
      </c>
      <c r="C162" s="100" t="s">
        <v>614</v>
      </c>
      <c r="D162" s="100" t="s">
        <v>439</v>
      </c>
      <c r="E162" s="100" t="s">
        <v>147</v>
      </c>
      <c r="F162" s="100" t="s">
        <v>236</v>
      </c>
    </row>
    <row r="163" spans="1:6">
      <c r="A163" s="100" t="s">
        <v>5971</v>
      </c>
      <c r="B163" s="100">
        <v>177</v>
      </c>
      <c r="C163" s="100" t="s">
        <v>614</v>
      </c>
      <c r="D163" s="100" t="s">
        <v>437</v>
      </c>
      <c r="E163" s="100" t="s">
        <v>146</v>
      </c>
      <c r="F163" s="100" t="s">
        <v>234</v>
      </c>
    </row>
    <row r="164" spans="1:6">
      <c r="A164" s="100" t="s">
        <v>5978</v>
      </c>
      <c r="B164" s="100">
        <v>178</v>
      </c>
      <c r="C164" s="100" t="s">
        <v>614</v>
      </c>
      <c r="D164" s="100" t="s">
        <v>439</v>
      </c>
      <c r="E164" s="100" t="s">
        <v>147</v>
      </c>
      <c r="F164" s="100" t="s">
        <v>232</v>
      </c>
    </row>
    <row r="165" spans="1:6">
      <c r="A165" s="100" t="s">
        <v>5986</v>
      </c>
      <c r="B165" s="100">
        <v>179</v>
      </c>
      <c r="C165" s="100" t="s">
        <v>614</v>
      </c>
      <c r="D165" s="100" t="s">
        <v>440</v>
      </c>
      <c r="E165" s="100" t="s">
        <v>147</v>
      </c>
      <c r="F165" s="100" t="s">
        <v>237</v>
      </c>
    </row>
    <row r="166" spans="1:6">
      <c r="A166" s="100" t="s">
        <v>5988</v>
      </c>
      <c r="B166" s="100">
        <v>180</v>
      </c>
      <c r="C166" s="100" t="s">
        <v>614</v>
      </c>
      <c r="D166" s="100" t="s">
        <v>184</v>
      </c>
      <c r="E166" s="100" t="s">
        <v>147</v>
      </c>
      <c r="F166" s="100" t="s">
        <v>237</v>
      </c>
    </row>
    <row r="167" spans="1:6">
      <c r="A167" s="100" t="s">
        <v>6042</v>
      </c>
      <c r="B167" s="100">
        <v>181</v>
      </c>
      <c r="C167" s="100" t="s">
        <v>614</v>
      </c>
      <c r="D167" s="100" t="s">
        <v>368</v>
      </c>
      <c r="E167" s="100" t="s">
        <v>142</v>
      </c>
      <c r="F167" s="100" t="s">
        <v>228</v>
      </c>
    </row>
    <row r="168" spans="1:6">
      <c r="A168" s="100" t="s">
        <v>6045</v>
      </c>
      <c r="B168" s="100">
        <v>182</v>
      </c>
      <c r="C168" s="100" t="s">
        <v>614</v>
      </c>
      <c r="D168" s="100" t="s">
        <v>369</v>
      </c>
      <c r="E168" s="100" t="s">
        <v>142</v>
      </c>
      <c r="F168" s="100" t="s">
        <v>230</v>
      </c>
    </row>
    <row r="169" spans="1:6">
      <c r="A169" s="100" t="s">
        <v>6057</v>
      </c>
      <c r="B169" s="100">
        <v>183</v>
      </c>
      <c r="C169" s="100" t="s">
        <v>614</v>
      </c>
      <c r="D169" s="100" t="s">
        <v>269</v>
      </c>
      <c r="E169" s="100" t="s">
        <v>145</v>
      </c>
      <c r="F169" s="100" t="s">
        <v>248</v>
      </c>
    </row>
    <row r="170" spans="1:6">
      <c r="A170" s="100" t="s">
        <v>6063</v>
      </c>
      <c r="B170" s="100">
        <v>184</v>
      </c>
      <c r="C170" s="100" t="s">
        <v>614</v>
      </c>
      <c r="D170" s="100" t="s">
        <v>275</v>
      </c>
      <c r="E170" s="100" t="s">
        <v>145</v>
      </c>
      <c r="F170" s="100" t="s">
        <v>254</v>
      </c>
    </row>
    <row r="171" spans="1:6">
      <c r="A171" s="100" t="s">
        <v>6091</v>
      </c>
      <c r="B171" s="100">
        <v>185</v>
      </c>
      <c r="C171" s="100" t="s">
        <v>614</v>
      </c>
      <c r="D171" s="100" t="s">
        <v>293</v>
      </c>
      <c r="E171" s="100" t="s">
        <v>145</v>
      </c>
      <c r="F171" s="100" t="s">
        <v>253</v>
      </c>
    </row>
    <row r="172" spans="1:6">
      <c r="A172" s="100" t="s">
        <v>6092</v>
      </c>
      <c r="B172" s="100">
        <v>186</v>
      </c>
      <c r="C172" s="100" t="s">
        <v>614</v>
      </c>
      <c r="D172" s="100" t="s">
        <v>283</v>
      </c>
      <c r="E172" s="100" t="s">
        <v>145</v>
      </c>
      <c r="F172" s="100" t="s">
        <v>253</v>
      </c>
    </row>
    <row r="173" spans="1:6">
      <c r="A173" s="100" t="s">
        <v>6093</v>
      </c>
      <c r="B173" s="100">
        <v>187</v>
      </c>
      <c r="C173" s="100" t="s">
        <v>614</v>
      </c>
      <c r="D173" s="100" t="s">
        <v>98</v>
      </c>
      <c r="E173" s="100" t="s">
        <v>145</v>
      </c>
      <c r="F173" s="100" t="s">
        <v>253</v>
      </c>
    </row>
    <row r="174" spans="1:6">
      <c r="A174" s="100" t="s">
        <v>6104</v>
      </c>
      <c r="B174" s="100">
        <v>188</v>
      </c>
      <c r="C174" s="100" t="s">
        <v>614</v>
      </c>
      <c r="D174" s="100" t="s">
        <v>320</v>
      </c>
      <c r="E174" s="100" t="s">
        <v>150</v>
      </c>
      <c r="F174" s="100" t="s">
        <v>307</v>
      </c>
    </row>
    <row r="175" spans="1:6">
      <c r="A175" s="100" t="s">
        <v>6106</v>
      </c>
      <c r="B175" s="100">
        <v>189</v>
      </c>
      <c r="C175" s="100" t="s">
        <v>614</v>
      </c>
      <c r="D175" s="100" t="s">
        <v>320</v>
      </c>
      <c r="E175" s="100" t="s">
        <v>150</v>
      </c>
      <c r="F175" s="100" t="s">
        <v>309</v>
      </c>
    </row>
    <row r="176" spans="1:6">
      <c r="A176" s="100" t="s">
        <v>6107</v>
      </c>
      <c r="B176" s="100">
        <v>190</v>
      </c>
      <c r="C176" s="100" t="s">
        <v>614</v>
      </c>
      <c r="D176" s="100" t="s">
        <v>320</v>
      </c>
      <c r="E176" s="100" t="s">
        <v>150</v>
      </c>
      <c r="F176" s="100" t="s">
        <v>310</v>
      </c>
    </row>
    <row r="177" spans="1:6">
      <c r="A177" s="100" t="s">
        <v>6112</v>
      </c>
      <c r="B177" s="100">
        <v>191</v>
      </c>
      <c r="C177" s="100" t="s">
        <v>614</v>
      </c>
      <c r="D177" s="100" t="s">
        <v>320</v>
      </c>
      <c r="E177" s="100" t="s">
        <v>150</v>
      </c>
      <c r="F177" s="100" t="s">
        <v>315</v>
      </c>
    </row>
    <row r="178" spans="1:6">
      <c r="A178" s="100" t="s">
        <v>5918</v>
      </c>
      <c r="B178" s="100">
        <v>193</v>
      </c>
      <c r="C178" s="100" t="s">
        <v>615</v>
      </c>
      <c r="D178" s="100" t="s">
        <v>184</v>
      </c>
      <c r="E178" s="100" t="s">
        <v>141</v>
      </c>
      <c r="F178" s="100" t="s">
        <v>222</v>
      </c>
    </row>
    <row r="179" spans="1:6">
      <c r="A179" s="100" t="s">
        <v>5942</v>
      </c>
      <c r="B179" s="100">
        <v>194</v>
      </c>
      <c r="C179" s="100" t="s">
        <v>615</v>
      </c>
      <c r="D179" s="100" t="s">
        <v>449</v>
      </c>
      <c r="E179" s="100" t="s">
        <v>138</v>
      </c>
      <c r="F179" s="100" t="s">
        <v>176</v>
      </c>
    </row>
    <row r="180" spans="1:6">
      <c r="A180" s="100" t="s">
        <v>5945</v>
      </c>
      <c r="B180" s="100">
        <v>195</v>
      </c>
      <c r="C180" s="100" t="s">
        <v>615</v>
      </c>
      <c r="D180" s="100" t="s">
        <v>73</v>
      </c>
      <c r="E180" s="100" t="s">
        <v>138</v>
      </c>
      <c r="F180" s="100" t="s">
        <v>174</v>
      </c>
    </row>
    <row r="181" spans="1:6">
      <c r="A181" s="100" t="s">
        <v>5959</v>
      </c>
      <c r="B181" s="100">
        <v>196</v>
      </c>
      <c r="C181" s="100" t="s">
        <v>615</v>
      </c>
      <c r="D181" s="100" t="s">
        <v>437</v>
      </c>
      <c r="E181" s="100" t="s">
        <v>146</v>
      </c>
      <c r="F181" s="100" t="s">
        <v>233</v>
      </c>
    </row>
    <row r="182" spans="1:6">
      <c r="A182" s="100" t="s">
        <v>5968</v>
      </c>
      <c r="B182" s="100">
        <v>197</v>
      </c>
      <c r="C182" s="100" t="s">
        <v>615</v>
      </c>
      <c r="D182" s="100" t="s">
        <v>440</v>
      </c>
      <c r="E182" s="100" t="s">
        <v>147</v>
      </c>
      <c r="F182" s="100" t="s">
        <v>236</v>
      </c>
    </row>
    <row r="183" spans="1:6">
      <c r="A183" s="100" t="s">
        <v>5980</v>
      </c>
      <c r="B183" s="100">
        <v>198</v>
      </c>
      <c r="C183" s="100" t="s">
        <v>615</v>
      </c>
      <c r="D183" s="100" t="s">
        <v>440</v>
      </c>
      <c r="E183" s="100" t="s">
        <v>147</v>
      </c>
      <c r="F183" s="100" t="s">
        <v>232</v>
      </c>
    </row>
    <row r="184" spans="1:6">
      <c r="A184" s="100" t="s">
        <v>6027</v>
      </c>
      <c r="B184" s="100">
        <v>199</v>
      </c>
      <c r="C184" s="100" t="s">
        <v>615</v>
      </c>
      <c r="D184" s="100" t="s">
        <v>368</v>
      </c>
      <c r="E184" s="100" t="s">
        <v>142</v>
      </c>
      <c r="F184" s="100" t="s">
        <v>227</v>
      </c>
    </row>
    <row r="185" spans="1:6">
      <c r="A185" s="100" t="s">
        <v>6044</v>
      </c>
      <c r="B185" s="100">
        <v>200</v>
      </c>
      <c r="C185" s="100" t="s">
        <v>615</v>
      </c>
      <c r="D185" s="100" t="s">
        <v>376</v>
      </c>
      <c r="E185" s="100" t="s">
        <v>142</v>
      </c>
      <c r="F185" s="100" t="s">
        <v>228</v>
      </c>
    </row>
    <row r="186" spans="1:6">
      <c r="A186" s="100" t="s">
        <v>6102</v>
      </c>
      <c r="B186" s="100">
        <v>201</v>
      </c>
      <c r="C186" s="100" t="s">
        <v>615</v>
      </c>
      <c r="D186" s="100" t="s">
        <v>320</v>
      </c>
      <c r="E186" s="100" t="s">
        <v>150</v>
      </c>
      <c r="F186" s="100" t="s">
        <v>305</v>
      </c>
    </row>
    <row r="187" spans="1:6">
      <c r="A187" s="100" t="s">
        <v>6103</v>
      </c>
      <c r="B187" s="100">
        <v>202</v>
      </c>
      <c r="C187" s="100" t="s">
        <v>615</v>
      </c>
      <c r="D187" s="100" t="s">
        <v>320</v>
      </c>
      <c r="E187" s="100" t="s">
        <v>150</v>
      </c>
      <c r="F187" s="100" t="s">
        <v>306</v>
      </c>
    </row>
    <row r="188" spans="1:6">
      <c r="A188" s="100" t="s">
        <v>5961</v>
      </c>
      <c r="B188" s="100">
        <v>204</v>
      </c>
      <c r="C188" s="100" t="s">
        <v>616</v>
      </c>
      <c r="D188" s="100" t="s">
        <v>445</v>
      </c>
      <c r="E188" s="100" t="s">
        <v>146</v>
      </c>
      <c r="F188" s="100" t="s">
        <v>233</v>
      </c>
    </row>
    <row r="189" spans="1:6">
      <c r="A189" s="100" t="s">
        <v>5970</v>
      </c>
      <c r="B189" s="100">
        <v>205</v>
      </c>
      <c r="C189" s="100" t="s">
        <v>616</v>
      </c>
      <c r="D189" s="100" t="s">
        <v>184</v>
      </c>
      <c r="E189" s="100" t="s">
        <v>147</v>
      </c>
      <c r="F189" s="100" t="s">
        <v>236</v>
      </c>
    </row>
    <row r="190" spans="1:6">
      <c r="A190" s="100" t="s">
        <v>5972</v>
      </c>
      <c r="B190" s="100">
        <v>206</v>
      </c>
      <c r="C190" s="100" t="s">
        <v>616</v>
      </c>
      <c r="D190" s="100" t="s">
        <v>439</v>
      </c>
      <c r="E190" s="100" t="s">
        <v>146</v>
      </c>
      <c r="F190" s="100" t="s">
        <v>234</v>
      </c>
    </row>
    <row r="191" spans="1:6">
      <c r="A191" s="100" t="s">
        <v>5982</v>
      </c>
      <c r="B191" s="100">
        <v>207</v>
      </c>
      <c r="C191" s="100" t="s">
        <v>616</v>
      </c>
      <c r="D191" s="100" t="s">
        <v>184</v>
      </c>
      <c r="E191" s="100" t="s">
        <v>147</v>
      </c>
      <c r="F191" s="100" t="s">
        <v>232</v>
      </c>
    </row>
    <row r="192" spans="1:6">
      <c r="A192" s="100" t="s">
        <v>6029</v>
      </c>
      <c r="B192" s="100">
        <v>208</v>
      </c>
      <c r="C192" s="100" t="s">
        <v>616</v>
      </c>
      <c r="D192" s="100" t="s">
        <v>376</v>
      </c>
      <c r="E192" s="100" t="s">
        <v>142</v>
      </c>
      <c r="F192" s="100" t="s">
        <v>227</v>
      </c>
    </row>
    <row r="193" spans="1:6">
      <c r="A193" s="100" t="s">
        <v>6109</v>
      </c>
      <c r="B193" s="100">
        <v>209</v>
      </c>
      <c r="C193" s="100" t="s">
        <v>616</v>
      </c>
      <c r="D193" s="100" t="s">
        <v>320</v>
      </c>
      <c r="E193" s="100" t="s">
        <v>150</v>
      </c>
      <c r="F193" s="100" t="s">
        <v>312</v>
      </c>
    </row>
    <row r="194" spans="1:6">
      <c r="A194" s="100" t="s">
        <v>5960</v>
      </c>
      <c r="B194" s="100">
        <v>211</v>
      </c>
      <c r="C194" s="100" t="s">
        <v>617</v>
      </c>
      <c r="D194" s="100" t="s">
        <v>439</v>
      </c>
      <c r="E194" s="100" t="s">
        <v>146</v>
      </c>
      <c r="F194" s="100" t="s">
        <v>233</v>
      </c>
    </row>
    <row r="195" spans="1:6">
      <c r="A195" s="100" t="s">
        <v>5974</v>
      </c>
      <c r="B195" s="100">
        <v>212</v>
      </c>
      <c r="C195" s="100" t="s">
        <v>617</v>
      </c>
      <c r="D195" s="100" t="s">
        <v>440</v>
      </c>
      <c r="E195" s="100" t="s">
        <v>146</v>
      </c>
      <c r="F195" s="100" t="s">
        <v>234</v>
      </c>
    </row>
    <row r="196" spans="1:6">
      <c r="A196" s="100" t="s">
        <v>5962</v>
      </c>
      <c r="B196" s="100">
        <v>214</v>
      </c>
      <c r="C196" s="100" t="s">
        <v>618</v>
      </c>
      <c r="D196" s="100" t="s">
        <v>440</v>
      </c>
      <c r="E196" s="100" t="s">
        <v>146</v>
      </c>
      <c r="F196" s="100" t="s">
        <v>233</v>
      </c>
    </row>
    <row r="197" spans="1:6">
      <c r="A197" s="100" t="s">
        <v>6117</v>
      </c>
      <c r="B197" s="100">
        <v>215</v>
      </c>
      <c r="C197" s="100" t="s">
        <v>618</v>
      </c>
      <c r="D197" s="100" t="s">
        <v>488</v>
      </c>
      <c r="E197" s="100" t="s">
        <v>149</v>
      </c>
      <c r="F197" s="100" t="s">
        <v>322</v>
      </c>
    </row>
    <row r="198" spans="1:6">
      <c r="A198" s="100" t="s">
        <v>5964</v>
      </c>
      <c r="B198" s="100">
        <v>217</v>
      </c>
      <c r="C198" s="100" t="s">
        <v>619</v>
      </c>
      <c r="D198" s="100" t="s">
        <v>184</v>
      </c>
      <c r="E198" s="100" t="s">
        <v>146</v>
      </c>
      <c r="F198" s="100" t="s">
        <v>233</v>
      </c>
    </row>
    <row r="199" spans="1:6">
      <c r="A199" s="100" t="s">
        <v>5976</v>
      </c>
      <c r="B199" s="100">
        <v>218</v>
      </c>
      <c r="C199" s="100" t="s">
        <v>619</v>
      </c>
      <c r="D199" s="100" t="s">
        <v>184</v>
      </c>
      <c r="E199" s="100" t="s">
        <v>146</v>
      </c>
      <c r="F199" s="100" t="s">
        <v>234</v>
      </c>
    </row>
    <row r="200" spans="1:6">
      <c r="A200" s="100" t="s">
        <v>6058</v>
      </c>
      <c r="B200" s="100">
        <v>219</v>
      </c>
      <c r="C200" s="100" t="s">
        <v>619</v>
      </c>
      <c r="D200" s="100" t="s">
        <v>270</v>
      </c>
      <c r="E200" s="100" t="s">
        <v>145</v>
      </c>
      <c r="F200" s="100" t="s">
        <v>254</v>
      </c>
    </row>
    <row r="201" spans="1:6">
      <c r="A201" s="100" t="s">
        <v>6059</v>
      </c>
      <c r="B201" s="100">
        <v>220</v>
      </c>
      <c r="C201" s="100" t="s">
        <v>619</v>
      </c>
      <c r="D201" s="100" t="s">
        <v>271</v>
      </c>
      <c r="E201" s="100" t="s">
        <v>145</v>
      </c>
      <c r="F201" s="100" t="s">
        <v>254</v>
      </c>
    </row>
    <row r="202" spans="1:6">
      <c r="A202" s="100" t="s">
        <v>5905</v>
      </c>
      <c r="B202" s="100">
        <v>222</v>
      </c>
      <c r="C202" s="100" t="s">
        <v>5847</v>
      </c>
      <c r="D202" s="100" t="s">
        <v>440</v>
      </c>
      <c r="E202" s="100" t="s">
        <v>141</v>
      </c>
      <c r="F202" s="100" t="s">
        <v>221</v>
      </c>
    </row>
    <row r="203" spans="1:6">
      <c r="A203" s="100" t="s">
        <v>5854</v>
      </c>
      <c r="B203" s="100">
        <v>223</v>
      </c>
      <c r="C203" s="100" t="s">
        <v>5855</v>
      </c>
      <c r="D203" s="100" t="s">
        <v>3908</v>
      </c>
      <c r="E203" s="100" t="s">
        <v>139</v>
      </c>
      <c r="F203" s="100" t="s">
        <v>179</v>
      </c>
    </row>
    <row r="204" spans="1:6">
      <c r="A204" s="100" t="s">
        <v>5856</v>
      </c>
      <c r="B204" s="100">
        <v>224</v>
      </c>
      <c r="C204" s="100" t="s">
        <v>5855</v>
      </c>
      <c r="D204" s="100" t="s">
        <v>3906</v>
      </c>
      <c r="E204" s="100" t="s">
        <v>139</v>
      </c>
      <c r="F204" s="100" t="s">
        <v>179</v>
      </c>
    </row>
    <row r="205" spans="1:6">
      <c r="A205" s="100" t="s">
        <v>5857</v>
      </c>
      <c r="B205" s="100">
        <v>225</v>
      </c>
      <c r="C205" s="100" t="s">
        <v>5855</v>
      </c>
      <c r="D205" s="100" t="s">
        <v>555</v>
      </c>
      <c r="E205" s="100" t="s">
        <v>139</v>
      </c>
      <c r="F205" s="100" t="s">
        <v>178</v>
      </c>
    </row>
    <row r="206" spans="1:6">
      <c r="A206" s="100" t="s">
        <v>5846</v>
      </c>
      <c r="B206" s="100">
        <v>226</v>
      </c>
      <c r="C206" s="100" t="s">
        <v>5847</v>
      </c>
      <c r="D206" s="100" t="s">
        <v>456</v>
      </c>
      <c r="E206" s="100" t="s">
        <v>144</v>
      </c>
      <c r="F206" s="100" t="s">
        <v>154</v>
      </c>
    </row>
    <row r="207" spans="1:6">
      <c r="A207" s="100" t="s">
        <v>5862</v>
      </c>
      <c r="B207" s="100">
        <v>227</v>
      </c>
      <c r="C207" s="100" t="s">
        <v>5847</v>
      </c>
      <c r="D207" s="100" t="s">
        <v>558</v>
      </c>
      <c r="E207" s="100" t="s">
        <v>139</v>
      </c>
      <c r="F207" s="100" t="s">
        <v>178</v>
      </c>
    </row>
    <row r="208" spans="1:6">
      <c r="A208" s="100" t="s">
        <v>5871</v>
      </c>
      <c r="B208" s="100">
        <v>228</v>
      </c>
      <c r="C208" s="100" t="s">
        <v>5847</v>
      </c>
      <c r="D208" s="100" t="s">
        <v>648</v>
      </c>
      <c r="E208" s="100" t="s">
        <v>139</v>
      </c>
      <c r="F208" s="100" t="s">
        <v>179</v>
      </c>
    </row>
    <row r="209" spans="1:6">
      <c r="A209" s="100" t="s">
        <v>5872</v>
      </c>
      <c r="B209" s="100">
        <v>229</v>
      </c>
      <c r="C209" s="100" t="s">
        <v>5847</v>
      </c>
      <c r="D209" s="100" t="s">
        <v>440</v>
      </c>
      <c r="E209" s="100" t="s">
        <v>139</v>
      </c>
      <c r="F209" s="100" t="s">
        <v>179</v>
      </c>
    </row>
    <row r="210" spans="1:6">
      <c r="A210" s="100" t="s">
        <v>5873</v>
      </c>
      <c r="B210" s="100">
        <v>230</v>
      </c>
      <c r="C210" s="100" t="s">
        <v>5847</v>
      </c>
      <c r="D210" s="100" t="s">
        <v>649</v>
      </c>
      <c r="E210" s="100" t="s">
        <v>139</v>
      </c>
      <c r="F210" s="100" t="s">
        <v>179</v>
      </c>
    </row>
    <row r="211" spans="1:6">
      <c r="A211" s="100" t="s">
        <v>5877</v>
      </c>
      <c r="B211" s="100">
        <v>231</v>
      </c>
      <c r="C211" s="100" t="s">
        <v>5847</v>
      </c>
      <c r="D211" s="100" t="s">
        <v>51</v>
      </c>
      <c r="E211" s="100" t="s">
        <v>139</v>
      </c>
      <c r="F211" s="100" t="s">
        <v>178</v>
      </c>
    </row>
    <row r="212" spans="1:6">
      <c r="A212" s="100" t="s">
        <v>5878</v>
      </c>
      <c r="B212" s="100">
        <v>232</v>
      </c>
      <c r="C212" s="100" t="s">
        <v>5847</v>
      </c>
      <c r="D212" s="100" t="s">
        <v>648</v>
      </c>
      <c r="E212" s="100" t="s">
        <v>139</v>
      </c>
      <c r="F212" s="100" t="s">
        <v>178</v>
      </c>
    </row>
    <row r="213" spans="1:6">
      <c r="A213" s="100" t="s">
        <v>5879</v>
      </c>
      <c r="B213" s="100">
        <v>233</v>
      </c>
      <c r="C213" s="100" t="s">
        <v>5847</v>
      </c>
      <c r="D213" s="100" t="s">
        <v>440</v>
      </c>
      <c r="E213" s="100" t="s">
        <v>139</v>
      </c>
      <c r="F213" s="100" t="s">
        <v>178</v>
      </c>
    </row>
    <row r="214" spans="1:6">
      <c r="A214" s="100" t="s">
        <v>5880</v>
      </c>
      <c r="B214" s="100">
        <v>234</v>
      </c>
      <c r="C214" s="100" t="s">
        <v>5847</v>
      </c>
      <c r="D214" s="100" t="s">
        <v>649</v>
      </c>
      <c r="E214" s="100" t="s">
        <v>139</v>
      </c>
      <c r="F214" s="100" t="s">
        <v>178</v>
      </c>
    </row>
    <row r="215" spans="1:6">
      <c r="A215" s="100" t="s">
        <v>5881</v>
      </c>
      <c r="B215" s="100">
        <v>235</v>
      </c>
      <c r="C215" s="100" t="s">
        <v>5847</v>
      </c>
      <c r="D215" s="100" t="s">
        <v>496</v>
      </c>
      <c r="E215" s="100" t="s">
        <v>139</v>
      </c>
      <c r="F215" s="100" t="s">
        <v>179</v>
      </c>
    </row>
    <row r="216" spans="1:6">
      <c r="A216" s="100" t="s">
        <v>5882</v>
      </c>
      <c r="B216" s="100">
        <v>236</v>
      </c>
      <c r="C216" s="100" t="s">
        <v>5847</v>
      </c>
      <c r="D216" s="100" t="s">
        <v>496</v>
      </c>
      <c r="E216" s="100" t="s">
        <v>139</v>
      </c>
      <c r="F216" s="100" t="s">
        <v>178</v>
      </c>
    </row>
    <row r="217" spans="1:6">
      <c r="A217" s="100" t="s">
        <v>5884</v>
      </c>
      <c r="B217" s="100">
        <v>237</v>
      </c>
      <c r="C217" s="100" t="s">
        <v>5847</v>
      </c>
      <c r="D217" s="100" t="s">
        <v>650</v>
      </c>
      <c r="E217" s="100" t="s">
        <v>144</v>
      </c>
      <c r="F217" s="100" t="s">
        <v>154</v>
      </c>
    </row>
    <row r="218" spans="1:6">
      <c r="A218" s="100" t="s">
        <v>5893</v>
      </c>
      <c r="B218" s="100">
        <v>238</v>
      </c>
      <c r="C218" s="100" t="s">
        <v>5847</v>
      </c>
      <c r="D218" s="100" t="s">
        <v>553</v>
      </c>
      <c r="E218" s="100" t="s">
        <v>141</v>
      </c>
      <c r="F218" s="100" t="s">
        <v>209</v>
      </c>
    </row>
    <row r="219" spans="1:6">
      <c r="A219" s="100" t="s">
        <v>5895</v>
      </c>
      <c r="B219" s="100">
        <v>239</v>
      </c>
      <c r="C219" s="100" t="s">
        <v>5847</v>
      </c>
      <c r="D219" s="100" t="s">
        <v>440</v>
      </c>
      <c r="E219" s="100" t="s">
        <v>141</v>
      </c>
      <c r="F219" s="100" t="s">
        <v>209</v>
      </c>
    </row>
    <row r="220" spans="1:6">
      <c r="A220" s="100" t="s">
        <v>5907</v>
      </c>
      <c r="B220" s="100">
        <v>240</v>
      </c>
      <c r="C220" s="100" t="s">
        <v>5847</v>
      </c>
      <c r="D220" s="100" t="s">
        <v>553</v>
      </c>
      <c r="E220" s="100" t="s">
        <v>141</v>
      </c>
      <c r="F220" s="100" t="s">
        <v>221</v>
      </c>
    </row>
    <row r="221" spans="1:6">
      <c r="A221" s="100" t="s">
        <v>5908</v>
      </c>
      <c r="B221" s="100">
        <v>241</v>
      </c>
      <c r="C221" s="100" t="s">
        <v>5847</v>
      </c>
      <c r="D221" s="100" t="s">
        <v>652</v>
      </c>
      <c r="E221" s="100" t="s">
        <v>144</v>
      </c>
      <c r="F221" s="100" t="s">
        <v>154</v>
      </c>
    </row>
    <row r="222" spans="1:6">
      <c r="A222" s="100" t="s">
        <v>5910</v>
      </c>
      <c r="B222" s="100">
        <v>242</v>
      </c>
      <c r="C222" s="100" t="s">
        <v>5847</v>
      </c>
      <c r="D222" s="100" t="s">
        <v>416</v>
      </c>
      <c r="E222" s="100" t="s">
        <v>141</v>
      </c>
      <c r="F222" s="100" t="s">
        <v>222</v>
      </c>
    </row>
    <row r="223" spans="1:6">
      <c r="A223" s="100" t="s">
        <v>5911</v>
      </c>
      <c r="B223" s="100">
        <v>243</v>
      </c>
      <c r="C223" s="100" t="s">
        <v>5847</v>
      </c>
      <c r="D223" s="100" t="s">
        <v>417</v>
      </c>
      <c r="E223" s="100" t="s">
        <v>141</v>
      </c>
      <c r="F223" s="100" t="s">
        <v>222</v>
      </c>
    </row>
    <row r="224" spans="1:6">
      <c r="A224" s="100" t="s">
        <v>5914</v>
      </c>
      <c r="B224" s="100">
        <v>244</v>
      </c>
      <c r="C224" s="100" t="s">
        <v>5847</v>
      </c>
      <c r="D224" s="100" t="s">
        <v>414</v>
      </c>
      <c r="E224" s="100" t="s">
        <v>141</v>
      </c>
      <c r="F224" s="100" t="s">
        <v>222</v>
      </c>
    </row>
    <row r="225" spans="1:6">
      <c r="A225" s="100" t="s">
        <v>5917</v>
      </c>
      <c r="B225" s="100">
        <v>245</v>
      </c>
      <c r="C225" s="100" t="s">
        <v>5847</v>
      </c>
      <c r="D225" s="100" t="s">
        <v>553</v>
      </c>
      <c r="E225" s="100" t="s">
        <v>141</v>
      </c>
      <c r="F225" s="100" t="s">
        <v>222</v>
      </c>
    </row>
    <row r="226" spans="1:6">
      <c r="A226" s="100" t="s">
        <v>5919</v>
      </c>
      <c r="B226" s="100">
        <v>246</v>
      </c>
      <c r="C226" s="100" t="s">
        <v>5847</v>
      </c>
      <c r="D226" s="100" t="s">
        <v>440</v>
      </c>
      <c r="E226" s="100" t="s">
        <v>141</v>
      </c>
      <c r="F226" s="100" t="s">
        <v>222</v>
      </c>
    </row>
    <row r="227" spans="1:6">
      <c r="A227" s="100" t="s">
        <v>5920</v>
      </c>
      <c r="B227" s="100">
        <v>247</v>
      </c>
      <c r="C227" s="100" t="s">
        <v>5847</v>
      </c>
      <c r="D227" s="100" t="s">
        <v>450</v>
      </c>
      <c r="E227" s="100" t="s">
        <v>144</v>
      </c>
      <c r="F227" s="100" t="s">
        <v>154</v>
      </c>
    </row>
    <row r="228" spans="1:6">
      <c r="A228" s="100" t="s">
        <v>5924</v>
      </c>
      <c r="B228" s="100">
        <v>248</v>
      </c>
      <c r="C228" s="100" t="s">
        <v>5847</v>
      </c>
      <c r="D228" s="100" t="s">
        <v>653</v>
      </c>
      <c r="E228" s="100" t="s">
        <v>138</v>
      </c>
      <c r="F228" s="100" t="s">
        <v>175</v>
      </c>
    </row>
    <row r="229" spans="1:6">
      <c r="A229" s="100" t="s">
        <v>5933</v>
      </c>
      <c r="B229" s="100">
        <v>249</v>
      </c>
      <c r="C229" s="100" t="s">
        <v>5847</v>
      </c>
      <c r="D229" s="100" t="s">
        <v>440</v>
      </c>
      <c r="E229" s="100" t="s">
        <v>138</v>
      </c>
      <c r="F229" s="100" t="s">
        <v>175</v>
      </c>
    </row>
    <row r="230" spans="1:6">
      <c r="A230" s="100" t="s">
        <v>5937</v>
      </c>
      <c r="B230" s="100">
        <v>250</v>
      </c>
      <c r="C230" s="100" t="s">
        <v>5847</v>
      </c>
      <c r="D230" s="100" t="s">
        <v>653</v>
      </c>
      <c r="E230" s="100" t="s">
        <v>138</v>
      </c>
      <c r="F230" s="100" t="s">
        <v>174</v>
      </c>
    </row>
    <row r="231" spans="1:6">
      <c r="A231" s="100" t="s">
        <v>5946</v>
      </c>
      <c r="B231" s="100">
        <v>251</v>
      </c>
      <c r="C231" s="100" t="s">
        <v>5847</v>
      </c>
      <c r="D231" s="100" t="s">
        <v>655</v>
      </c>
      <c r="E231" s="100" t="s">
        <v>138</v>
      </c>
      <c r="F231" s="100" t="s">
        <v>174</v>
      </c>
    </row>
    <row r="232" spans="1:6">
      <c r="A232" s="100" t="s">
        <v>5950</v>
      </c>
      <c r="B232" s="100">
        <v>252</v>
      </c>
      <c r="C232" s="100" t="s">
        <v>5847</v>
      </c>
      <c r="D232" s="100" t="s">
        <v>440</v>
      </c>
      <c r="E232" s="100" t="s">
        <v>138</v>
      </c>
      <c r="F232" s="100" t="s">
        <v>174</v>
      </c>
    </row>
    <row r="233" spans="1:6">
      <c r="A233" s="100" t="s">
        <v>5951</v>
      </c>
      <c r="B233" s="100">
        <v>253</v>
      </c>
      <c r="C233" s="100" t="s">
        <v>5847</v>
      </c>
      <c r="D233" s="100" t="s">
        <v>184</v>
      </c>
      <c r="E233" s="100" t="s">
        <v>138</v>
      </c>
      <c r="F233" s="100" t="s">
        <v>151</v>
      </c>
    </row>
    <row r="234" spans="1:6">
      <c r="A234" s="100" t="s">
        <v>5956</v>
      </c>
      <c r="B234" s="100">
        <v>254</v>
      </c>
      <c r="C234" s="100" t="s">
        <v>5847</v>
      </c>
      <c r="D234" s="100" t="s">
        <v>458</v>
      </c>
      <c r="E234" s="100" t="s">
        <v>144</v>
      </c>
      <c r="F234" s="100" t="s">
        <v>154</v>
      </c>
    </row>
    <row r="235" spans="1:6">
      <c r="A235" s="100" t="s">
        <v>5957</v>
      </c>
      <c r="B235" s="100">
        <v>255</v>
      </c>
      <c r="C235" s="100" t="s">
        <v>5847</v>
      </c>
      <c r="D235" s="100" t="s">
        <v>656</v>
      </c>
      <c r="E235" s="100" t="s">
        <v>144</v>
      </c>
      <c r="F235" s="100" t="s">
        <v>154</v>
      </c>
    </row>
    <row r="236" spans="1:6">
      <c r="A236" s="100" t="s">
        <v>5963</v>
      </c>
      <c r="B236" s="100">
        <v>256</v>
      </c>
      <c r="C236" s="100" t="s">
        <v>5847</v>
      </c>
      <c r="D236" s="100" t="s">
        <v>553</v>
      </c>
      <c r="E236" s="100" t="s">
        <v>146</v>
      </c>
      <c r="F236" s="100" t="s">
        <v>233</v>
      </c>
    </row>
    <row r="237" spans="1:6">
      <c r="A237" s="100" t="s">
        <v>5969</v>
      </c>
      <c r="B237" s="100">
        <v>257</v>
      </c>
      <c r="C237" s="100" t="s">
        <v>5847</v>
      </c>
      <c r="D237" s="100" t="s">
        <v>553</v>
      </c>
      <c r="E237" s="100" t="s">
        <v>147</v>
      </c>
      <c r="F237" s="100" t="s">
        <v>236</v>
      </c>
    </row>
    <row r="238" spans="1:6">
      <c r="A238" s="100" t="s">
        <v>5973</v>
      </c>
      <c r="B238" s="100">
        <v>258</v>
      </c>
      <c r="C238" s="100" t="s">
        <v>5847</v>
      </c>
      <c r="D238" s="100" t="s">
        <v>445</v>
      </c>
      <c r="E238" s="100" t="s">
        <v>146</v>
      </c>
      <c r="F238" s="100" t="s">
        <v>234</v>
      </c>
    </row>
    <row r="239" spans="1:6">
      <c r="A239" s="100" t="s">
        <v>5975</v>
      </c>
      <c r="B239" s="100">
        <v>259</v>
      </c>
      <c r="C239" s="100" t="s">
        <v>5847</v>
      </c>
      <c r="D239" s="100" t="s">
        <v>553</v>
      </c>
      <c r="E239" s="100" t="s">
        <v>146</v>
      </c>
      <c r="F239" s="100" t="s">
        <v>234</v>
      </c>
    </row>
    <row r="240" spans="1:6">
      <c r="A240" s="100" t="s">
        <v>5981</v>
      </c>
      <c r="B240" s="100">
        <v>260</v>
      </c>
      <c r="C240" s="100" t="s">
        <v>5847</v>
      </c>
      <c r="D240" s="100" t="s">
        <v>553</v>
      </c>
      <c r="E240" s="100" t="s">
        <v>147</v>
      </c>
      <c r="F240" s="100" t="s">
        <v>232</v>
      </c>
    </row>
    <row r="241" spans="1:6">
      <c r="A241" s="100" t="s">
        <v>5987</v>
      </c>
      <c r="B241" s="100">
        <v>261</v>
      </c>
      <c r="C241" s="100" t="s">
        <v>5847</v>
      </c>
      <c r="D241" s="100" t="s">
        <v>553</v>
      </c>
      <c r="E241" s="100" t="s">
        <v>147</v>
      </c>
      <c r="F241" s="100" t="s">
        <v>237</v>
      </c>
    </row>
    <row r="242" spans="1:6">
      <c r="A242" s="100" t="s">
        <v>5993</v>
      </c>
      <c r="B242" s="100">
        <v>262</v>
      </c>
      <c r="C242" s="100" t="s">
        <v>5847</v>
      </c>
      <c r="D242" s="100" t="s">
        <v>553</v>
      </c>
      <c r="E242" s="100" t="s">
        <v>147</v>
      </c>
      <c r="F242" s="100" t="s">
        <v>238</v>
      </c>
    </row>
    <row r="243" spans="1:6">
      <c r="A243" s="100" t="s">
        <v>5995</v>
      </c>
      <c r="B243" s="100">
        <v>263</v>
      </c>
      <c r="C243" s="100" t="s">
        <v>5847</v>
      </c>
      <c r="D243" s="100" t="s">
        <v>657</v>
      </c>
      <c r="E243" s="100" t="s">
        <v>146</v>
      </c>
      <c r="F243" s="100" t="s">
        <v>235</v>
      </c>
    </row>
    <row r="244" spans="1:6">
      <c r="A244" s="100" t="s">
        <v>5996</v>
      </c>
      <c r="B244" s="100">
        <v>264</v>
      </c>
      <c r="C244" s="100" t="s">
        <v>5847</v>
      </c>
      <c r="D244" s="100" t="s">
        <v>658</v>
      </c>
      <c r="E244" s="100" t="s">
        <v>146</v>
      </c>
      <c r="F244" s="100" t="s">
        <v>235</v>
      </c>
    </row>
    <row r="245" spans="1:6">
      <c r="A245" s="100" t="s">
        <v>5997</v>
      </c>
      <c r="B245" s="100">
        <v>265</v>
      </c>
      <c r="C245" s="100" t="s">
        <v>5847</v>
      </c>
      <c r="D245" s="100" t="s">
        <v>82</v>
      </c>
      <c r="E245" s="100" t="s">
        <v>146</v>
      </c>
      <c r="F245" s="100" t="s">
        <v>235</v>
      </c>
    </row>
    <row r="246" spans="1:6">
      <c r="A246" s="100" t="s">
        <v>5998</v>
      </c>
      <c r="B246" s="100">
        <v>266</v>
      </c>
      <c r="C246" s="100" t="s">
        <v>5847</v>
      </c>
      <c r="D246" s="100" t="s">
        <v>84</v>
      </c>
      <c r="E246" s="100" t="s">
        <v>146</v>
      </c>
      <c r="F246" s="100" t="s">
        <v>156</v>
      </c>
    </row>
    <row r="247" spans="1:6">
      <c r="A247" s="100" t="s">
        <v>5999</v>
      </c>
      <c r="B247" s="100">
        <v>267</v>
      </c>
      <c r="C247" s="100" t="s">
        <v>5847</v>
      </c>
      <c r="D247" s="100" t="s">
        <v>86</v>
      </c>
      <c r="E247" s="100" t="s">
        <v>146</v>
      </c>
      <c r="F247" s="100" t="s">
        <v>156</v>
      </c>
    </row>
    <row r="248" spans="1:6">
      <c r="A248" s="100" t="s">
        <v>6000</v>
      </c>
      <c r="B248" s="100">
        <v>268</v>
      </c>
      <c r="C248" s="100" t="s">
        <v>5847</v>
      </c>
      <c r="D248" s="100" t="s">
        <v>659</v>
      </c>
      <c r="E248" s="100" t="s">
        <v>140</v>
      </c>
      <c r="F248" s="100" t="s">
        <v>208</v>
      </c>
    </row>
    <row r="249" spans="1:6">
      <c r="A249" s="100" t="s">
        <v>6001</v>
      </c>
      <c r="B249" s="100">
        <v>269</v>
      </c>
      <c r="C249" s="100" t="s">
        <v>5847</v>
      </c>
      <c r="D249" s="100" t="s">
        <v>660</v>
      </c>
      <c r="E249" s="100" t="s">
        <v>146</v>
      </c>
      <c r="F249" s="100" t="s">
        <v>296</v>
      </c>
    </row>
    <row r="250" spans="1:6">
      <c r="A250" s="100" t="s">
        <v>6002</v>
      </c>
      <c r="B250" s="100">
        <v>270</v>
      </c>
      <c r="C250" s="100" t="s">
        <v>5847</v>
      </c>
      <c r="D250" s="100" t="s">
        <v>661</v>
      </c>
      <c r="E250" s="100" t="s">
        <v>146</v>
      </c>
      <c r="F250" s="100" t="s">
        <v>297</v>
      </c>
    </row>
    <row r="251" spans="1:6">
      <c r="A251" s="100" t="s">
        <v>6005</v>
      </c>
      <c r="B251" s="100">
        <v>271</v>
      </c>
      <c r="C251" s="100" t="s">
        <v>5847</v>
      </c>
      <c r="D251" s="100" t="s">
        <v>91</v>
      </c>
      <c r="E251" s="100" t="s">
        <v>146</v>
      </c>
      <c r="F251" s="100" t="s">
        <v>300</v>
      </c>
    </row>
    <row r="252" spans="1:6">
      <c r="A252" s="100" t="s">
        <v>6009</v>
      </c>
      <c r="B252" s="100">
        <v>272</v>
      </c>
      <c r="C252" s="100" t="s">
        <v>5847</v>
      </c>
      <c r="D252" s="100" t="s">
        <v>662</v>
      </c>
      <c r="E252" s="100" t="s">
        <v>146</v>
      </c>
      <c r="F252" s="100" t="s">
        <v>299</v>
      </c>
    </row>
    <row r="253" spans="1:6">
      <c r="A253" s="100" t="s">
        <v>6010</v>
      </c>
      <c r="B253" s="100">
        <v>273</v>
      </c>
      <c r="C253" s="100" t="s">
        <v>5847</v>
      </c>
      <c r="D253" s="100" t="s">
        <v>200</v>
      </c>
      <c r="E253" s="100" t="s">
        <v>146</v>
      </c>
      <c r="F253" s="100" t="s">
        <v>298</v>
      </c>
    </row>
    <row r="254" spans="1:6">
      <c r="A254" s="100" t="s">
        <v>6015</v>
      </c>
      <c r="B254" s="100">
        <v>274</v>
      </c>
      <c r="C254" s="100" t="s">
        <v>5847</v>
      </c>
      <c r="D254" s="100" t="s">
        <v>440</v>
      </c>
      <c r="E254" s="100" t="s">
        <v>142</v>
      </c>
      <c r="F254" s="100" t="s">
        <v>223</v>
      </c>
    </row>
    <row r="255" spans="1:6">
      <c r="A255" s="100" t="s">
        <v>6020</v>
      </c>
      <c r="B255" s="100">
        <v>275</v>
      </c>
      <c r="C255" s="100" t="s">
        <v>5847</v>
      </c>
      <c r="D255" s="100" t="s">
        <v>440</v>
      </c>
      <c r="E255" s="100" t="s">
        <v>142</v>
      </c>
      <c r="F255" s="100" t="s">
        <v>224</v>
      </c>
    </row>
    <row r="256" spans="1:6">
      <c r="A256" s="100" t="s">
        <v>6023</v>
      </c>
      <c r="B256" s="100">
        <v>276</v>
      </c>
      <c r="C256" s="100" t="s">
        <v>5847</v>
      </c>
      <c r="D256" s="100" t="s">
        <v>367</v>
      </c>
      <c r="E256" s="100" t="s">
        <v>142</v>
      </c>
      <c r="F256" s="100" t="s">
        <v>225</v>
      </c>
    </row>
    <row r="257" spans="1:6">
      <c r="A257" s="100" t="s">
        <v>6025</v>
      </c>
      <c r="B257" s="100">
        <v>277</v>
      </c>
      <c r="C257" s="100" t="s">
        <v>5847</v>
      </c>
      <c r="D257" s="100" t="s">
        <v>440</v>
      </c>
      <c r="E257" s="100" t="s">
        <v>142</v>
      </c>
      <c r="F257" s="100" t="s">
        <v>225</v>
      </c>
    </row>
    <row r="258" spans="1:6">
      <c r="A258" s="100" t="s">
        <v>6028</v>
      </c>
      <c r="B258" s="100">
        <v>278</v>
      </c>
      <c r="C258" s="100" t="s">
        <v>5847</v>
      </c>
      <c r="D258" s="100" t="s">
        <v>440</v>
      </c>
      <c r="E258" s="100" t="s">
        <v>142</v>
      </c>
      <c r="F258" s="100" t="s">
        <v>227</v>
      </c>
    </row>
    <row r="259" spans="1:6">
      <c r="A259" s="100" t="s">
        <v>6033</v>
      </c>
      <c r="B259" s="100">
        <v>279</v>
      </c>
      <c r="C259" s="100" t="s">
        <v>5847</v>
      </c>
      <c r="D259" s="100" t="s">
        <v>440</v>
      </c>
      <c r="E259" s="100" t="s">
        <v>142</v>
      </c>
      <c r="F259" s="100" t="s">
        <v>226</v>
      </c>
    </row>
    <row r="260" spans="1:6">
      <c r="A260" s="100" t="s">
        <v>6038</v>
      </c>
      <c r="B260" s="100">
        <v>280</v>
      </c>
      <c r="C260" s="100" t="s">
        <v>5847</v>
      </c>
      <c r="D260" s="100" t="s">
        <v>440</v>
      </c>
      <c r="E260" s="100" t="s">
        <v>142</v>
      </c>
      <c r="F260" s="100" t="s">
        <v>231</v>
      </c>
    </row>
    <row r="261" spans="1:6">
      <c r="A261" s="100" t="s">
        <v>6043</v>
      </c>
      <c r="B261" s="100">
        <v>281</v>
      </c>
      <c r="C261" s="100" t="s">
        <v>5847</v>
      </c>
      <c r="D261" s="100" t="s">
        <v>440</v>
      </c>
      <c r="E261" s="100" t="s">
        <v>142</v>
      </c>
      <c r="F261" s="100" t="s">
        <v>228</v>
      </c>
    </row>
    <row r="262" spans="1:6">
      <c r="A262" s="100" t="s">
        <v>6046</v>
      </c>
      <c r="B262" s="100">
        <v>283</v>
      </c>
      <c r="C262" s="100" t="s">
        <v>5847</v>
      </c>
      <c r="D262" s="100" t="s">
        <v>663</v>
      </c>
      <c r="E262" s="100" t="s">
        <v>142</v>
      </c>
      <c r="F262" s="100" t="s">
        <v>152</v>
      </c>
    </row>
    <row r="263" spans="1:6">
      <c r="A263" s="100" t="s">
        <v>6118</v>
      </c>
      <c r="B263" s="100">
        <v>284</v>
      </c>
      <c r="C263" s="100" t="s">
        <v>5847</v>
      </c>
      <c r="D263" s="100" t="s">
        <v>673</v>
      </c>
      <c r="E263" s="100" t="s">
        <v>646</v>
      </c>
      <c r="F263" s="100" t="s">
        <v>647</v>
      </c>
    </row>
    <row r="264" spans="1:6">
      <c r="A264" s="100" t="s">
        <v>6096</v>
      </c>
      <c r="B264" s="100">
        <v>285</v>
      </c>
      <c r="C264" s="100" t="s">
        <v>5847</v>
      </c>
      <c r="D264" s="100" t="s">
        <v>100</v>
      </c>
      <c r="E264" s="100" t="s">
        <v>145</v>
      </c>
      <c r="F264" s="100" t="s">
        <v>155</v>
      </c>
    </row>
    <row r="265" spans="1:6">
      <c r="A265" s="100" t="s">
        <v>6097</v>
      </c>
      <c r="B265" s="100">
        <v>286</v>
      </c>
      <c r="C265" s="100" t="s">
        <v>5847</v>
      </c>
      <c r="D265" s="100" t="s">
        <v>664</v>
      </c>
      <c r="E265" s="100" t="s">
        <v>145</v>
      </c>
      <c r="F265" s="100" t="s">
        <v>155</v>
      </c>
    </row>
    <row r="266" spans="1:6">
      <c r="A266" s="100" t="s">
        <v>6098</v>
      </c>
      <c r="B266" s="100">
        <v>287</v>
      </c>
      <c r="C266" s="100" t="s">
        <v>5847</v>
      </c>
      <c r="D266" s="100" t="s">
        <v>665</v>
      </c>
      <c r="E266" s="100" t="s">
        <v>145</v>
      </c>
      <c r="F266" s="100" t="s">
        <v>155</v>
      </c>
    </row>
    <row r="267" spans="1:6">
      <c r="A267" s="100" t="s">
        <v>6099</v>
      </c>
      <c r="B267" s="100">
        <v>288</v>
      </c>
      <c r="C267" s="100" t="s">
        <v>5847</v>
      </c>
      <c r="D267" s="100" t="s">
        <v>666</v>
      </c>
      <c r="E267" s="100" t="s">
        <v>145</v>
      </c>
      <c r="F267" s="100" t="s">
        <v>155</v>
      </c>
    </row>
    <row r="268" spans="1:6">
      <c r="A268" s="100" t="s">
        <v>6100</v>
      </c>
      <c r="B268" s="100">
        <v>289</v>
      </c>
      <c r="C268" s="100" t="s">
        <v>5847</v>
      </c>
      <c r="D268" s="100" t="s">
        <v>667</v>
      </c>
      <c r="E268" s="100" t="s">
        <v>145</v>
      </c>
      <c r="F268" s="100" t="s">
        <v>155</v>
      </c>
    </row>
    <row r="269" spans="1:6">
      <c r="A269" s="100" t="s">
        <v>6101</v>
      </c>
      <c r="B269" s="100">
        <v>290</v>
      </c>
      <c r="C269" s="100" t="s">
        <v>5847</v>
      </c>
      <c r="D269" s="100" t="s">
        <v>668</v>
      </c>
      <c r="E269" s="100" t="s">
        <v>145</v>
      </c>
      <c r="F269" s="100" t="s">
        <v>155</v>
      </c>
    </row>
    <row r="270" spans="1:6">
      <c r="A270" s="100" t="s">
        <v>6114</v>
      </c>
      <c r="B270" s="100">
        <v>291</v>
      </c>
      <c r="C270" s="100" t="s">
        <v>5847</v>
      </c>
      <c r="D270" s="100" t="s">
        <v>669</v>
      </c>
      <c r="E270" s="100" t="s">
        <v>150</v>
      </c>
      <c r="F270" s="100" t="s">
        <v>317</v>
      </c>
    </row>
    <row r="271" spans="1:6">
      <c r="A271" s="100" t="s">
        <v>6115</v>
      </c>
      <c r="B271" s="100">
        <v>292</v>
      </c>
      <c r="C271" s="100" t="s">
        <v>5847</v>
      </c>
      <c r="D271" s="100" t="s">
        <v>669</v>
      </c>
      <c r="E271" s="100" t="s">
        <v>150</v>
      </c>
      <c r="F271" s="100" t="s">
        <v>318</v>
      </c>
    </row>
    <row r="272" spans="1:6">
      <c r="A272" s="100" t="s">
        <v>6116</v>
      </c>
      <c r="B272" s="100">
        <v>293</v>
      </c>
      <c r="C272" s="100" t="s">
        <v>5847</v>
      </c>
      <c r="D272" s="100" t="s">
        <v>669</v>
      </c>
      <c r="E272" s="100" t="s">
        <v>150</v>
      </c>
      <c r="F272" s="100" t="s">
        <v>319</v>
      </c>
    </row>
    <row r="273" spans="1:6">
      <c r="A273" s="100" t="s">
        <v>6119</v>
      </c>
      <c r="B273" s="100">
        <v>294</v>
      </c>
      <c r="C273" s="100" t="s">
        <v>5847</v>
      </c>
      <c r="D273" s="100" t="s">
        <v>670</v>
      </c>
      <c r="E273" s="100" t="s">
        <v>646</v>
      </c>
      <c r="F273" s="100" t="s">
        <v>647</v>
      </c>
    </row>
    <row r="274" spans="1:6">
      <c r="A274" s="100" t="s">
        <v>6120</v>
      </c>
      <c r="B274" s="100">
        <v>295</v>
      </c>
      <c r="C274" s="100" t="s">
        <v>5847</v>
      </c>
      <c r="D274" s="100" t="s">
        <v>671</v>
      </c>
      <c r="E274" s="100" t="s">
        <v>646</v>
      </c>
      <c r="F274" s="100" t="s">
        <v>647</v>
      </c>
    </row>
    <row r="275" spans="1:6">
      <c r="A275" s="100" t="s">
        <v>6121</v>
      </c>
      <c r="B275" s="100">
        <v>296</v>
      </c>
      <c r="C275" s="100" t="s">
        <v>5847</v>
      </c>
      <c r="D275" s="100" t="s">
        <v>672</v>
      </c>
      <c r="E275" s="100" t="s">
        <v>646</v>
      </c>
      <c r="F275" s="100" t="s">
        <v>647</v>
      </c>
    </row>
    <row r="276" spans="1:6">
      <c r="A276" s="100" t="s">
        <v>6122</v>
      </c>
      <c r="B276" s="100">
        <v>297</v>
      </c>
      <c r="C276" s="100" t="s">
        <v>5847</v>
      </c>
      <c r="D276" s="100" t="s">
        <v>114</v>
      </c>
      <c r="E276" s="100" t="s">
        <v>646</v>
      </c>
      <c r="F276" s="100" t="s">
        <v>647</v>
      </c>
    </row>
    <row r="277" spans="1:6">
      <c r="A277" s="100" t="s">
        <v>6123</v>
      </c>
      <c r="B277" s="100">
        <v>298</v>
      </c>
      <c r="C277" s="100" t="s">
        <v>5847</v>
      </c>
      <c r="D277" s="100" t="s">
        <v>674</v>
      </c>
      <c r="E277" s="100" t="s">
        <v>646</v>
      </c>
      <c r="F277" s="100" t="s">
        <v>647</v>
      </c>
    </row>
    <row r="278" spans="1:6">
      <c r="A278" s="100" t="s">
        <v>6124</v>
      </c>
      <c r="B278" s="100">
        <v>299</v>
      </c>
      <c r="C278" s="100" t="s">
        <v>5847</v>
      </c>
      <c r="D278" s="100" t="s">
        <v>675</v>
      </c>
      <c r="E278" s="100" t="s">
        <v>646</v>
      </c>
      <c r="F278" s="100" t="s">
        <v>647</v>
      </c>
    </row>
    <row r="279" spans="1:6">
      <c r="A279" s="100" t="s">
        <v>6125</v>
      </c>
      <c r="B279" s="100">
        <v>300</v>
      </c>
      <c r="C279" s="100" t="s">
        <v>5847</v>
      </c>
      <c r="D279" s="100" t="s">
        <v>281</v>
      </c>
      <c r="E279" s="100" t="s">
        <v>646</v>
      </c>
      <c r="F279" s="100" t="s">
        <v>647</v>
      </c>
    </row>
    <row r="280" spans="1:6">
      <c r="A280" s="100" t="s">
        <v>6126</v>
      </c>
      <c r="B280" s="100">
        <v>301</v>
      </c>
      <c r="C280" s="100" t="s">
        <v>5847</v>
      </c>
      <c r="D280" s="100" t="s">
        <v>119</v>
      </c>
      <c r="E280" s="100" t="s">
        <v>646</v>
      </c>
      <c r="F280" s="100" t="s">
        <v>647</v>
      </c>
    </row>
    <row r="281" spans="1:6">
      <c r="A281" s="100" t="s">
        <v>6127</v>
      </c>
      <c r="B281" s="100">
        <v>302</v>
      </c>
      <c r="C281" s="100" t="s">
        <v>5847</v>
      </c>
      <c r="D281" s="100" t="s">
        <v>676</v>
      </c>
      <c r="E281" s="100" t="s">
        <v>646</v>
      </c>
      <c r="F281" s="100" t="s">
        <v>647</v>
      </c>
    </row>
    <row r="282" spans="1:6">
      <c r="A282" s="100" t="s">
        <v>6128</v>
      </c>
      <c r="B282" s="100">
        <v>303</v>
      </c>
      <c r="C282" s="100" t="s">
        <v>5847</v>
      </c>
      <c r="D282" s="100" t="s">
        <v>677</v>
      </c>
      <c r="E282" s="100" t="s">
        <v>646</v>
      </c>
      <c r="F282" s="100" t="s">
        <v>647</v>
      </c>
    </row>
    <row r="283" spans="1:6">
      <c r="A283" s="100" t="s">
        <v>6129</v>
      </c>
      <c r="B283" s="100">
        <v>304</v>
      </c>
      <c r="C283" s="100" t="s">
        <v>5847</v>
      </c>
      <c r="D283" s="100" t="s">
        <v>375</v>
      </c>
      <c r="E283" s="100" t="s">
        <v>646</v>
      </c>
      <c r="F283" s="100" t="s">
        <v>647</v>
      </c>
    </row>
    <row r="284" spans="1:6">
      <c r="A284" s="100" t="s">
        <v>6130</v>
      </c>
      <c r="B284" s="100">
        <v>305</v>
      </c>
      <c r="C284" s="100" t="s">
        <v>5847</v>
      </c>
      <c r="D284" s="100" t="s">
        <v>678</v>
      </c>
      <c r="E284" s="100" t="s">
        <v>646</v>
      </c>
      <c r="F284" s="100" t="s">
        <v>647</v>
      </c>
    </row>
    <row r="285" spans="1:6">
      <c r="A285" s="100" t="s">
        <v>6131</v>
      </c>
      <c r="B285" s="100">
        <v>306</v>
      </c>
      <c r="C285" s="100" t="s">
        <v>5847</v>
      </c>
      <c r="D285" s="100" t="s">
        <v>679</v>
      </c>
      <c r="E285" s="100" t="s">
        <v>148</v>
      </c>
      <c r="F285" s="100" t="s">
        <v>157</v>
      </c>
    </row>
    <row r="286" spans="1:6">
      <c r="A286" s="100" t="s">
        <v>6132</v>
      </c>
      <c r="B286" s="100">
        <v>307</v>
      </c>
      <c r="C286" s="100" t="s">
        <v>5847</v>
      </c>
      <c r="D286" s="100" t="s">
        <v>680</v>
      </c>
      <c r="E286" s="100" t="s">
        <v>148</v>
      </c>
      <c r="F286" s="100" t="s">
        <v>157</v>
      </c>
    </row>
    <row r="287" spans="1:6">
      <c r="A287" s="100" t="s">
        <v>6133</v>
      </c>
      <c r="B287" s="100">
        <v>308</v>
      </c>
      <c r="C287" s="100" t="s">
        <v>5847</v>
      </c>
      <c r="D287" s="100" t="s">
        <v>128</v>
      </c>
      <c r="E287" s="100" t="s">
        <v>143</v>
      </c>
      <c r="F287" s="100" t="s">
        <v>153</v>
      </c>
    </row>
    <row r="288" spans="1:6">
      <c r="A288" s="100" t="s">
        <v>6134</v>
      </c>
      <c r="B288" s="100">
        <v>309</v>
      </c>
      <c r="C288" s="100" t="s">
        <v>5847</v>
      </c>
      <c r="D288" s="100" t="s">
        <v>130</v>
      </c>
      <c r="E288" s="100" t="s">
        <v>143</v>
      </c>
      <c r="F288" s="100" t="s">
        <v>153</v>
      </c>
    </row>
    <row r="289" spans="1:6">
      <c r="A289" s="100"/>
      <c r="B289" s="100"/>
      <c r="C289" s="100"/>
      <c r="D289" s="100"/>
      <c r="E289" s="100"/>
      <c r="F289" s="100"/>
    </row>
    <row r="290" spans="1:6">
      <c r="A290" s="100"/>
      <c r="B290" s="100"/>
      <c r="C290" s="100"/>
      <c r="D290" s="100"/>
      <c r="E290" s="100"/>
      <c r="F290" s="100"/>
    </row>
    <row r="291" spans="1:6">
      <c r="A291" s="100"/>
      <c r="B291" s="100"/>
      <c r="C291" s="100"/>
      <c r="D291" s="100"/>
      <c r="E291" s="100"/>
      <c r="F291" s="100"/>
    </row>
    <row r="292" spans="1:6">
      <c r="A292" s="100"/>
      <c r="B292" s="100"/>
      <c r="C292" s="100"/>
      <c r="D292" s="100"/>
      <c r="E292" s="100"/>
      <c r="F292" s="100"/>
    </row>
    <row r="293" spans="1:6">
      <c r="A293" s="100"/>
      <c r="B293" s="100"/>
      <c r="C293" s="100"/>
      <c r="D293" s="100"/>
      <c r="E293" s="100"/>
      <c r="F293" s="100"/>
    </row>
    <row r="294" spans="1:6">
      <c r="A294" s="100"/>
      <c r="B294" s="100"/>
      <c r="C294" s="100"/>
      <c r="D294" s="100"/>
      <c r="E294" s="100"/>
      <c r="F294" s="100"/>
    </row>
    <row r="295" spans="1:6">
      <c r="A295" s="100"/>
      <c r="B295" s="100"/>
      <c r="C295" s="100"/>
      <c r="D295" s="100"/>
      <c r="E295" s="100"/>
      <c r="F295" s="100"/>
    </row>
    <row r="296" spans="1:6">
      <c r="A296" s="100"/>
      <c r="B296" s="100"/>
      <c r="C296" s="100"/>
      <c r="D296" s="100"/>
      <c r="E296" s="100"/>
      <c r="F296" s="100"/>
    </row>
    <row r="297" spans="1:6">
      <c r="A297" s="100"/>
      <c r="B297" s="100"/>
      <c r="C297" s="100"/>
      <c r="D297" s="100"/>
      <c r="E297" s="100"/>
      <c r="F297" s="100"/>
    </row>
    <row r="298" spans="1:6">
      <c r="A298" s="100"/>
      <c r="B298" s="100"/>
      <c r="C298" s="100"/>
      <c r="D298" s="100"/>
      <c r="E298" s="100"/>
      <c r="F298" s="100"/>
    </row>
    <row r="299" spans="1:6">
      <c r="A299" s="100"/>
      <c r="B299" s="100"/>
      <c r="C299" s="100"/>
      <c r="D299" s="100"/>
      <c r="E299" s="100"/>
      <c r="F299" s="100"/>
    </row>
    <row r="300" spans="1:6">
      <c r="A300" s="100"/>
      <c r="B300" s="100"/>
      <c r="C300" s="100"/>
      <c r="D300" s="100"/>
      <c r="E300" s="100"/>
      <c r="F300" s="100"/>
    </row>
    <row r="301" spans="1:6">
      <c r="A301" s="100"/>
      <c r="B301" s="100"/>
      <c r="C301" s="100"/>
      <c r="D301" s="100"/>
      <c r="E301" s="100"/>
      <c r="F301" s="100"/>
    </row>
    <row r="302" spans="1:6">
      <c r="A302" s="100"/>
      <c r="B302" s="100"/>
      <c r="C302" s="100"/>
      <c r="D302" s="100"/>
      <c r="E302" s="100"/>
      <c r="F302" s="100"/>
    </row>
    <row r="303" spans="1:6">
      <c r="A303" s="100"/>
      <c r="B303" s="100"/>
      <c r="C303" s="100"/>
      <c r="D303" s="100"/>
      <c r="E303" s="100"/>
      <c r="F303" s="100"/>
    </row>
    <row r="304" spans="1:6">
      <c r="A304" s="100"/>
      <c r="B304" s="100"/>
      <c r="C304" s="100"/>
      <c r="D304" s="100"/>
      <c r="E304" s="100"/>
      <c r="F304" s="100"/>
    </row>
    <row r="305" spans="1:6">
      <c r="A305" s="100"/>
      <c r="B305" s="100"/>
      <c r="C305" s="100"/>
      <c r="D305" s="100"/>
      <c r="E305" s="100"/>
      <c r="F305" s="100"/>
    </row>
    <row r="306" spans="1:6">
      <c r="A306" s="100"/>
      <c r="B306" s="100"/>
      <c r="C306" s="100"/>
      <c r="D306" s="100"/>
      <c r="E306" s="100"/>
      <c r="F306" s="100"/>
    </row>
    <row r="307" spans="1:6">
      <c r="A307" s="100"/>
      <c r="B307" s="100"/>
      <c r="C307" s="100"/>
      <c r="D307" s="100"/>
      <c r="E307" s="100"/>
      <c r="F307" s="100"/>
    </row>
    <row r="308" spans="1:6">
      <c r="A308" s="100"/>
      <c r="B308" s="100"/>
      <c r="C308" s="100"/>
      <c r="D308" s="100"/>
      <c r="E308" s="100"/>
      <c r="F308" s="100"/>
    </row>
    <row r="309" spans="1:6">
      <c r="A309" s="100"/>
      <c r="B309" s="100"/>
      <c r="C309" s="100"/>
      <c r="D309" s="100"/>
      <c r="E309" s="100"/>
      <c r="F309" s="10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F9A58-C9E4-462F-89BF-93B39A3FF07C}">
  <sheetPr codeName="Sheet10"/>
  <dimension ref="A1:AL309"/>
  <sheetViews>
    <sheetView workbookViewId="0"/>
  </sheetViews>
  <sheetFormatPr defaultRowHeight="13.8"/>
  <sheetData>
    <row r="1" spans="1:38">
      <c r="A1" s="100" t="s">
        <v>681</v>
      </c>
      <c r="B1" s="100" t="s">
        <v>682</v>
      </c>
      <c r="C1" s="100" t="s">
        <v>682</v>
      </c>
      <c r="D1" s="100" t="s">
        <v>682</v>
      </c>
      <c r="E1" s="100" t="s">
        <v>682</v>
      </c>
      <c r="F1" s="100" t="s">
        <v>682</v>
      </c>
      <c r="G1" s="100" t="s">
        <v>682</v>
      </c>
      <c r="H1" s="100" t="s">
        <v>682</v>
      </c>
      <c r="I1" s="100" t="s">
        <v>683</v>
      </c>
      <c r="J1" s="100" t="s">
        <v>684</v>
      </c>
      <c r="K1" s="100" t="s">
        <v>685</v>
      </c>
      <c r="L1" s="100" t="s">
        <v>686</v>
      </c>
      <c r="M1" s="100" t="s">
        <v>682</v>
      </c>
      <c r="N1" s="100" t="s">
        <v>682</v>
      </c>
      <c r="O1" s="100" t="s">
        <v>682</v>
      </c>
      <c r="P1" s="100" t="s">
        <v>682</v>
      </c>
      <c r="Q1" s="100" t="s">
        <v>682</v>
      </c>
      <c r="R1" s="100" t="s">
        <v>682</v>
      </c>
      <c r="S1" s="100" t="s">
        <v>682</v>
      </c>
      <c r="T1" s="100" t="s">
        <v>682</v>
      </c>
      <c r="U1" s="100" t="s">
        <v>682</v>
      </c>
      <c r="V1" s="100" t="s">
        <v>682</v>
      </c>
      <c r="W1" s="100" t="s">
        <v>682</v>
      </c>
      <c r="X1" s="100" t="s">
        <v>682</v>
      </c>
      <c r="Y1" s="100" t="s">
        <v>682</v>
      </c>
      <c r="Z1" s="100" t="s">
        <v>682</v>
      </c>
      <c r="AA1" s="100" t="s">
        <v>682</v>
      </c>
      <c r="AB1" s="100" t="s">
        <v>682</v>
      </c>
      <c r="AC1" s="100" t="s">
        <v>682</v>
      </c>
      <c r="AD1" s="100" t="s">
        <v>682</v>
      </c>
      <c r="AE1" s="100" t="s">
        <v>682</v>
      </c>
      <c r="AF1" s="100" t="s">
        <v>682</v>
      </c>
      <c r="AG1" s="100" t="s">
        <v>682</v>
      </c>
      <c r="AH1" s="100" t="s">
        <v>682</v>
      </c>
      <c r="AI1" s="100" t="s">
        <v>682</v>
      </c>
      <c r="AJ1" s="100" t="s">
        <v>682</v>
      </c>
      <c r="AK1" s="100" t="s">
        <v>682</v>
      </c>
      <c r="AL1">
        <v>309</v>
      </c>
    </row>
    <row r="2" spans="1:38" ht="27.6">
      <c r="A2" s="100" t="s">
        <v>687</v>
      </c>
      <c r="B2" s="100" t="s">
        <v>688</v>
      </c>
      <c r="C2" s="100" t="s">
        <v>689</v>
      </c>
      <c r="D2" s="100" t="s">
        <v>690</v>
      </c>
      <c r="E2" s="100" t="s">
        <v>137</v>
      </c>
      <c r="F2" s="100" t="s">
        <v>324</v>
      </c>
      <c r="G2" s="100" t="s">
        <v>325</v>
      </c>
      <c r="H2" s="100" t="s">
        <v>691</v>
      </c>
      <c r="I2" s="100" t="s">
        <v>692</v>
      </c>
      <c r="J2" s="100" t="s">
        <v>693</v>
      </c>
      <c r="K2" s="100" t="s">
        <v>694</v>
      </c>
      <c r="L2" s="100" t="s">
        <v>695</v>
      </c>
      <c r="M2" s="100" t="s">
        <v>696</v>
      </c>
      <c r="N2" s="100" t="s">
        <v>697</v>
      </c>
      <c r="O2" s="100" t="s">
        <v>698</v>
      </c>
      <c r="P2" s="100" t="s">
        <v>699</v>
      </c>
      <c r="Q2" s="100" t="s">
        <v>700</v>
      </c>
      <c r="R2" s="100" t="s">
        <v>701</v>
      </c>
      <c r="S2" s="100" t="s">
        <v>702</v>
      </c>
      <c r="T2" s="100" t="s">
        <v>703</v>
      </c>
      <c r="U2" s="100" t="s">
        <v>704</v>
      </c>
      <c r="V2" s="100" t="s">
        <v>25</v>
      </c>
      <c r="W2" s="100" t="s">
        <v>705</v>
      </c>
      <c r="X2" s="100" t="s">
        <v>706</v>
      </c>
      <c r="Y2" s="100" t="s">
        <v>707</v>
      </c>
      <c r="Z2" s="100" t="s">
        <v>708</v>
      </c>
      <c r="AA2" s="100" t="s">
        <v>709</v>
      </c>
      <c r="AB2" s="100" t="s">
        <v>25</v>
      </c>
      <c r="AC2" s="100" t="s">
        <v>705</v>
      </c>
      <c r="AD2" s="100" t="s">
        <v>682</v>
      </c>
      <c r="AE2" s="100" t="s">
        <v>710</v>
      </c>
      <c r="AF2" s="100" t="s">
        <v>711</v>
      </c>
      <c r="AG2" s="100" t="s">
        <v>712</v>
      </c>
      <c r="AH2" s="102" t="s">
        <v>713</v>
      </c>
      <c r="AI2" s="102" t="s">
        <v>714</v>
      </c>
      <c r="AJ2" s="102" t="s">
        <v>715</v>
      </c>
      <c r="AK2" s="102" t="s">
        <v>716</v>
      </c>
    </row>
    <row r="3" spans="1:38">
      <c r="A3" s="100" t="s">
        <v>682</v>
      </c>
      <c r="B3" s="100" t="s">
        <v>682</v>
      </c>
      <c r="C3" s="100" t="s">
        <v>682</v>
      </c>
      <c r="D3" s="100" t="s">
        <v>682</v>
      </c>
      <c r="E3" s="100" t="s">
        <v>682</v>
      </c>
      <c r="F3" s="100" t="s">
        <v>682</v>
      </c>
      <c r="G3" s="100" t="s">
        <v>682</v>
      </c>
      <c r="H3" s="100" t="s">
        <v>682</v>
      </c>
      <c r="I3" s="100" t="s">
        <v>682</v>
      </c>
      <c r="J3" s="100" t="s">
        <v>682</v>
      </c>
      <c r="K3" s="100" t="s">
        <v>682</v>
      </c>
      <c r="L3" s="100" t="s">
        <v>682</v>
      </c>
      <c r="M3" s="100" t="s">
        <v>682</v>
      </c>
      <c r="N3" s="100" t="s">
        <v>682</v>
      </c>
      <c r="O3" s="100" t="s">
        <v>682</v>
      </c>
      <c r="P3" s="100" t="s">
        <v>682</v>
      </c>
      <c r="Q3" s="100" t="s">
        <v>682</v>
      </c>
      <c r="R3" s="100" t="s">
        <v>682</v>
      </c>
      <c r="S3" s="100" t="s">
        <v>682</v>
      </c>
      <c r="T3" s="100" t="s">
        <v>682</v>
      </c>
      <c r="U3" s="100" t="s">
        <v>682</v>
      </c>
      <c r="V3" s="100" t="s">
        <v>682</v>
      </c>
      <c r="W3" s="100" t="s">
        <v>682</v>
      </c>
      <c r="X3" s="100" t="s">
        <v>682</v>
      </c>
      <c r="Y3" s="100" t="s">
        <v>682</v>
      </c>
      <c r="Z3" s="100" t="s">
        <v>682</v>
      </c>
      <c r="AA3" s="100" t="s">
        <v>682</v>
      </c>
      <c r="AB3" s="100" t="s">
        <v>682</v>
      </c>
      <c r="AC3" s="100" t="s">
        <v>682</v>
      </c>
      <c r="AD3" s="100" t="s">
        <v>682</v>
      </c>
      <c r="AE3" s="100" t="s">
        <v>682</v>
      </c>
      <c r="AF3" s="100" t="s">
        <v>682</v>
      </c>
      <c r="AG3" s="100" t="s">
        <v>682</v>
      </c>
      <c r="AH3" s="100" t="s">
        <v>682</v>
      </c>
      <c r="AI3" s="100" t="s">
        <v>682</v>
      </c>
      <c r="AJ3" s="100" t="s">
        <v>682</v>
      </c>
      <c r="AK3" s="100" t="s">
        <v>682</v>
      </c>
    </row>
    <row r="4" spans="1:38">
      <c r="A4" s="100" t="s">
        <v>717</v>
      </c>
      <c r="B4" s="100" t="s">
        <v>718</v>
      </c>
      <c r="C4" s="100" t="s">
        <v>682</v>
      </c>
      <c r="D4" s="100" t="s">
        <v>745</v>
      </c>
      <c r="E4" s="100" t="s">
        <v>719</v>
      </c>
      <c r="F4" s="100" t="s">
        <v>179</v>
      </c>
      <c r="G4" s="100" t="s">
        <v>3912</v>
      </c>
      <c r="H4" s="100" t="s">
        <v>682</v>
      </c>
      <c r="I4" s="100" t="s">
        <v>4047</v>
      </c>
      <c r="J4" s="100" t="s">
        <v>1931</v>
      </c>
      <c r="K4" s="100" t="s">
        <v>6153</v>
      </c>
      <c r="L4" s="100" t="s">
        <v>682</v>
      </c>
      <c r="M4" s="100" t="s">
        <v>682</v>
      </c>
      <c r="N4" s="100" t="s">
        <v>682</v>
      </c>
      <c r="O4" s="100" t="s">
        <v>6154</v>
      </c>
      <c r="P4" s="100" t="s">
        <v>722</v>
      </c>
      <c r="Q4" s="100" t="s">
        <v>723</v>
      </c>
      <c r="R4" s="100" t="s">
        <v>5079</v>
      </c>
      <c r="S4" s="100" t="s">
        <v>5080</v>
      </c>
      <c r="T4" s="100" t="s">
        <v>4048</v>
      </c>
      <c r="U4" s="100" t="s">
        <v>724</v>
      </c>
      <c r="V4" s="100" t="s">
        <v>725</v>
      </c>
      <c r="W4" s="100" t="s">
        <v>682</v>
      </c>
      <c r="X4" s="100" t="s">
        <v>726</v>
      </c>
      <c r="Y4" s="100" t="s">
        <v>4049</v>
      </c>
      <c r="Z4" s="100" t="s">
        <v>4050</v>
      </c>
      <c r="AA4" s="100" t="s">
        <v>727</v>
      </c>
      <c r="AB4" s="100" t="s">
        <v>728</v>
      </c>
      <c r="AC4" s="100" t="s">
        <v>682</v>
      </c>
      <c r="AD4" s="100" t="s">
        <v>682</v>
      </c>
      <c r="AE4" s="100" t="s">
        <v>43</v>
      </c>
      <c r="AF4" s="100" t="s">
        <v>41</v>
      </c>
      <c r="AG4" s="100" t="s">
        <v>45</v>
      </c>
      <c r="AH4" s="100" t="s">
        <v>729</v>
      </c>
      <c r="AI4" s="100" t="s">
        <v>682</v>
      </c>
      <c r="AJ4" s="100" t="s">
        <v>682</v>
      </c>
      <c r="AK4" s="100" t="s">
        <v>682</v>
      </c>
    </row>
    <row r="5" spans="1:38">
      <c r="A5" s="100" t="s">
        <v>730</v>
      </c>
      <c r="B5" s="100" t="s">
        <v>731</v>
      </c>
      <c r="C5" s="100" t="s">
        <v>682</v>
      </c>
      <c r="D5" s="100" t="s">
        <v>745</v>
      </c>
      <c r="E5" s="100" t="s">
        <v>732</v>
      </c>
      <c r="F5" s="100" t="s">
        <v>178</v>
      </c>
      <c r="G5" s="100" t="s">
        <v>3905</v>
      </c>
      <c r="H5" s="100" t="s">
        <v>682</v>
      </c>
      <c r="I5" s="100" t="s">
        <v>4051</v>
      </c>
      <c r="J5" s="100" t="s">
        <v>3918</v>
      </c>
      <c r="K5" s="100" t="s">
        <v>734</v>
      </c>
      <c r="L5" s="100" t="s">
        <v>682</v>
      </c>
      <c r="M5" s="100" t="s">
        <v>682</v>
      </c>
      <c r="N5" s="100" t="s">
        <v>682</v>
      </c>
      <c r="O5" s="100" t="s">
        <v>6485</v>
      </c>
      <c r="P5" s="100" t="s">
        <v>735</v>
      </c>
      <c r="Q5" s="100" t="s">
        <v>736</v>
      </c>
      <c r="R5" s="100" t="s">
        <v>5081</v>
      </c>
      <c r="S5" s="100" t="s">
        <v>5082</v>
      </c>
      <c r="T5" s="100" t="s">
        <v>4052</v>
      </c>
      <c r="U5" s="100" t="s">
        <v>737</v>
      </c>
      <c r="V5" s="100" t="s">
        <v>738</v>
      </c>
      <c r="W5" s="100" t="s">
        <v>682</v>
      </c>
      <c r="X5" s="100" t="s">
        <v>739</v>
      </c>
      <c r="Y5" s="100" t="s">
        <v>4053</v>
      </c>
      <c r="Z5" s="100" t="s">
        <v>4054</v>
      </c>
      <c r="AA5" s="100" t="s">
        <v>740</v>
      </c>
      <c r="AB5" s="100" t="s">
        <v>741</v>
      </c>
      <c r="AC5" s="100" t="s">
        <v>682</v>
      </c>
      <c r="AD5" s="100" t="s">
        <v>682</v>
      </c>
      <c r="AE5" s="100" t="s">
        <v>43</v>
      </c>
      <c r="AF5" s="100" t="s">
        <v>41</v>
      </c>
      <c r="AG5" s="100" t="s">
        <v>45</v>
      </c>
      <c r="AH5" s="100" t="s">
        <v>742</v>
      </c>
      <c r="AI5" s="100" t="s">
        <v>682</v>
      </c>
      <c r="AJ5" s="100" t="s">
        <v>682</v>
      </c>
      <c r="AK5" s="100" t="s">
        <v>682</v>
      </c>
    </row>
    <row r="6" spans="1:38">
      <c r="A6" s="100" t="s">
        <v>743</v>
      </c>
      <c r="B6" s="100" t="s">
        <v>744</v>
      </c>
      <c r="C6" s="100" t="s">
        <v>682</v>
      </c>
      <c r="D6" s="100" t="s">
        <v>47</v>
      </c>
      <c r="E6" s="100" t="s">
        <v>746</v>
      </c>
      <c r="F6" s="100" t="s">
        <v>179</v>
      </c>
      <c r="G6" s="100" t="s">
        <v>528</v>
      </c>
      <c r="H6" s="100" t="s">
        <v>682</v>
      </c>
      <c r="I6" s="100" t="s">
        <v>4055</v>
      </c>
      <c r="J6" s="100" t="s">
        <v>3918</v>
      </c>
      <c r="K6" s="100" t="s">
        <v>747</v>
      </c>
      <c r="L6" s="100" t="s">
        <v>682</v>
      </c>
      <c r="M6" s="100" t="s">
        <v>682</v>
      </c>
      <c r="N6" s="100" t="s">
        <v>682</v>
      </c>
      <c r="O6" s="100" t="s">
        <v>5083</v>
      </c>
      <c r="P6" s="100" t="s">
        <v>3926</v>
      </c>
      <c r="Q6" s="100" t="s">
        <v>748</v>
      </c>
      <c r="R6" s="100" t="s">
        <v>5084</v>
      </c>
      <c r="S6" s="100" t="s">
        <v>5085</v>
      </c>
      <c r="T6" s="100" t="s">
        <v>4056</v>
      </c>
      <c r="U6" s="100" t="s">
        <v>749</v>
      </c>
      <c r="V6" s="100" t="s">
        <v>750</v>
      </c>
      <c r="W6" s="100" t="s">
        <v>682</v>
      </c>
      <c r="X6" s="100" t="s">
        <v>751</v>
      </c>
      <c r="Y6" s="100" t="s">
        <v>4057</v>
      </c>
      <c r="Z6" s="100" t="s">
        <v>4058</v>
      </c>
      <c r="AA6" s="100" t="s">
        <v>752</v>
      </c>
      <c r="AB6" s="100" t="s">
        <v>753</v>
      </c>
      <c r="AC6" s="100" t="s">
        <v>682</v>
      </c>
      <c r="AD6" s="100" t="s">
        <v>682</v>
      </c>
      <c r="AE6" s="100" t="s">
        <v>43</v>
      </c>
      <c r="AF6" s="100" t="s">
        <v>41</v>
      </c>
      <c r="AG6" s="100" t="s">
        <v>45</v>
      </c>
      <c r="AH6" s="100" t="s">
        <v>754</v>
      </c>
      <c r="AI6" s="100" t="s">
        <v>682</v>
      </c>
      <c r="AJ6" s="100" t="s">
        <v>682</v>
      </c>
      <c r="AK6" s="100" t="s">
        <v>682</v>
      </c>
    </row>
    <row r="7" spans="1:38">
      <c r="A7" s="100" t="s">
        <v>755</v>
      </c>
      <c r="B7" s="100" t="s">
        <v>756</v>
      </c>
      <c r="C7" s="100" t="s">
        <v>682</v>
      </c>
      <c r="D7" s="100" t="s">
        <v>47</v>
      </c>
      <c r="E7" s="100" t="s">
        <v>757</v>
      </c>
      <c r="F7" s="100" t="s">
        <v>178</v>
      </c>
      <c r="G7" s="100" t="s">
        <v>528</v>
      </c>
      <c r="H7" s="100" t="s">
        <v>682</v>
      </c>
      <c r="I7" s="100" t="s">
        <v>4059</v>
      </c>
      <c r="J7" s="100" t="s">
        <v>1931</v>
      </c>
      <c r="K7" s="100" t="s">
        <v>758</v>
      </c>
      <c r="L7" s="100" t="s">
        <v>682</v>
      </c>
      <c r="M7" s="100" t="s">
        <v>682</v>
      </c>
      <c r="N7" s="100" t="s">
        <v>682</v>
      </c>
      <c r="O7" s="100" t="s">
        <v>5086</v>
      </c>
      <c r="P7" s="100" t="s">
        <v>3927</v>
      </c>
      <c r="Q7" s="100" t="s">
        <v>759</v>
      </c>
      <c r="R7" s="100" t="s">
        <v>5087</v>
      </c>
      <c r="S7" s="100" t="s">
        <v>5088</v>
      </c>
      <c r="T7" s="100" t="s">
        <v>4060</v>
      </c>
      <c r="U7" s="100" t="s">
        <v>760</v>
      </c>
      <c r="V7" s="100" t="s">
        <v>761</v>
      </c>
      <c r="W7" s="100" t="s">
        <v>682</v>
      </c>
      <c r="X7" s="100" t="s">
        <v>762</v>
      </c>
      <c r="Y7" s="100" t="s">
        <v>4061</v>
      </c>
      <c r="Z7" s="100" t="s">
        <v>4062</v>
      </c>
      <c r="AA7" s="100" t="s">
        <v>763</v>
      </c>
      <c r="AB7" s="100" t="s">
        <v>764</v>
      </c>
      <c r="AC7" s="100" t="s">
        <v>682</v>
      </c>
      <c r="AD7" s="100" t="s">
        <v>682</v>
      </c>
      <c r="AE7" s="100" t="s">
        <v>43</v>
      </c>
      <c r="AF7" s="100" t="s">
        <v>41</v>
      </c>
      <c r="AG7" s="100" t="s">
        <v>45</v>
      </c>
      <c r="AH7" s="100" t="s">
        <v>765</v>
      </c>
      <c r="AI7" s="100" t="s">
        <v>682</v>
      </c>
      <c r="AJ7" s="100" t="s">
        <v>682</v>
      </c>
      <c r="AK7" s="100" t="s">
        <v>682</v>
      </c>
    </row>
    <row r="8" spans="1:38">
      <c r="A8" s="100" t="s">
        <v>766</v>
      </c>
      <c r="B8" s="100" t="s">
        <v>767</v>
      </c>
      <c r="C8" s="100" t="s">
        <v>682</v>
      </c>
      <c r="D8" s="100" t="s">
        <v>38</v>
      </c>
      <c r="E8" s="100" t="s">
        <v>768</v>
      </c>
      <c r="F8" s="100" t="s">
        <v>154</v>
      </c>
      <c r="G8" s="100" t="s">
        <v>451</v>
      </c>
      <c r="H8" s="100" t="s">
        <v>682</v>
      </c>
      <c r="I8" s="100" t="s">
        <v>4063</v>
      </c>
      <c r="J8" s="100" t="s">
        <v>1931</v>
      </c>
      <c r="K8" s="100" t="s">
        <v>769</v>
      </c>
      <c r="L8" s="100" t="s">
        <v>682</v>
      </c>
      <c r="M8" s="100" t="s">
        <v>682</v>
      </c>
      <c r="N8" s="100" t="s">
        <v>682</v>
      </c>
      <c r="O8" s="100" t="s">
        <v>5089</v>
      </c>
      <c r="P8" s="100" t="s">
        <v>3928</v>
      </c>
      <c r="Q8" s="100" t="s">
        <v>770</v>
      </c>
      <c r="R8" s="100" t="s">
        <v>5090</v>
      </c>
      <c r="S8" s="100" t="s">
        <v>5091</v>
      </c>
      <c r="T8" s="100" t="s">
        <v>4064</v>
      </c>
      <c r="U8" s="100" t="s">
        <v>771</v>
      </c>
      <c r="V8" s="100" t="s">
        <v>772</v>
      </c>
      <c r="W8" s="100" t="s">
        <v>682</v>
      </c>
      <c r="X8" s="100" t="s">
        <v>773</v>
      </c>
      <c r="Y8" s="100" t="s">
        <v>4065</v>
      </c>
      <c r="Z8" s="100" t="s">
        <v>4066</v>
      </c>
      <c r="AA8" s="100" t="s">
        <v>774</v>
      </c>
      <c r="AB8" s="100" t="s">
        <v>775</v>
      </c>
      <c r="AC8" s="100" t="s">
        <v>682</v>
      </c>
      <c r="AD8" s="100" t="s">
        <v>682</v>
      </c>
      <c r="AE8" s="100" t="s">
        <v>54</v>
      </c>
      <c r="AF8" s="100" t="s">
        <v>682</v>
      </c>
      <c r="AG8" s="100" t="s">
        <v>682</v>
      </c>
      <c r="AH8" s="100" t="s">
        <v>776</v>
      </c>
      <c r="AI8" s="100" t="s">
        <v>682</v>
      </c>
      <c r="AJ8" s="100" t="s">
        <v>682</v>
      </c>
      <c r="AK8" s="100" t="s">
        <v>682</v>
      </c>
    </row>
    <row r="9" spans="1:38">
      <c r="A9" s="100" t="s">
        <v>777</v>
      </c>
      <c r="B9" s="100" t="s">
        <v>778</v>
      </c>
      <c r="C9" s="100" t="s">
        <v>682</v>
      </c>
      <c r="D9" s="100" t="s">
        <v>2619</v>
      </c>
      <c r="E9" s="100" t="s">
        <v>779</v>
      </c>
      <c r="F9" s="100" t="s">
        <v>224</v>
      </c>
      <c r="G9" s="100" t="s">
        <v>363</v>
      </c>
      <c r="H9" s="100" t="s">
        <v>682</v>
      </c>
      <c r="I9" s="100" t="s">
        <v>4067</v>
      </c>
      <c r="J9" s="100" t="s">
        <v>1931</v>
      </c>
      <c r="K9" s="100" t="s">
        <v>780</v>
      </c>
      <c r="L9" s="100" t="s">
        <v>682</v>
      </c>
      <c r="M9" s="100" t="s">
        <v>682</v>
      </c>
      <c r="N9" s="100" t="s">
        <v>682</v>
      </c>
      <c r="O9" s="100" t="s">
        <v>5092</v>
      </c>
      <c r="P9" s="100" t="s">
        <v>3929</v>
      </c>
      <c r="Q9" s="100" t="s">
        <v>781</v>
      </c>
      <c r="R9" s="100" t="s">
        <v>5093</v>
      </c>
      <c r="S9" s="100" t="s">
        <v>5094</v>
      </c>
      <c r="T9" s="100" t="s">
        <v>4068</v>
      </c>
      <c r="U9" s="100" t="s">
        <v>782</v>
      </c>
      <c r="V9" s="100" t="s">
        <v>783</v>
      </c>
      <c r="W9" s="100" t="s">
        <v>682</v>
      </c>
      <c r="X9" s="100" t="s">
        <v>784</v>
      </c>
      <c r="Y9" s="100" t="s">
        <v>4069</v>
      </c>
      <c r="Z9" s="100" t="s">
        <v>4070</v>
      </c>
      <c r="AA9" s="100" t="s">
        <v>785</v>
      </c>
      <c r="AB9" s="100" t="s">
        <v>786</v>
      </c>
      <c r="AC9" s="100" t="s">
        <v>682</v>
      </c>
      <c r="AD9" s="100" t="s">
        <v>682</v>
      </c>
      <c r="AE9" s="100" t="s">
        <v>43</v>
      </c>
      <c r="AF9" s="100" t="s">
        <v>41</v>
      </c>
      <c r="AG9" s="100" t="s">
        <v>42</v>
      </c>
      <c r="AH9" s="100" t="s">
        <v>787</v>
      </c>
      <c r="AI9" s="100" t="s">
        <v>682</v>
      </c>
      <c r="AJ9" s="100" t="s">
        <v>682</v>
      </c>
      <c r="AK9" s="100" t="s">
        <v>682</v>
      </c>
    </row>
    <row r="10" spans="1:38">
      <c r="A10" s="100" t="s">
        <v>788</v>
      </c>
      <c r="B10" s="100" t="s">
        <v>682</v>
      </c>
      <c r="C10" s="100" t="s">
        <v>682</v>
      </c>
      <c r="D10" s="100" t="s">
        <v>682</v>
      </c>
      <c r="E10" s="100" t="s">
        <v>682</v>
      </c>
      <c r="F10" s="100" t="s">
        <v>682</v>
      </c>
      <c r="G10" s="100" t="s">
        <v>682</v>
      </c>
      <c r="H10" s="100" t="s">
        <v>682</v>
      </c>
      <c r="I10" s="100" t="s">
        <v>682</v>
      </c>
      <c r="J10" s="100" t="s">
        <v>6424</v>
      </c>
      <c r="K10" s="100" t="s">
        <v>6486</v>
      </c>
      <c r="L10" s="100" t="s">
        <v>6487</v>
      </c>
      <c r="M10" s="100" t="s">
        <v>682</v>
      </c>
      <c r="N10" s="100" t="s">
        <v>682</v>
      </c>
      <c r="O10" s="100" t="s">
        <v>682</v>
      </c>
      <c r="P10" s="100" t="s">
        <v>682</v>
      </c>
      <c r="Q10" s="100" t="s">
        <v>789</v>
      </c>
      <c r="R10" s="100" t="s">
        <v>6488</v>
      </c>
      <c r="S10" s="100" t="s">
        <v>6489</v>
      </c>
      <c r="T10" s="100" t="s">
        <v>6490</v>
      </c>
      <c r="U10" s="100" t="s">
        <v>790</v>
      </c>
      <c r="V10" s="100" t="s">
        <v>791</v>
      </c>
      <c r="W10" s="100" t="s">
        <v>6491</v>
      </c>
      <c r="X10" s="100" t="s">
        <v>682</v>
      </c>
      <c r="Y10" s="100" t="s">
        <v>682</v>
      </c>
      <c r="Z10" s="100" t="s">
        <v>682</v>
      </c>
      <c r="AA10" s="100" t="s">
        <v>792</v>
      </c>
      <c r="AB10" s="100" t="s">
        <v>793</v>
      </c>
      <c r="AC10" s="100" t="s">
        <v>6492</v>
      </c>
      <c r="AD10" s="100" t="s">
        <v>682</v>
      </c>
      <c r="AE10" s="100" t="s">
        <v>682</v>
      </c>
      <c r="AF10" s="100" t="s">
        <v>682</v>
      </c>
      <c r="AG10" s="100" t="s">
        <v>682</v>
      </c>
      <c r="AH10" s="100" t="s">
        <v>682</v>
      </c>
      <c r="AI10" s="100" t="s">
        <v>682</v>
      </c>
      <c r="AJ10" s="100" t="s">
        <v>682</v>
      </c>
      <c r="AK10" s="100" t="s">
        <v>682</v>
      </c>
    </row>
    <row r="11" spans="1:38">
      <c r="A11" s="100" t="s">
        <v>794</v>
      </c>
      <c r="B11" s="100" t="s">
        <v>795</v>
      </c>
      <c r="C11" s="100" t="s">
        <v>682</v>
      </c>
      <c r="D11" s="100" t="s">
        <v>745</v>
      </c>
      <c r="E11" s="100" t="s">
        <v>796</v>
      </c>
      <c r="F11" s="100" t="s">
        <v>179</v>
      </c>
      <c r="G11" s="100" t="s">
        <v>3911</v>
      </c>
      <c r="H11" s="100" t="s">
        <v>682</v>
      </c>
      <c r="I11" s="100" t="s">
        <v>4071</v>
      </c>
      <c r="J11" s="100" t="s">
        <v>3914</v>
      </c>
      <c r="K11" s="100" t="s">
        <v>797</v>
      </c>
      <c r="L11" s="100" t="s">
        <v>682</v>
      </c>
      <c r="M11" s="100" t="s">
        <v>682</v>
      </c>
      <c r="N11" s="100" t="s">
        <v>682</v>
      </c>
      <c r="O11" s="100" t="s">
        <v>5095</v>
      </c>
      <c r="P11" s="100" t="s">
        <v>3930</v>
      </c>
      <c r="Q11" s="100" t="s">
        <v>798</v>
      </c>
      <c r="R11" s="100" t="s">
        <v>5096</v>
      </c>
      <c r="S11" s="100" t="s">
        <v>5097</v>
      </c>
      <c r="T11" s="100" t="s">
        <v>4072</v>
      </c>
      <c r="U11" s="100" t="s">
        <v>799</v>
      </c>
      <c r="V11" s="100" t="s">
        <v>800</v>
      </c>
      <c r="W11" s="100" t="s">
        <v>682</v>
      </c>
      <c r="X11" s="100" t="s">
        <v>801</v>
      </c>
      <c r="Y11" s="100" t="s">
        <v>4073</v>
      </c>
      <c r="Z11" s="100" t="s">
        <v>4074</v>
      </c>
      <c r="AA11" s="100" t="s">
        <v>802</v>
      </c>
      <c r="AB11" s="100" t="s">
        <v>803</v>
      </c>
      <c r="AC11" s="100" t="s">
        <v>682</v>
      </c>
      <c r="AD11" s="100" t="s">
        <v>682</v>
      </c>
      <c r="AE11" s="100" t="s">
        <v>43</v>
      </c>
      <c r="AF11" s="100" t="s">
        <v>41</v>
      </c>
      <c r="AG11" s="100" t="s">
        <v>45</v>
      </c>
      <c r="AH11" s="100" t="s">
        <v>804</v>
      </c>
      <c r="AI11" s="100" t="s">
        <v>682</v>
      </c>
      <c r="AJ11" s="100" t="s">
        <v>682</v>
      </c>
      <c r="AK11" s="100" t="s">
        <v>682</v>
      </c>
    </row>
    <row r="12" spans="1:38">
      <c r="A12" s="100" t="s">
        <v>805</v>
      </c>
      <c r="B12" s="100" t="s">
        <v>806</v>
      </c>
      <c r="C12" s="100" t="s">
        <v>682</v>
      </c>
      <c r="D12" s="100" t="s">
        <v>745</v>
      </c>
      <c r="E12" s="100" t="s">
        <v>807</v>
      </c>
      <c r="F12" s="100" t="s">
        <v>178</v>
      </c>
      <c r="G12" s="100" t="s">
        <v>3906</v>
      </c>
      <c r="H12" s="100" t="s">
        <v>682</v>
      </c>
      <c r="I12" s="100" t="s">
        <v>4075</v>
      </c>
      <c r="J12" s="100" t="s">
        <v>1176</v>
      </c>
      <c r="K12" s="100" t="s">
        <v>808</v>
      </c>
      <c r="L12" s="100" t="s">
        <v>682</v>
      </c>
      <c r="M12" s="100" t="s">
        <v>682</v>
      </c>
      <c r="N12" s="100" t="s">
        <v>682</v>
      </c>
      <c r="O12" s="100" t="s">
        <v>5098</v>
      </c>
      <c r="P12" s="100" t="s">
        <v>3931</v>
      </c>
      <c r="Q12" s="100" t="s">
        <v>809</v>
      </c>
      <c r="R12" s="100" t="s">
        <v>5099</v>
      </c>
      <c r="S12" s="100" t="s">
        <v>5100</v>
      </c>
      <c r="T12" s="100" t="s">
        <v>4076</v>
      </c>
      <c r="U12" s="100" t="s">
        <v>810</v>
      </c>
      <c r="V12" s="100" t="s">
        <v>811</v>
      </c>
      <c r="W12" s="100" t="s">
        <v>682</v>
      </c>
      <c r="X12" s="100" t="s">
        <v>812</v>
      </c>
      <c r="Y12" s="100" t="s">
        <v>4077</v>
      </c>
      <c r="Z12" s="100" t="s">
        <v>4078</v>
      </c>
      <c r="AA12" s="100" t="s">
        <v>813</v>
      </c>
      <c r="AB12" s="100" t="s">
        <v>814</v>
      </c>
      <c r="AC12" s="100" t="s">
        <v>682</v>
      </c>
      <c r="AD12" s="100" t="s">
        <v>682</v>
      </c>
      <c r="AE12" s="100" t="s">
        <v>43</v>
      </c>
      <c r="AF12" s="100" t="s">
        <v>41</v>
      </c>
      <c r="AG12" s="100" t="s">
        <v>45</v>
      </c>
      <c r="AH12" s="100" t="s">
        <v>815</v>
      </c>
      <c r="AI12" s="100" t="s">
        <v>682</v>
      </c>
      <c r="AJ12" s="100" t="s">
        <v>682</v>
      </c>
      <c r="AK12" s="100" t="s">
        <v>682</v>
      </c>
    </row>
    <row r="13" spans="1:38">
      <c r="A13" s="100" t="s">
        <v>816</v>
      </c>
      <c r="B13" s="100" t="s">
        <v>817</v>
      </c>
      <c r="C13" s="100" t="s">
        <v>682</v>
      </c>
      <c r="D13" s="100" t="s">
        <v>1138</v>
      </c>
      <c r="E13" s="100" t="s">
        <v>818</v>
      </c>
      <c r="F13" s="100" t="s">
        <v>209</v>
      </c>
      <c r="G13" s="100" t="s">
        <v>405</v>
      </c>
      <c r="H13" s="100" t="s">
        <v>682</v>
      </c>
      <c r="I13" s="100" t="s">
        <v>4079</v>
      </c>
      <c r="J13" s="100" t="s">
        <v>1164</v>
      </c>
      <c r="K13" s="100" t="s">
        <v>819</v>
      </c>
      <c r="L13" s="100" t="s">
        <v>682</v>
      </c>
      <c r="M13" s="100" t="s">
        <v>682</v>
      </c>
      <c r="N13" s="100" t="s">
        <v>682</v>
      </c>
      <c r="O13" s="100" t="s">
        <v>5101</v>
      </c>
      <c r="P13" s="100" t="s">
        <v>820</v>
      </c>
      <c r="Q13" s="100" t="s">
        <v>821</v>
      </c>
      <c r="R13" s="100" t="s">
        <v>5102</v>
      </c>
      <c r="S13" s="100" t="s">
        <v>5103</v>
      </c>
      <c r="T13" s="100" t="s">
        <v>4080</v>
      </c>
      <c r="U13" s="100" t="s">
        <v>822</v>
      </c>
      <c r="V13" s="100" t="s">
        <v>823</v>
      </c>
      <c r="W13" s="100" t="s">
        <v>682</v>
      </c>
      <c r="X13" s="100" t="s">
        <v>824</v>
      </c>
      <c r="Y13" s="100" t="s">
        <v>4081</v>
      </c>
      <c r="Z13" s="100" t="s">
        <v>4082</v>
      </c>
      <c r="AA13" s="100" t="s">
        <v>825</v>
      </c>
      <c r="AB13" s="100" t="s">
        <v>826</v>
      </c>
      <c r="AC13" s="100" t="s">
        <v>682</v>
      </c>
      <c r="AD13" s="100" t="s">
        <v>682</v>
      </c>
      <c r="AE13" s="100" t="s">
        <v>43</v>
      </c>
      <c r="AF13" s="100" t="s">
        <v>41</v>
      </c>
      <c r="AG13" s="100" t="s">
        <v>63</v>
      </c>
      <c r="AH13" s="100" t="s">
        <v>827</v>
      </c>
      <c r="AI13" s="100" t="s">
        <v>682</v>
      </c>
      <c r="AJ13" s="100" t="s">
        <v>682</v>
      </c>
      <c r="AK13" s="100" t="s">
        <v>682</v>
      </c>
    </row>
    <row r="14" spans="1:38">
      <c r="A14" s="100" t="s">
        <v>828</v>
      </c>
      <c r="B14" s="100" t="s">
        <v>829</v>
      </c>
      <c r="C14" s="100" t="s">
        <v>682</v>
      </c>
      <c r="D14" s="100" t="s">
        <v>1138</v>
      </c>
      <c r="E14" s="100" t="s">
        <v>830</v>
      </c>
      <c r="F14" s="100" t="s">
        <v>209</v>
      </c>
      <c r="G14" s="100" t="s">
        <v>216</v>
      </c>
      <c r="H14" s="100" t="s">
        <v>682</v>
      </c>
      <c r="I14" s="100" t="s">
        <v>4083</v>
      </c>
      <c r="J14" s="100" t="s">
        <v>1176</v>
      </c>
      <c r="K14" s="100" t="s">
        <v>831</v>
      </c>
      <c r="L14" s="100" t="s">
        <v>682</v>
      </c>
      <c r="M14" s="100" t="s">
        <v>682</v>
      </c>
      <c r="N14" s="100" t="s">
        <v>682</v>
      </c>
      <c r="O14" s="100" t="s">
        <v>5104</v>
      </c>
      <c r="P14" s="100" t="s">
        <v>3932</v>
      </c>
      <c r="Q14" s="100" t="s">
        <v>832</v>
      </c>
      <c r="R14" s="100" t="s">
        <v>5105</v>
      </c>
      <c r="S14" s="100" t="s">
        <v>5106</v>
      </c>
      <c r="T14" s="100" t="s">
        <v>4084</v>
      </c>
      <c r="U14" s="100" t="s">
        <v>833</v>
      </c>
      <c r="V14" s="100" t="s">
        <v>834</v>
      </c>
      <c r="W14" s="100" t="s">
        <v>682</v>
      </c>
      <c r="X14" s="100" t="s">
        <v>835</v>
      </c>
      <c r="Y14" s="100" t="s">
        <v>4085</v>
      </c>
      <c r="Z14" s="100" t="s">
        <v>4086</v>
      </c>
      <c r="AA14" s="100" t="s">
        <v>836</v>
      </c>
      <c r="AB14" s="100" t="s">
        <v>837</v>
      </c>
      <c r="AC14" s="100" t="s">
        <v>682</v>
      </c>
      <c r="AD14" s="100" t="s">
        <v>682</v>
      </c>
      <c r="AE14" s="100" t="s">
        <v>43</v>
      </c>
      <c r="AF14" s="100" t="s">
        <v>41</v>
      </c>
      <c r="AG14" s="100" t="s">
        <v>63</v>
      </c>
      <c r="AH14" s="100" t="s">
        <v>838</v>
      </c>
      <c r="AI14" s="100" t="s">
        <v>682</v>
      </c>
      <c r="AJ14" s="100" t="s">
        <v>682</v>
      </c>
      <c r="AK14" s="100" t="s">
        <v>682</v>
      </c>
    </row>
    <row r="15" spans="1:38">
      <c r="A15" s="100" t="s">
        <v>839</v>
      </c>
      <c r="B15" s="100" t="s">
        <v>840</v>
      </c>
      <c r="C15" s="100" t="s">
        <v>682</v>
      </c>
      <c r="D15" s="100" t="s">
        <v>1138</v>
      </c>
      <c r="E15" s="100" t="s">
        <v>841</v>
      </c>
      <c r="F15" s="100" t="s">
        <v>209</v>
      </c>
      <c r="G15" s="100" t="s">
        <v>397</v>
      </c>
      <c r="H15" s="100" t="s">
        <v>682</v>
      </c>
      <c r="I15" s="100" t="s">
        <v>4087</v>
      </c>
      <c r="J15" s="100" t="s">
        <v>1188</v>
      </c>
      <c r="K15" s="100" t="s">
        <v>6493</v>
      </c>
      <c r="L15" s="100" t="s">
        <v>682</v>
      </c>
      <c r="M15" s="100" t="s">
        <v>682</v>
      </c>
      <c r="N15" s="100" t="s">
        <v>682</v>
      </c>
      <c r="O15" s="100" t="s">
        <v>6494</v>
      </c>
      <c r="P15" s="100" t="s">
        <v>3933</v>
      </c>
      <c r="Q15" s="100" t="s">
        <v>842</v>
      </c>
      <c r="R15" s="100" t="s">
        <v>5107</v>
      </c>
      <c r="S15" s="100" t="s">
        <v>5108</v>
      </c>
      <c r="T15" s="100" t="s">
        <v>4088</v>
      </c>
      <c r="U15" s="100" t="s">
        <v>843</v>
      </c>
      <c r="V15" s="100" t="s">
        <v>844</v>
      </c>
      <c r="W15" s="100" t="s">
        <v>682</v>
      </c>
      <c r="X15" s="100" t="s">
        <v>845</v>
      </c>
      <c r="Y15" s="100" t="s">
        <v>4089</v>
      </c>
      <c r="Z15" s="100" t="s">
        <v>4090</v>
      </c>
      <c r="AA15" s="100" t="s">
        <v>846</v>
      </c>
      <c r="AB15" s="100" t="s">
        <v>847</v>
      </c>
      <c r="AC15" s="100" t="s">
        <v>682</v>
      </c>
      <c r="AD15" s="100" t="s">
        <v>682</v>
      </c>
      <c r="AE15" s="100" t="s">
        <v>43</v>
      </c>
      <c r="AF15" s="100" t="s">
        <v>41</v>
      </c>
      <c r="AG15" s="100" t="s">
        <v>63</v>
      </c>
      <c r="AH15" s="100" t="s">
        <v>848</v>
      </c>
      <c r="AI15" s="100" t="s">
        <v>682</v>
      </c>
      <c r="AJ15" s="100" t="s">
        <v>682</v>
      </c>
      <c r="AK15" s="100" t="s">
        <v>682</v>
      </c>
    </row>
    <row r="16" spans="1:38">
      <c r="A16" s="100" t="s">
        <v>849</v>
      </c>
      <c r="B16" s="100" t="s">
        <v>850</v>
      </c>
      <c r="C16" s="100" t="s">
        <v>682</v>
      </c>
      <c r="D16" s="100" t="s">
        <v>38</v>
      </c>
      <c r="E16" s="100" t="s">
        <v>851</v>
      </c>
      <c r="F16" s="100" t="s">
        <v>154</v>
      </c>
      <c r="G16" s="100" t="s">
        <v>467</v>
      </c>
      <c r="H16" s="100" t="s">
        <v>1126</v>
      </c>
      <c r="I16" s="100" t="s">
        <v>4091</v>
      </c>
      <c r="J16" s="100" t="s">
        <v>1176</v>
      </c>
      <c r="K16" s="100" t="s">
        <v>852</v>
      </c>
      <c r="L16" s="100" t="s">
        <v>682</v>
      </c>
      <c r="M16" s="100" t="s">
        <v>682</v>
      </c>
      <c r="N16" s="100" t="s">
        <v>682</v>
      </c>
      <c r="O16" s="100" t="s">
        <v>5109</v>
      </c>
      <c r="P16" s="100" t="s">
        <v>3934</v>
      </c>
      <c r="Q16" s="100" t="s">
        <v>853</v>
      </c>
      <c r="R16" s="100" t="s">
        <v>5110</v>
      </c>
      <c r="S16" s="100" t="s">
        <v>5111</v>
      </c>
      <c r="T16" s="100" t="s">
        <v>4092</v>
      </c>
      <c r="U16" s="100" t="s">
        <v>854</v>
      </c>
      <c r="V16" s="100" t="s">
        <v>855</v>
      </c>
      <c r="W16" s="100" t="s">
        <v>682</v>
      </c>
      <c r="X16" s="100" t="s">
        <v>856</v>
      </c>
      <c r="Y16" s="100" t="s">
        <v>4093</v>
      </c>
      <c r="Z16" s="100" t="s">
        <v>4094</v>
      </c>
      <c r="AA16" s="100" t="s">
        <v>857</v>
      </c>
      <c r="AB16" s="100" t="s">
        <v>858</v>
      </c>
      <c r="AC16" s="100" t="s">
        <v>682</v>
      </c>
      <c r="AD16" s="100" t="s">
        <v>682</v>
      </c>
      <c r="AE16" s="100" t="s">
        <v>54</v>
      </c>
      <c r="AF16" s="100" t="s">
        <v>682</v>
      </c>
      <c r="AG16" s="100" t="s">
        <v>682</v>
      </c>
      <c r="AH16" s="100" t="s">
        <v>859</v>
      </c>
      <c r="AI16" s="100" t="s">
        <v>682</v>
      </c>
      <c r="AJ16" s="100" t="s">
        <v>682</v>
      </c>
      <c r="AK16" s="100" t="s">
        <v>682</v>
      </c>
    </row>
    <row r="17" spans="1:37">
      <c r="A17" s="100" t="s">
        <v>860</v>
      </c>
      <c r="B17" s="100" t="s">
        <v>861</v>
      </c>
      <c r="C17" s="100" t="s">
        <v>682</v>
      </c>
      <c r="D17" s="100" t="s">
        <v>745</v>
      </c>
      <c r="E17" s="100" t="s">
        <v>863</v>
      </c>
      <c r="F17" s="100" t="s">
        <v>178</v>
      </c>
      <c r="G17" s="100" t="s">
        <v>3907</v>
      </c>
      <c r="H17" s="100" t="s">
        <v>682</v>
      </c>
      <c r="I17" s="100" t="s">
        <v>4095</v>
      </c>
      <c r="J17" s="100" t="s">
        <v>1188</v>
      </c>
      <c r="K17" s="100" t="s">
        <v>864</v>
      </c>
      <c r="L17" s="100" t="s">
        <v>682</v>
      </c>
      <c r="M17" s="100" t="s">
        <v>682</v>
      </c>
      <c r="N17" s="100" t="s">
        <v>682</v>
      </c>
      <c r="O17" s="100" t="s">
        <v>5112</v>
      </c>
      <c r="P17" s="100" t="s">
        <v>3935</v>
      </c>
      <c r="Q17" s="100" t="s">
        <v>865</v>
      </c>
      <c r="R17" s="100" t="s">
        <v>5113</v>
      </c>
      <c r="S17" s="100" t="s">
        <v>5114</v>
      </c>
      <c r="T17" s="100" t="s">
        <v>4096</v>
      </c>
      <c r="U17" s="100" t="s">
        <v>866</v>
      </c>
      <c r="V17" s="100" t="s">
        <v>867</v>
      </c>
      <c r="W17" s="100" t="s">
        <v>682</v>
      </c>
      <c r="X17" s="100" t="s">
        <v>868</v>
      </c>
      <c r="Y17" s="100" t="s">
        <v>4097</v>
      </c>
      <c r="Z17" s="100" t="s">
        <v>4098</v>
      </c>
      <c r="AA17" s="100" t="s">
        <v>869</v>
      </c>
      <c r="AB17" s="100" t="s">
        <v>870</v>
      </c>
      <c r="AC17" s="100" t="s">
        <v>682</v>
      </c>
      <c r="AD17" s="100" t="s">
        <v>682</v>
      </c>
      <c r="AE17" s="100" t="s">
        <v>43</v>
      </c>
      <c r="AF17" s="100" t="s">
        <v>41</v>
      </c>
      <c r="AG17" s="100" t="s">
        <v>45</v>
      </c>
      <c r="AH17" s="100" t="s">
        <v>871</v>
      </c>
      <c r="AI17" s="100" t="s">
        <v>682</v>
      </c>
      <c r="AJ17" s="100" t="s">
        <v>682</v>
      </c>
      <c r="AK17" s="100" t="s">
        <v>682</v>
      </c>
    </row>
    <row r="18" spans="1:37">
      <c r="A18" s="100" t="s">
        <v>872</v>
      </c>
      <c r="B18" s="100" t="s">
        <v>873</v>
      </c>
      <c r="C18" s="100" t="s">
        <v>682</v>
      </c>
      <c r="D18" s="100" t="s">
        <v>2619</v>
      </c>
      <c r="E18" s="100" t="s">
        <v>874</v>
      </c>
      <c r="F18" s="100" t="s">
        <v>224</v>
      </c>
      <c r="G18" s="100" t="s">
        <v>367</v>
      </c>
      <c r="H18" s="100" t="s">
        <v>682</v>
      </c>
      <c r="I18" s="100" t="s">
        <v>4099</v>
      </c>
      <c r="J18" s="100" t="s">
        <v>1176</v>
      </c>
      <c r="K18" s="100" t="s">
        <v>876</v>
      </c>
      <c r="L18" s="100" t="s">
        <v>682</v>
      </c>
      <c r="M18" s="100" t="s">
        <v>682</v>
      </c>
      <c r="N18" s="100" t="s">
        <v>682</v>
      </c>
      <c r="O18" s="100" t="s">
        <v>5115</v>
      </c>
      <c r="P18" s="100" t="s">
        <v>877</v>
      </c>
      <c r="Q18" s="100" t="s">
        <v>878</v>
      </c>
      <c r="R18" s="100" t="s">
        <v>5116</v>
      </c>
      <c r="S18" s="100" t="s">
        <v>5117</v>
      </c>
      <c r="T18" s="100" t="s">
        <v>4100</v>
      </c>
      <c r="U18" s="100" t="s">
        <v>879</v>
      </c>
      <c r="V18" s="100" t="s">
        <v>880</v>
      </c>
      <c r="W18" s="100" t="s">
        <v>682</v>
      </c>
      <c r="X18" s="100" t="s">
        <v>881</v>
      </c>
      <c r="Y18" s="100" t="s">
        <v>4101</v>
      </c>
      <c r="Z18" s="100" t="s">
        <v>4102</v>
      </c>
      <c r="AA18" s="100" t="s">
        <v>882</v>
      </c>
      <c r="AB18" s="100" t="s">
        <v>883</v>
      </c>
      <c r="AC18" s="100" t="s">
        <v>682</v>
      </c>
      <c r="AD18" s="100" t="s">
        <v>682</v>
      </c>
      <c r="AE18" s="100" t="s">
        <v>43</v>
      </c>
      <c r="AF18" s="100" t="s">
        <v>41</v>
      </c>
      <c r="AG18" s="100" t="s">
        <v>42</v>
      </c>
      <c r="AH18" s="100" t="s">
        <v>884</v>
      </c>
      <c r="AI18" s="100" t="s">
        <v>682</v>
      </c>
      <c r="AJ18" s="100" t="s">
        <v>682</v>
      </c>
      <c r="AK18" s="100" t="s">
        <v>682</v>
      </c>
    </row>
    <row r="19" spans="1:37">
      <c r="A19" s="100" t="s">
        <v>885</v>
      </c>
      <c r="B19" s="100" t="s">
        <v>682</v>
      </c>
      <c r="C19" s="100" t="s">
        <v>682</v>
      </c>
      <c r="D19" s="100" t="s">
        <v>682</v>
      </c>
      <c r="E19" s="100" t="s">
        <v>682</v>
      </c>
      <c r="F19" s="100" t="s">
        <v>682</v>
      </c>
      <c r="G19" s="100" t="s">
        <v>682</v>
      </c>
      <c r="H19" s="100" t="s">
        <v>682</v>
      </c>
      <c r="I19" s="100" t="s">
        <v>682</v>
      </c>
      <c r="J19" s="100" t="s">
        <v>6424</v>
      </c>
      <c r="K19" s="100" t="s">
        <v>6495</v>
      </c>
      <c r="L19" s="100" t="s">
        <v>6496</v>
      </c>
      <c r="M19" s="100" t="s">
        <v>682</v>
      </c>
      <c r="N19" s="100" t="s">
        <v>682</v>
      </c>
      <c r="O19" s="100" t="s">
        <v>682</v>
      </c>
      <c r="P19" s="100" t="s">
        <v>682</v>
      </c>
      <c r="Q19" s="100" t="s">
        <v>886</v>
      </c>
      <c r="R19" s="100" t="s">
        <v>6497</v>
      </c>
      <c r="S19" s="100" t="s">
        <v>6498</v>
      </c>
      <c r="T19" s="100" t="s">
        <v>6499</v>
      </c>
      <c r="U19" s="100" t="s">
        <v>887</v>
      </c>
      <c r="V19" s="100" t="s">
        <v>888</v>
      </c>
      <c r="W19" s="100" t="s">
        <v>6500</v>
      </c>
      <c r="X19" s="100" t="s">
        <v>682</v>
      </c>
      <c r="Y19" s="100" t="s">
        <v>682</v>
      </c>
      <c r="Z19" s="100" t="s">
        <v>682</v>
      </c>
      <c r="AA19" s="100" t="s">
        <v>889</v>
      </c>
      <c r="AB19" s="100" t="s">
        <v>890</v>
      </c>
      <c r="AC19" s="100" t="s">
        <v>6501</v>
      </c>
      <c r="AD19" s="100" t="s">
        <v>682</v>
      </c>
      <c r="AE19" s="100" t="s">
        <v>682</v>
      </c>
      <c r="AF19" s="100" t="s">
        <v>682</v>
      </c>
      <c r="AG19" s="100" t="s">
        <v>682</v>
      </c>
      <c r="AH19" s="100" t="s">
        <v>682</v>
      </c>
      <c r="AI19" s="100" t="s">
        <v>682</v>
      </c>
      <c r="AJ19" s="100" t="s">
        <v>682</v>
      </c>
      <c r="AK19" s="100" t="s">
        <v>682</v>
      </c>
    </row>
    <row r="20" spans="1:37">
      <c r="A20" s="100" t="s">
        <v>891</v>
      </c>
      <c r="B20" s="100" t="s">
        <v>892</v>
      </c>
      <c r="C20" s="100" t="s">
        <v>682</v>
      </c>
      <c r="D20" s="100" t="s">
        <v>38</v>
      </c>
      <c r="E20" s="100" t="s">
        <v>893</v>
      </c>
      <c r="F20" s="100" t="s">
        <v>154</v>
      </c>
      <c r="G20" s="100" t="s">
        <v>454</v>
      </c>
      <c r="H20" s="100" t="s">
        <v>720</v>
      </c>
      <c r="I20" s="100" t="s">
        <v>4103</v>
      </c>
      <c r="J20" s="100" t="s">
        <v>733</v>
      </c>
      <c r="K20" s="100" t="s">
        <v>894</v>
      </c>
      <c r="L20" s="100" t="s">
        <v>682</v>
      </c>
      <c r="M20" s="100" t="s">
        <v>682</v>
      </c>
      <c r="N20" s="100" t="s">
        <v>682</v>
      </c>
      <c r="O20" s="100" t="s">
        <v>6502</v>
      </c>
      <c r="P20" s="100" t="s">
        <v>3936</v>
      </c>
      <c r="Q20" s="100" t="s">
        <v>895</v>
      </c>
      <c r="R20" s="100" t="s">
        <v>5118</v>
      </c>
      <c r="S20" s="100" t="s">
        <v>5119</v>
      </c>
      <c r="T20" s="100" t="s">
        <v>4104</v>
      </c>
      <c r="U20" s="100" t="s">
        <v>896</v>
      </c>
      <c r="V20" s="100" t="s">
        <v>897</v>
      </c>
      <c r="W20" s="100" t="s">
        <v>682</v>
      </c>
      <c r="X20" s="100" t="s">
        <v>898</v>
      </c>
      <c r="Y20" s="100" t="s">
        <v>4105</v>
      </c>
      <c r="Z20" s="100" t="s">
        <v>4106</v>
      </c>
      <c r="AA20" s="100" t="s">
        <v>899</v>
      </c>
      <c r="AB20" s="100" t="s">
        <v>900</v>
      </c>
      <c r="AC20" s="100" t="s">
        <v>682</v>
      </c>
      <c r="AD20" s="100" t="s">
        <v>682</v>
      </c>
      <c r="AE20" s="100" t="s">
        <v>43</v>
      </c>
      <c r="AF20" s="100" t="s">
        <v>41</v>
      </c>
      <c r="AG20" s="100" t="s">
        <v>42</v>
      </c>
      <c r="AH20" s="100" t="s">
        <v>901</v>
      </c>
      <c r="AI20" s="100" t="s">
        <v>682</v>
      </c>
      <c r="AJ20" s="100" t="s">
        <v>682</v>
      </c>
      <c r="AK20" s="100" t="s">
        <v>682</v>
      </c>
    </row>
    <row r="21" spans="1:37">
      <c r="A21" s="100" t="s">
        <v>902</v>
      </c>
      <c r="B21" s="100" t="s">
        <v>903</v>
      </c>
      <c r="C21" s="100" t="s">
        <v>682</v>
      </c>
      <c r="D21" s="100" t="s">
        <v>745</v>
      </c>
      <c r="E21" s="100" t="s">
        <v>904</v>
      </c>
      <c r="F21" s="100" t="s">
        <v>179</v>
      </c>
      <c r="G21" s="100" t="s">
        <v>3909</v>
      </c>
      <c r="H21" s="100" t="s">
        <v>682</v>
      </c>
      <c r="I21" s="100" t="s">
        <v>4107</v>
      </c>
      <c r="J21" s="100" t="s">
        <v>3913</v>
      </c>
      <c r="K21" s="100" t="s">
        <v>906</v>
      </c>
      <c r="L21" s="100" t="s">
        <v>682</v>
      </c>
      <c r="M21" s="100" t="s">
        <v>682</v>
      </c>
      <c r="N21" s="100" t="s">
        <v>682</v>
      </c>
      <c r="O21" s="100" t="s">
        <v>5120</v>
      </c>
      <c r="P21" s="100" t="s">
        <v>3937</v>
      </c>
      <c r="Q21" s="100" t="s">
        <v>907</v>
      </c>
      <c r="R21" s="100" t="s">
        <v>5121</v>
      </c>
      <c r="S21" s="100" t="s">
        <v>5122</v>
      </c>
      <c r="T21" s="100" t="s">
        <v>4108</v>
      </c>
      <c r="U21" s="100" t="s">
        <v>908</v>
      </c>
      <c r="V21" s="100" t="s">
        <v>909</v>
      </c>
      <c r="W21" s="100" t="s">
        <v>682</v>
      </c>
      <c r="X21" s="100" t="s">
        <v>910</v>
      </c>
      <c r="Y21" s="100" t="s">
        <v>4109</v>
      </c>
      <c r="Z21" s="100" t="s">
        <v>4110</v>
      </c>
      <c r="AA21" s="100" t="s">
        <v>911</v>
      </c>
      <c r="AB21" s="100" t="s">
        <v>912</v>
      </c>
      <c r="AC21" s="100" t="s">
        <v>682</v>
      </c>
      <c r="AD21" s="100" t="s">
        <v>682</v>
      </c>
      <c r="AE21" s="100" t="s">
        <v>43</v>
      </c>
      <c r="AF21" s="100" t="s">
        <v>41</v>
      </c>
      <c r="AG21" s="100" t="s">
        <v>45</v>
      </c>
      <c r="AH21" s="100" t="s">
        <v>913</v>
      </c>
      <c r="AI21" s="100" t="s">
        <v>682</v>
      </c>
      <c r="AJ21" s="100" t="s">
        <v>682</v>
      </c>
      <c r="AK21" s="100" t="s">
        <v>682</v>
      </c>
    </row>
    <row r="22" spans="1:37">
      <c r="A22" s="100" t="s">
        <v>914</v>
      </c>
      <c r="B22" s="100" t="s">
        <v>915</v>
      </c>
      <c r="C22" s="100" t="s">
        <v>682</v>
      </c>
      <c r="D22" s="100" t="s">
        <v>745</v>
      </c>
      <c r="E22" s="100" t="s">
        <v>916</v>
      </c>
      <c r="F22" s="100" t="s">
        <v>179</v>
      </c>
      <c r="G22" s="100" t="s">
        <v>3910</v>
      </c>
      <c r="H22" s="100" t="s">
        <v>682</v>
      </c>
      <c r="I22" s="100" t="s">
        <v>4111</v>
      </c>
      <c r="J22" s="100" t="s">
        <v>1152</v>
      </c>
      <c r="K22" s="100" t="s">
        <v>918</v>
      </c>
      <c r="L22" s="100" t="s">
        <v>682</v>
      </c>
      <c r="M22" s="100" t="s">
        <v>682</v>
      </c>
      <c r="N22" s="100" t="s">
        <v>682</v>
      </c>
      <c r="O22" s="100" t="s">
        <v>5123</v>
      </c>
      <c r="P22" s="100" t="s">
        <v>3938</v>
      </c>
      <c r="Q22" s="100" t="s">
        <v>919</v>
      </c>
      <c r="R22" s="100" t="s">
        <v>5124</v>
      </c>
      <c r="S22" s="100" t="s">
        <v>5125</v>
      </c>
      <c r="T22" s="100" t="s">
        <v>4112</v>
      </c>
      <c r="U22" s="100" t="s">
        <v>920</v>
      </c>
      <c r="V22" s="100" t="s">
        <v>921</v>
      </c>
      <c r="W22" s="100" t="s">
        <v>682</v>
      </c>
      <c r="X22" s="100" t="s">
        <v>922</v>
      </c>
      <c r="Y22" s="100" t="s">
        <v>4113</v>
      </c>
      <c r="Z22" s="100" t="s">
        <v>4114</v>
      </c>
      <c r="AA22" s="100" t="s">
        <v>923</v>
      </c>
      <c r="AB22" s="100" t="s">
        <v>924</v>
      </c>
      <c r="AC22" s="100" t="s">
        <v>682</v>
      </c>
      <c r="AD22" s="100" t="s">
        <v>682</v>
      </c>
      <c r="AE22" s="100" t="s">
        <v>43</v>
      </c>
      <c r="AF22" s="100" t="s">
        <v>41</v>
      </c>
      <c r="AG22" s="100" t="s">
        <v>45</v>
      </c>
      <c r="AH22" s="100" t="s">
        <v>925</v>
      </c>
      <c r="AI22" s="100" t="s">
        <v>682</v>
      </c>
      <c r="AJ22" s="100" t="s">
        <v>682</v>
      </c>
      <c r="AK22" s="100" t="s">
        <v>682</v>
      </c>
    </row>
    <row r="23" spans="1:37">
      <c r="A23" s="100" t="s">
        <v>926</v>
      </c>
      <c r="B23" s="100" t="s">
        <v>927</v>
      </c>
      <c r="C23" s="100" t="s">
        <v>682</v>
      </c>
      <c r="D23" s="100" t="s">
        <v>745</v>
      </c>
      <c r="E23" s="100" t="s">
        <v>928</v>
      </c>
      <c r="F23" s="100" t="s">
        <v>179</v>
      </c>
      <c r="G23" s="100" t="s">
        <v>3905</v>
      </c>
      <c r="H23" s="100" t="s">
        <v>682</v>
      </c>
      <c r="I23" s="100" t="s">
        <v>4115</v>
      </c>
      <c r="J23" s="100" t="s">
        <v>1583</v>
      </c>
      <c r="K23" s="100" t="s">
        <v>929</v>
      </c>
      <c r="L23" s="100" t="s">
        <v>682</v>
      </c>
      <c r="M23" s="100" t="s">
        <v>682</v>
      </c>
      <c r="N23" s="100" t="s">
        <v>682</v>
      </c>
      <c r="O23" s="100" t="s">
        <v>5126</v>
      </c>
      <c r="P23" s="100" t="s">
        <v>3939</v>
      </c>
      <c r="Q23" s="100" t="s">
        <v>930</v>
      </c>
      <c r="R23" s="100" t="s">
        <v>5127</v>
      </c>
      <c r="S23" s="100" t="s">
        <v>5128</v>
      </c>
      <c r="T23" s="100" t="s">
        <v>4116</v>
      </c>
      <c r="U23" s="100" t="s">
        <v>931</v>
      </c>
      <c r="V23" s="100" t="s">
        <v>932</v>
      </c>
      <c r="W23" s="100" t="s">
        <v>682</v>
      </c>
      <c r="X23" s="100" t="s">
        <v>933</v>
      </c>
      <c r="Y23" s="100" t="s">
        <v>4117</v>
      </c>
      <c r="Z23" s="100" t="s">
        <v>4118</v>
      </c>
      <c r="AA23" s="100" t="s">
        <v>934</v>
      </c>
      <c r="AB23" s="100" t="s">
        <v>935</v>
      </c>
      <c r="AC23" s="100" t="s">
        <v>682</v>
      </c>
      <c r="AD23" s="100" t="s">
        <v>682</v>
      </c>
      <c r="AE23" s="100" t="s">
        <v>43</v>
      </c>
      <c r="AF23" s="100" t="s">
        <v>41</v>
      </c>
      <c r="AG23" s="100" t="s">
        <v>45</v>
      </c>
      <c r="AH23" s="100" t="s">
        <v>936</v>
      </c>
      <c r="AI23" s="100" t="s">
        <v>682</v>
      </c>
      <c r="AJ23" s="100" t="s">
        <v>682</v>
      </c>
      <c r="AK23" s="100" t="s">
        <v>682</v>
      </c>
    </row>
    <row r="24" spans="1:37">
      <c r="A24" s="100" t="s">
        <v>937</v>
      </c>
      <c r="B24" s="100" t="s">
        <v>938</v>
      </c>
      <c r="C24" s="100" t="s">
        <v>682</v>
      </c>
      <c r="D24" s="100" t="s">
        <v>1138</v>
      </c>
      <c r="E24" s="100" t="s">
        <v>939</v>
      </c>
      <c r="F24" s="100" t="s">
        <v>209</v>
      </c>
      <c r="G24" s="100" t="s">
        <v>403</v>
      </c>
      <c r="H24" s="100" t="s">
        <v>682</v>
      </c>
      <c r="I24" s="100" t="s">
        <v>4119</v>
      </c>
      <c r="J24" s="100" t="s">
        <v>1140</v>
      </c>
      <c r="K24" s="100" t="s">
        <v>941</v>
      </c>
      <c r="L24" s="100" t="s">
        <v>682</v>
      </c>
      <c r="M24" s="100" t="s">
        <v>682</v>
      </c>
      <c r="N24" s="100" t="s">
        <v>682</v>
      </c>
      <c r="O24" s="100" t="s">
        <v>5129</v>
      </c>
      <c r="P24" s="100" t="s">
        <v>3940</v>
      </c>
      <c r="Q24" s="100" t="s">
        <v>942</v>
      </c>
      <c r="R24" s="100" t="s">
        <v>5130</v>
      </c>
      <c r="S24" s="100" t="s">
        <v>5131</v>
      </c>
      <c r="T24" s="100" t="s">
        <v>4120</v>
      </c>
      <c r="U24" s="100" t="s">
        <v>943</v>
      </c>
      <c r="V24" s="100" t="s">
        <v>944</v>
      </c>
      <c r="W24" s="100" t="s">
        <v>682</v>
      </c>
      <c r="X24" s="100" t="s">
        <v>945</v>
      </c>
      <c r="Y24" s="100" t="s">
        <v>4121</v>
      </c>
      <c r="Z24" s="100" t="s">
        <v>4122</v>
      </c>
      <c r="AA24" s="100" t="s">
        <v>946</v>
      </c>
      <c r="AB24" s="100" t="s">
        <v>947</v>
      </c>
      <c r="AC24" s="100" t="s">
        <v>682</v>
      </c>
      <c r="AD24" s="100" t="s">
        <v>682</v>
      </c>
      <c r="AE24" s="100" t="s">
        <v>43</v>
      </c>
      <c r="AF24" s="100" t="s">
        <v>41</v>
      </c>
      <c r="AG24" s="100" t="s">
        <v>63</v>
      </c>
      <c r="AH24" s="100" t="s">
        <v>948</v>
      </c>
      <c r="AI24" s="100" t="s">
        <v>682</v>
      </c>
      <c r="AJ24" s="100" t="s">
        <v>682</v>
      </c>
      <c r="AK24" s="100" t="s">
        <v>682</v>
      </c>
    </row>
    <row r="25" spans="1:37">
      <c r="A25" s="100" t="s">
        <v>949</v>
      </c>
      <c r="B25" s="100" t="s">
        <v>950</v>
      </c>
      <c r="C25" s="100" t="s">
        <v>682</v>
      </c>
      <c r="D25" s="100" t="s">
        <v>1138</v>
      </c>
      <c r="E25" s="100" t="s">
        <v>952</v>
      </c>
      <c r="F25" s="100" t="s">
        <v>209</v>
      </c>
      <c r="G25" s="100" t="s">
        <v>416</v>
      </c>
      <c r="H25" s="100" t="s">
        <v>682</v>
      </c>
      <c r="I25" s="100" t="s">
        <v>4123</v>
      </c>
      <c r="J25" s="100" t="s">
        <v>1152</v>
      </c>
      <c r="K25" s="100" t="s">
        <v>954</v>
      </c>
      <c r="L25" s="100" t="s">
        <v>682</v>
      </c>
      <c r="M25" s="100" t="s">
        <v>682</v>
      </c>
      <c r="N25" s="100" t="s">
        <v>682</v>
      </c>
      <c r="O25" s="100" t="s">
        <v>5132</v>
      </c>
      <c r="P25" s="100" t="s">
        <v>3941</v>
      </c>
      <c r="Q25" s="100" t="s">
        <v>955</v>
      </c>
      <c r="R25" s="100" t="s">
        <v>5133</v>
      </c>
      <c r="S25" s="100" t="s">
        <v>5134</v>
      </c>
      <c r="T25" s="100" t="s">
        <v>4124</v>
      </c>
      <c r="U25" s="100" t="s">
        <v>956</v>
      </c>
      <c r="V25" s="100" t="s">
        <v>957</v>
      </c>
      <c r="W25" s="100" t="s">
        <v>682</v>
      </c>
      <c r="X25" s="100" t="s">
        <v>958</v>
      </c>
      <c r="Y25" s="100" t="s">
        <v>4125</v>
      </c>
      <c r="Z25" s="100" t="s">
        <v>4126</v>
      </c>
      <c r="AA25" s="100" t="s">
        <v>959</v>
      </c>
      <c r="AB25" s="100" t="s">
        <v>960</v>
      </c>
      <c r="AC25" s="100" t="s">
        <v>682</v>
      </c>
      <c r="AD25" s="100" t="s">
        <v>682</v>
      </c>
      <c r="AE25" s="100" t="s">
        <v>43</v>
      </c>
      <c r="AF25" s="100" t="s">
        <v>41</v>
      </c>
      <c r="AG25" s="100" t="s">
        <v>63</v>
      </c>
      <c r="AH25" s="100" t="s">
        <v>961</v>
      </c>
      <c r="AI25" s="100" t="s">
        <v>682</v>
      </c>
      <c r="AJ25" s="100" t="s">
        <v>682</v>
      </c>
      <c r="AK25" s="100" t="s">
        <v>682</v>
      </c>
    </row>
    <row r="26" spans="1:37">
      <c r="A26" s="100" t="s">
        <v>962</v>
      </c>
      <c r="B26" s="100" t="s">
        <v>963</v>
      </c>
      <c r="C26" s="100" t="s">
        <v>682</v>
      </c>
      <c r="D26" s="100" t="s">
        <v>1581</v>
      </c>
      <c r="E26" s="100" t="s">
        <v>964</v>
      </c>
      <c r="F26" s="100" t="s">
        <v>175</v>
      </c>
      <c r="G26" s="100" t="s">
        <v>419</v>
      </c>
      <c r="H26" s="100" t="s">
        <v>682</v>
      </c>
      <c r="I26" s="100" t="s">
        <v>4127</v>
      </c>
      <c r="J26" s="100" t="s">
        <v>1583</v>
      </c>
      <c r="K26" s="100" t="s">
        <v>966</v>
      </c>
      <c r="L26" s="100" t="s">
        <v>682</v>
      </c>
      <c r="M26" s="100" t="s">
        <v>682</v>
      </c>
      <c r="N26" s="100" t="s">
        <v>682</v>
      </c>
      <c r="O26" s="100" t="s">
        <v>5135</v>
      </c>
      <c r="P26" s="100" t="s">
        <v>3942</v>
      </c>
      <c r="Q26" s="100" t="s">
        <v>967</v>
      </c>
      <c r="R26" s="100" t="s">
        <v>5136</v>
      </c>
      <c r="S26" s="100" t="s">
        <v>5137</v>
      </c>
      <c r="T26" s="100" t="s">
        <v>4128</v>
      </c>
      <c r="U26" s="100" t="s">
        <v>968</v>
      </c>
      <c r="V26" s="100" t="s">
        <v>969</v>
      </c>
      <c r="W26" s="100" t="s">
        <v>682</v>
      </c>
      <c r="X26" s="100" t="s">
        <v>970</v>
      </c>
      <c r="Y26" s="100" t="s">
        <v>4129</v>
      </c>
      <c r="Z26" s="100" t="s">
        <v>4130</v>
      </c>
      <c r="AA26" s="100" t="s">
        <v>971</v>
      </c>
      <c r="AB26" s="100" t="s">
        <v>972</v>
      </c>
      <c r="AC26" s="100" t="s">
        <v>682</v>
      </c>
      <c r="AD26" s="100" t="s">
        <v>682</v>
      </c>
      <c r="AE26" s="100" t="s">
        <v>43</v>
      </c>
      <c r="AF26" s="100" t="s">
        <v>41</v>
      </c>
      <c r="AG26" s="100" t="s">
        <v>42</v>
      </c>
      <c r="AH26" s="100" t="s">
        <v>973</v>
      </c>
      <c r="AI26" s="100" t="s">
        <v>682</v>
      </c>
      <c r="AJ26" s="100" t="s">
        <v>682</v>
      </c>
      <c r="AK26" s="100" t="s">
        <v>682</v>
      </c>
    </row>
    <row r="27" spans="1:37">
      <c r="A27" s="100" t="s">
        <v>974</v>
      </c>
      <c r="B27" s="100" t="s">
        <v>975</v>
      </c>
      <c r="C27" s="100" t="s">
        <v>682</v>
      </c>
      <c r="D27" s="100" t="s">
        <v>47</v>
      </c>
      <c r="E27" s="100" t="s">
        <v>976</v>
      </c>
      <c r="F27" s="100" t="s">
        <v>175</v>
      </c>
      <c r="G27" s="100" t="s">
        <v>367</v>
      </c>
      <c r="H27" s="100" t="s">
        <v>682</v>
      </c>
      <c r="I27" s="100" t="s">
        <v>4131</v>
      </c>
      <c r="J27" s="100" t="s">
        <v>1592</v>
      </c>
      <c r="K27" s="100" t="s">
        <v>977</v>
      </c>
      <c r="L27" s="100" t="s">
        <v>682</v>
      </c>
      <c r="M27" s="100" t="s">
        <v>682</v>
      </c>
      <c r="N27" s="100" t="s">
        <v>682</v>
      </c>
      <c r="O27" s="100" t="s">
        <v>5138</v>
      </c>
      <c r="P27" s="100" t="s">
        <v>3943</v>
      </c>
      <c r="Q27" s="100" t="s">
        <v>978</v>
      </c>
      <c r="R27" s="100" t="s">
        <v>5139</v>
      </c>
      <c r="S27" s="100" t="s">
        <v>5140</v>
      </c>
      <c r="T27" s="100" t="s">
        <v>4132</v>
      </c>
      <c r="U27" s="100" t="s">
        <v>979</v>
      </c>
      <c r="V27" s="100" t="s">
        <v>980</v>
      </c>
      <c r="W27" s="100" t="s">
        <v>682</v>
      </c>
      <c r="X27" s="100" t="s">
        <v>981</v>
      </c>
      <c r="Y27" s="100" t="s">
        <v>4133</v>
      </c>
      <c r="Z27" s="100" t="s">
        <v>4134</v>
      </c>
      <c r="AA27" s="100" t="s">
        <v>982</v>
      </c>
      <c r="AB27" s="100" t="s">
        <v>983</v>
      </c>
      <c r="AC27" s="100" t="s">
        <v>682</v>
      </c>
      <c r="AD27" s="100" t="s">
        <v>682</v>
      </c>
      <c r="AE27" s="100" t="s">
        <v>43</v>
      </c>
      <c r="AF27" s="100" t="s">
        <v>41</v>
      </c>
      <c r="AG27" s="100" t="s">
        <v>42</v>
      </c>
      <c r="AH27" s="100" t="s">
        <v>984</v>
      </c>
      <c r="AI27" s="100" t="s">
        <v>682</v>
      </c>
      <c r="AJ27" s="100" t="s">
        <v>682</v>
      </c>
      <c r="AK27" s="100" t="s">
        <v>682</v>
      </c>
    </row>
    <row r="28" spans="1:37">
      <c r="A28" s="100" t="s">
        <v>985</v>
      </c>
      <c r="B28" s="100" t="s">
        <v>986</v>
      </c>
      <c r="C28" s="100" t="s">
        <v>682</v>
      </c>
      <c r="D28" s="100" t="s">
        <v>70</v>
      </c>
      <c r="E28" s="100" t="s">
        <v>987</v>
      </c>
      <c r="F28" s="100" t="s">
        <v>177</v>
      </c>
      <c r="G28" s="100" t="s">
        <v>448</v>
      </c>
      <c r="H28" s="100" t="s">
        <v>682</v>
      </c>
      <c r="I28" s="100" t="s">
        <v>4135</v>
      </c>
      <c r="J28" s="100" t="s">
        <v>1140</v>
      </c>
      <c r="K28" s="100" t="s">
        <v>988</v>
      </c>
      <c r="L28" s="100" t="s">
        <v>682</v>
      </c>
      <c r="M28" s="100" t="s">
        <v>682</v>
      </c>
      <c r="N28" s="100" t="s">
        <v>682</v>
      </c>
      <c r="O28" s="100" t="s">
        <v>5141</v>
      </c>
      <c r="P28" s="100" t="s">
        <v>3944</v>
      </c>
      <c r="Q28" s="100" t="s">
        <v>989</v>
      </c>
      <c r="R28" s="100" t="s">
        <v>5142</v>
      </c>
      <c r="S28" s="100" t="s">
        <v>5143</v>
      </c>
      <c r="T28" s="100" t="s">
        <v>4136</v>
      </c>
      <c r="U28" s="100" t="s">
        <v>990</v>
      </c>
      <c r="V28" s="100" t="s">
        <v>991</v>
      </c>
      <c r="W28" s="100" t="s">
        <v>682</v>
      </c>
      <c r="X28" s="100" t="s">
        <v>992</v>
      </c>
      <c r="Y28" s="100" t="s">
        <v>4137</v>
      </c>
      <c r="Z28" s="100" t="s">
        <v>4138</v>
      </c>
      <c r="AA28" s="100" t="s">
        <v>993</v>
      </c>
      <c r="AB28" s="100" t="s">
        <v>994</v>
      </c>
      <c r="AC28" s="100" t="s">
        <v>682</v>
      </c>
      <c r="AD28" s="100" t="s">
        <v>682</v>
      </c>
      <c r="AE28" s="100" t="s">
        <v>43</v>
      </c>
      <c r="AF28" s="100" t="s">
        <v>41</v>
      </c>
      <c r="AG28" s="100" t="s">
        <v>63</v>
      </c>
      <c r="AH28" s="100" t="s">
        <v>995</v>
      </c>
      <c r="AI28" s="100" t="s">
        <v>682</v>
      </c>
      <c r="AJ28" s="100" t="s">
        <v>682</v>
      </c>
      <c r="AK28" s="100" t="s">
        <v>682</v>
      </c>
    </row>
    <row r="29" spans="1:37">
      <c r="A29" s="100" t="s">
        <v>996</v>
      </c>
      <c r="B29" s="100" t="s">
        <v>997</v>
      </c>
      <c r="C29" s="100" t="s">
        <v>682</v>
      </c>
      <c r="D29" s="100" t="s">
        <v>38</v>
      </c>
      <c r="E29" s="100" t="s">
        <v>998</v>
      </c>
      <c r="F29" s="100" t="s">
        <v>154</v>
      </c>
      <c r="G29" s="100" t="s">
        <v>457</v>
      </c>
      <c r="H29" s="100" t="s">
        <v>682</v>
      </c>
      <c r="I29" s="100" t="s">
        <v>4139</v>
      </c>
      <c r="J29" s="100" t="s">
        <v>1592</v>
      </c>
      <c r="K29" s="100" t="s">
        <v>1000</v>
      </c>
      <c r="L29" s="100" t="s">
        <v>682</v>
      </c>
      <c r="M29" s="100" t="s">
        <v>682</v>
      </c>
      <c r="N29" s="100" t="s">
        <v>682</v>
      </c>
      <c r="O29" s="100" t="s">
        <v>5144</v>
      </c>
      <c r="P29" s="100" t="s">
        <v>1001</v>
      </c>
      <c r="Q29" s="100" t="s">
        <v>1002</v>
      </c>
      <c r="R29" s="100" t="s">
        <v>5145</v>
      </c>
      <c r="S29" s="100" t="s">
        <v>5146</v>
      </c>
      <c r="T29" s="100" t="s">
        <v>4140</v>
      </c>
      <c r="U29" s="100" t="s">
        <v>1003</v>
      </c>
      <c r="V29" s="100" t="s">
        <v>1004</v>
      </c>
      <c r="W29" s="100" t="s">
        <v>682</v>
      </c>
      <c r="X29" s="100" t="s">
        <v>1005</v>
      </c>
      <c r="Y29" s="100" t="s">
        <v>4141</v>
      </c>
      <c r="Z29" s="100" t="s">
        <v>4142</v>
      </c>
      <c r="AA29" s="100" t="s">
        <v>1006</v>
      </c>
      <c r="AB29" s="100" t="s">
        <v>1007</v>
      </c>
      <c r="AC29" s="100" t="s">
        <v>682</v>
      </c>
      <c r="AD29" s="100" t="s">
        <v>682</v>
      </c>
      <c r="AE29" s="100" t="s">
        <v>54</v>
      </c>
      <c r="AF29" s="100" t="s">
        <v>682</v>
      </c>
      <c r="AG29" s="100" t="s">
        <v>682</v>
      </c>
      <c r="AH29" s="100" t="s">
        <v>1008</v>
      </c>
      <c r="AI29" s="100" t="s">
        <v>682</v>
      </c>
      <c r="AJ29" s="100" t="s">
        <v>682</v>
      </c>
      <c r="AK29" s="100" t="s">
        <v>682</v>
      </c>
    </row>
    <row r="30" spans="1:37">
      <c r="A30" s="100" t="s">
        <v>1009</v>
      </c>
      <c r="B30" s="100" t="s">
        <v>1010</v>
      </c>
      <c r="C30" s="100" t="s">
        <v>682</v>
      </c>
      <c r="D30" s="100" t="s">
        <v>38</v>
      </c>
      <c r="E30" s="100" t="s">
        <v>1011</v>
      </c>
      <c r="F30" s="100" t="s">
        <v>154</v>
      </c>
      <c r="G30" s="100" t="s">
        <v>462</v>
      </c>
      <c r="H30" s="100" t="s">
        <v>682</v>
      </c>
      <c r="I30" s="100" t="s">
        <v>4143</v>
      </c>
      <c r="J30" s="100" t="s">
        <v>1991</v>
      </c>
      <c r="K30" s="100" t="s">
        <v>1013</v>
      </c>
      <c r="L30" s="100" t="s">
        <v>682</v>
      </c>
      <c r="M30" s="100" t="s">
        <v>682</v>
      </c>
      <c r="N30" s="100" t="s">
        <v>682</v>
      </c>
      <c r="O30" s="100" t="s">
        <v>5147</v>
      </c>
      <c r="P30" s="100" t="s">
        <v>3945</v>
      </c>
      <c r="Q30" s="100" t="s">
        <v>1014</v>
      </c>
      <c r="R30" s="100" t="s">
        <v>5148</v>
      </c>
      <c r="S30" s="100" t="s">
        <v>5149</v>
      </c>
      <c r="T30" s="100" t="s">
        <v>4144</v>
      </c>
      <c r="U30" s="100" t="s">
        <v>1015</v>
      </c>
      <c r="V30" s="100" t="s">
        <v>1016</v>
      </c>
      <c r="W30" s="100" t="s">
        <v>682</v>
      </c>
      <c r="X30" s="100" t="s">
        <v>1017</v>
      </c>
      <c r="Y30" s="100" t="s">
        <v>4145</v>
      </c>
      <c r="Z30" s="100" t="s">
        <v>4146</v>
      </c>
      <c r="AA30" s="100" t="s">
        <v>1018</v>
      </c>
      <c r="AB30" s="100" t="s">
        <v>1019</v>
      </c>
      <c r="AC30" s="100" t="s">
        <v>682</v>
      </c>
      <c r="AD30" s="100" t="s">
        <v>682</v>
      </c>
      <c r="AE30" s="100" t="s">
        <v>54</v>
      </c>
      <c r="AF30" s="100" t="s">
        <v>682</v>
      </c>
      <c r="AG30" s="100" t="s">
        <v>682</v>
      </c>
      <c r="AH30" s="100" t="s">
        <v>1020</v>
      </c>
      <c r="AI30" s="100" t="s">
        <v>682</v>
      </c>
      <c r="AJ30" s="100" t="s">
        <v>682</v>
      </c>
      <c r="AK30" s="100" t="s">
        <v>682</v>
      </c>
    </row>
    <row r="31" spans="1:37">
      <c r="A31" s="100" t="s">
        <v>1021</v>
      </c>
      <c r="B31" s="100" t="s">
        <v>1022</v>
      </c>
      <c r="C31" s="100" t="s">
        <v>682</v>
      </c>
      <c r="D31" s="100" t="s">
        <v>2619</v>
      </c>
      <c r="E31" s="100" t="s">
        <v>1023</v>
      </c>
      <c r="F31" s="100" t="s">
        <v>224</v>
      </c>
      <c r="G31" s="100" t="s">
        <v>368</v>
      </c>
      <c r="H31" s="100" t="s">
        <v>682</v>
      </c>
      <c r="I31" s="100" t="s">
        <v>4147</v>
      </c>
      <c r="J31" s="100" t="s">
        <v>1592</v>
      </c>
      <c r="K31" s="100" t="s">
        <v>1025</v>
      </c>
      <c r="L31" s="100" t="s">
        <v>682</v>
      </c>
      <c r="M31" s="100" t="s">
        <v>682</v>
      </c>
      <c r="N31" s="100" t="s">
        <v>682</v>
      </c>
      <c r="O31" s="100" t="s">
        <v>5150</v>
      </c>
      <c r="P31" s="100" t="s">
        <v>3946</v>
      </c>
      <c r="Q31" s="100" t="s">
        <v>1026</v>
      </c>
      <c r="R31" s="100" t="s">
        <v>5151</v>
      </c>
      <c r="S31" s="100" t="s">
        <v>5152</v>
      </c>
      <c r="T31" s="100" t="s">
        <v>4148</v>
      </c>
      <c r="U31" s="100" t="s">
        <v>1027</v>
      </c>
      <c r="V31" s="100" t="s">
        <v>1028</v>
      </c>
      <c r="W31" s="100" t="s">
        <v>682</v>
      </c>
      <c r="X31" s="100" t="s">
        <v>1029</v>
      </c>
      <c r="Y31" s="100" t="s">
        <v>4149</v>
      </c>
      <c r="Z31" s="100" t="s">
        <v>4150</v>
      </c>
      <c r="AA31" s="100" t="s">
        <v>1030</v>
      </c>
      <c r="AB31" s="100" t="s">
        <v>1031</v>
      </c>
      <c r="AC31" s="100" t="s">
        <v>682</v>
      </c>
      <c r="AD31" s="100" t="s">
        <v>682</v>
      </c>
      <c r="AE31" s="100" t="s">
        <v>43</v>
      </c>
      <c r="AF31" s="100" t="s">
        <v>41</v>
      </c>
      <c r="AG31" s="100" t="s">
        <v>42</v>
      </c>
      <c r="AH31" s="100" t="s">
        <v>1032</v>
      </c>
      <c r="AI31" s="100" t="s">
        <v>682</v>
      </c>
      <c r="AJ31" s="100" t="s">
        <v>682</v>
      </c>
      <c r="AK31" s="100" t="s">
        <v>682</v>
      </c>
    </row>
    <row r="32" spans="1:37">
      <c r="A32" s="100" t="s">
        <v>1033</v>
      </c>
      <c r="B32" s="100" t="s">
        <v>1034</v>
      </c>
      <c r="C32" s="100" t="s">
        <v>682</v>
      </c>
      <c r="D32" s="100" t="s">
        <v>97</v>
      </c>
      <c r="E32" s="100" t="s">
        <v>1035</v>
      </c>
      <c r="F32" s="100" t="s">
        <v>247</v>
      </c>
      <c r="G32" s="100" t="s">
        <v>565</v>
      </c>
      <c r="H32" s="100" t="s">
        <v>682</v>
      </c>
      <c r="I32" s="100" t="s">
        <v>4151</v>
      </c>
      <c r="J32" s="100" t="s">
        <v>1592</v>
      </c>
      <c r="K32" s="100" t="s">
        <v>1037</v>
      </c>
      <c r="L32" s="100" t="s">
        <v>682</v>
      </c>
      <c r="M32" s="100" t="s">
        <v>682</v>
      </c>
      <c r="N32" s="100" t="s">
        <v>682</v>
      </c>
      <c r="O32" s="100" t="s">
        <v>5153</v>
      </c>
      <c r="P32" s="100" t="s">
        <v>3947</v>
      </c>
      <c r="Q32" s="100" t="s">
        <v>1038</v>
      </c>
      <c r="R32" s="100" t="s">
        <v>5154</v>
      </c>
      <c r="S32" s="100" t="s">
        <v>5155</v>
      </c>
      <c r="T32" s="100" t="s">
        <v>4152</v>
      </c>
      <c r="U32" s="100" t="s">
        <v>1039</v>
      </c>
      <c r="V32" s="100" t="s">
        <v>1040</v>
      </c>
      <c r="W32" s="100" t="s">
        <v>682</v>
      </c>
      <c r="X32" s="100" t="s">
        <v>1041</v>
      </c>
      <c r="Y32" s="100" t="s">
        <v>4153</v>
      </c>
      <c r="Z32" s="100" t="s">
        <v>4154</v>
      </c>
      <c r="AA32" s="100" t="s">
        <v>1042</v>
      </c>
      <c r="AB32" s="100" t="s">
        <v>1043</v>
      </c>
      <c r="AC32" s="100" t="s">
        <v>682</v>
      </c>
      <c r="AD32" s="100" t="s">
        <v>682</v>
      </c>
      <c r="AE32" s="100" t="s">
        <v>43</v>
      </c>
      <c r="AF32" s="100" t="s">
        <v>41</v>
      </c>
      <c r="AG32" s="100" t="s">
        <v>42</v>
      </c>
      <c r="AH32" s="100" t="s">
        <v>1044</v>
      </c>
      <c r="AI32" s="100" t="s">
        <v>682</v>
      </c>
      <c r="AJ32" s="100" t="s">
        <v>682</v>
      </c>
      <c r="AK32" s="100" t="s">
        <v>682</v>
      </c>
    </row>
    <row r="33" spans="1:37">
      <c r="A33" s="100" t="s">
        <v>1045</v>
      </c>
      <c r="B33" s="100" t="s">
        <v>682</v>
      </c>
      <c r="C33" s="100" t="s">
        <v>682</v>
      </c>
      <c r="D33" s="100" t="s">
        <v>682</v>
      </c>
      <c r="E33" s="100" t="s">
        <v>682</v>
      </c>
      <c r="F33" s="100" t="s">
        <v>682</v>
      </c>
      <c r="G33" s="100" t="s">
        <v>682</v>
      </c>
      <c r="H33" s="100" t="s">
        <v>682</v>
      </c>
      <c r="I33" s="100" t="s">
        <v>682</v>
      </c>
      <c r="J33" s="100" t="s">
        <v>6424</v>
      </c>
      <c r="K33" s="100" t="s">
        <v>6503</v>
      </c>
      <c r="L33" s="100" t="s">
        <v>6504</v>
      </c>
      <c r="M33" s="100" t="s">
        <v>682</v>
      </c>
      <c r="N33" s="100" t="s">
        <v>682</v>
      </c>
      <c r="O33" s="100" t="s">
        <v>682</v>
      </c>
      <c r="P33" s="100" t="s">
        <v>682</v>
      </c>
      <c r="Q33" s="100" t="s">
        <v>1046</v>
      </c>
      <c r="R33" s="100" t="s">
        <v>6505</v>
      </c>
      <c r="S33" s="100" t="s">
        <v>6506</v>
      </c>
      <c r="T33" s="100" t="s">
        <v>6507</v>
      </c>
      <c r="U33" s="100" t="s">
        <v>1047</v>
      </c>
      <c r="V33" s="100" t="s">
        <v>1048</v>
      </c>
      <c r="W33" s="100" t="s">
        <v>6508</v>
      </c>
      <c r="X33" s="100" t="s">
        <v>682</v>
      </c>
      <c r="Y33" s="100" t="s">
        <v>682</v>
      </c>
      <c r="Z33" s="100" t="s">
        <v>682</v>
      </c>
      <c r="AA33" s="100" t="s">
        <v>1049</v>
      </c>
      <c r="AB33" s="100" t="s">
        <v>1050</v>
      </c>
      <c r="AC33" s="100" t="s">
        <v>6509</v>
      </c>
      <c r="AD33" s="100" t="s">
        <v>682</v>
      </c>
      <c r="AE33" s="100" t="s">
        <v>682</v>
      </c>
      <c r="AF33" s="100" t="s">
        <v>682</v>
      </c>
      <c r="AG33" s="100" t="s">
        <v>682</v>
      </c>
      <c r="AH33" s="100" t="s">
        <v>682</v>
      </c>
      <c r="AI33" s="100" t="s">
        <v>682</v>
      </c>
      <c r="AJ33" s="100" t="s">
        <v>682</v>
      </c>
      <c r="AK33" s="100" t="s">
        <v>682</v>
      </c>
    </row>
    <row r="34" spans="1:37">
      <c r="A34" s="100" t="s">
        <v>1051</v>
      </c>
      <c r="B34" s="100" t="s">
        <v>1052</v>
      </c>
      <c r="C34" s="100" t="s">
        <v>682</v>
      </c>
      <c r="D34" s="100" t="s">
        <v>862</v>
      </c>
      <c r="E34" s="100" t="s">
        <v>1053</v>
      </c>
      <c r="F34" s="100" t="s">
        <v>179</v>
      </c>
      <c r="G34" s="100" t="s">
        <v>542</v>
      </c>
      <c r="H34" s="100" t="s">
        <v>682</v>
      </c>
      <c r="I34" s="100" t="s">
        <v>4155</v>
      </c>
      <c r="J34" s="100" t="s">
        <v>3919</v>
      </c>
      <c r="K34" s="100" t="s">
        <v>1054</v>
      </c>
      <c r="L34" s="100" t="s">
        <v>682</v>
      </c>
      <c r="M34" s="100" t="s">
        <v>682</v>
      </c>
      <c r="N34" s="100" t="s">
        <v>682</v>
      </c>
      <c r="O34" s="100" t="s">
        <v>5156</v>
      </c>
      <c r="P34" s="100" t="s">
        <v>3948</v>
      </c>
      <c r="Q34" s="100" t="s">
        <v>1055</v>
      </c>
      <c r="R34" s="100" t="s">
        <v>5157</v>
      </c>
      <c r="S34" s="100" t="s">
        <v>5158</v>
      </c>
      <c r="T34" s="100" t="s">
        <v>4156</v>
      </c>
      <c r="U34" s="100" t="s">
        <v>1056</v>
      </c>
      <c r="V34" s="100" t="s">
        <v>1057</v>
      </c>
      <c r="W34" s="100" t="s">
        <v>682</v>
      </c>
      <c r="X34" s="100" t="s">
        <v>1058</v>
      </c>
      <c r="Y34" s="100" t="s">
        <v>4157</v>
      </c>
      <c r="Z34" s="100" t="s">
        <v>4158</v>
      </c>
      <c r="AA34" s="100" t="s">
        <v>1059</v>
      </c>
      <c r="AB34" s="100" t="s">
        <v>1060</v>
      </c>
      <c r="AC34" s="100" t="s">
        <v>682</v>
      </c>
      <c r="AD34" s="100" t="s">
        <v>682</v>
      </c>
      <c r="AE34" s="100" t="s">
        <v>43</v>
      </c>
      <c r="AF34" s="100" t="s">
        <v>41</v>
      </c>
      <c r="AG34" s="100" t="s">
        <v>42</v>
      </c>
      <c r="AH34" s="100" t="s">
        <v>1061</v>
      </c>
      <c r="AI34" s="100" t="s">
        <v>682</v>
      </c>
      <c r="AJ34" s="100" t="s">
        <v>682</v>
      </c>
      <c r="AK34" s="100" t="s">
        <v>682</v>
      </c>
    </row>
    <row r="35" spans="1:37">
      <c r="A35" s="100" t="s">
        <v>1062</v>
      </c>
      <c r="B35" s="100" t="s">
        <v>1063</v>
      </c>
      <c r="C35" s="100" t="s">
        <v>682</v>
      </c>
      <c r="D35" s="100" t="s">
        <v>951</v>
      </c>
      <c r="E35" s="100" t="s">
        <v>1064</v>
      </c>
      <c r="F35" s="100" t="s">
        <v>178</v>
      </c>
      <c r="G35" s="100" t="s">
        <v>560</v>
      </c>
      <c r="H35" s="100" t="s">
        <v>682</v>
      </c>
      <c r="I35" s="100" t="s">
        <v>4159</v>
      </c>
      <c r="J35" s="100" t="s">
        <v>1012</v>
      </c>
      <c r="K35" s="100" t="s">
        <v>1065</v>
      </c>
      <c r="L35" s="100" t="s">
        <v>682</v>
      </c>
      <c r="M35" s="100" t="s">
        <v>682</v>
      </c>
      <c r="N35" s="100" t="s">
        <v>682</v>
      </c>
      <c r="O35" s="100" t="s">
        <v>5159</v>
      </c>
      <c r="P35" s="100" t="s">
        <v>3949</v>
      </c>
      <c r="Q35" s="100" t="s">
        <v>1066</v>
      </c>
      <c r="R35" s="100" t="s">
        <v>5160</v>
      </c>
      <c r="S35" s="100" t="s">
        <v>5161</v>
      </c>
      <c r="T35" s="100" t="s">
        <v>4160</v>
      </c>
      <c r="U35" s="100" t="s">
        <v>1067</v>
      </c>
      <c r="V35" s="100" t="s">
        <v>1068</v>
      </c>
      <c r="W35" s="100" t="s">
        <v>682</v>
      </c>
      <c r="X35" s="100" t="s">
        <v>1069</v>
      </c>
      <c r="Y35" s="100" t="s">
        <v>4161</v>
      </c>
      <c r="Z35" s="100" t="s">
        <v>4162</v>
      </c>
      <c r="AA35" s="100" t="s">
        <v>1070</v>
      </c>
      <c r="AB35" s="100" t="s">
        <v>1071</v>
      </c>
      <c r="AC35" s="100" t="s">
        <v>682</v>
      </c>
      <c r="AD35" s="100" t="s">
        <v>682</v>
      </c>
      <c r="AE35" s="100" t="s">
        <v>43</v>
      </c>
      <c r="AF35" s="100" t="s">
        <v>41</v>
      </c>
      <c r="AG35" s="100" t="s">
        <v>42</v>
      </c>
      <c r="AH35" s="100" t="s">
        <v>1072</v>
      </c>
      <c r="AI35" s="100" t="s">
        <v>682</v>
      </c>
      <c r="AJ35" s="100" t="s">
        <v>682</v>
      </c>
      <c r="AK35" s="100" t="s">
        <v>682</v>
      </c>
    </row>
    <row r="36" spans="1:37">
      <c r="A36" s="100" t="s">
        <v>1073</v>
      </c>
      <c r="B36" s="100" t="s">
        <v>1074</v>
      </c>
      <c r="C36" s="100" t="s">
        <v>682</v>
      </c>
      <c r="D36" s="100" t="s">
        <v>1138</v>
      </c>
      <c r="E36" s="100" t="s">
        <v>1075</v>
      </c>
      <c r="F36" s="100" t="s">
        <v>209</v>
      </c>
      <c r="G36" s="100" t="s">
        <v>414</v>
      </c>
      <c r="H36" s="100" t="s">
        <v>682</v>
      </c>
      <c r="I36" s="100" t="s">
        <v>4163</v>
      </c>
      <c r="J36" s="100" t="s">
        <v>1201</v>
      </c>
      <c r="K36" s="100" t="s">
        <v>1076</v>
      </c>
      <c r="L36" s="100" t="s">
        <v>682</v>
      </c>
      <c r="M36" s="100" t="s">
        <v>682</v>
      </c>
      <c r="N36" s="100" t="s">
        <v>682</v>
      </c>
      <c r="O36" s="100" t="s">
        <v>5162</v>
      </c>
      <c r="P36" s="100" t="s">
        <v>1077</v>
      </c>
      <c r="Q36" s="100" t="s">
        <v>1078</v>
      </c>
      <c r="R36" s="100" t="s">
        <v>5163</v>
      </c>
      <c r="S36" s="100" t="s">
        <v>5164</v>
      </c>
      <c r="T36" s="100" t="s">
        <v>4164</v>
      </c>
      <c r="U36" s="100" t="s">
        <v>1079</v>
      </c>
      <c r="V36" s="100" t="s">
        <v>1080</v>
      </c>
      <c r="W36" s="100" t="s">
        <v>682</v>
      </c>
      <c r="X36" s="100" t="s">
        <v>1081</v>
      </c>
      <c r="Y36" s="100" t="s">
        <v>4165</v>
      </c>
      <c r="Z36" s="100" t="s">
        <v>4166</v>
      </c>
      <c r="AA36" s="100" t="s">
        <v>1082</v>
      </c>
      <c r="AB36" s="100" t="s">
        <v>1083</v>
      </c>
      <c r="AC36" s="100" t="s">
        <v>682</v>
      </c>
      <c r="AD36" s="100" t="s">
        <v>682</v>
      </c>
      <c r="AE36" s="100" t="s">
        <v>43</v>
      </c>
      <c r="AF36" s="100" t="s">
        <v>41</v>
      </c>
      <c r="AG36" s="100" t="s">
        <v>63</v>
      </c>
      <c r="AH36" s="100" t="s">
        <v>1084</v>
      </c>
      <c r="AI36" s="100" t="s">
        <v>682</v>
      </c>
      <c r="AJ36" s="100" t="s">
        <v>682</v>
      </c>
      <c r="AK36" s="100" t="s">
        <v>682</v>
      </c>
    </row>
    <row r="37" spans="1:37">
      <c r="A37" s="100" t="s">
        <v>1085</v>
      </c>
      <c r="B37" s="100" t="s">
        <v>1086</v>
      </c>
      <c r="C37" s="100" t="s">
        <v>682</v>
      </c>
      <c r="D37" s="100" t="s">
        <v>1138</v>
      </c>
      <c r="E37" s="100" t="s">
        <v>1087</v>
      </c>
      <c r="F37" s="100" t="s">
        <v>209</v>
      </c>
      <c r="G37" s="100" t="s">
        <v>393</v>
      </c>
      <c r="H37" s="100" t="s">
        <v>682</v>
      </c>
      <c r="I37" s="100" t="s">
        <v>4167</v>
      </c>
      <c r="J37" s="100" t="s">
        <v>1212</v>
      </c>
      <c r="K37" s="100" t="s">
        <v>1088</v>
      </c>
      <c r="L37" s="100" t="s">
        <v>682</v>
      </c>
      <c r="M37" s="100" t="s">
        <v>682</v>
      </c>
      <c r="N37" s="100" t="s">
        <v>682</v>
      </c>
      <c r="O37" s="100" t="s">
        <v>5165</v>
      </c>
      <c r="P37" s="100" t="s">
        <v>3950</v>
      </c>
      <c r="Q37" s="100" t="s">
        <v>1089</v>
      </c>
      <c r="R37" s="100" t="s">
        <v>5166</v>
      </c>
      <c r="S37" s="100" t="s">
        <v>5167</v>
      </c>
      <c r="T37" s="100" t="s">
        <v>4168</v>
      </c>
      <c r="U37" s="100" t="s">
        <v>1090</v>
      </c>
      <c r="V37" s="100" t="s">
        <v>1091</v>
      </c>
      <c r="W37" s="100" t="s">
        <v>682</v>
      </c>
      <c r="X37" s="100" t="s">
        <v>1092</v>
      </c>
      <c r="Y37" s="100" t="s">
        <v>4169</v>
      </c>
      <c r="Z37" s="100" t="s">
        <v>4170</v>
      </c>
      <c r="AA37" s="100" t="s">
        <v>1093</v>
      </c>
      <c r="AB37" s="100" t="s">
        <v>1094</v>
      </c>
      <c r="AC37" s="100" t="s">
        <v>682</v>
      </c>
      <c r="AD37" s="100" t="s">
        <v>682</v>
      </c>
      <c r="AE37" s="100" t="s">
        <v>43</v>
      </c>
      <c r="AF37" s="100" t="s">
        <v>41</v>
      </c>
      <c r="AG37" s="100" t="s">
        <v>63</v>
      </c>
      <c r="AH37" s="100" t="s">
        <v>1095</v>
      </c>
      <c r="AI37" s="100" t="s">
        <v>682</v>
      </c>
      <c r="AJ37" s="100" t="s">
        <v>682</v>
      </c>
      <c r="AK37" s="100" t="s">
        <v>682</v>
      </c>
    </row>
    <row r="38" spans="1:37">
      <c r="A38" s="100" t="s">
        <v>1096</v>
      </c>
      <c r="B38" s="100" t="s">
        <v>1097</v>
      </c>
      <c r="C38" s="100" t="s">
        <v>682</v>
      </c>
      <c r="D38" s="100" t="s">
        <v>1138</v>
      </c>
      <c r="E38" s="100" t="s">
        <v>1098</v>
      </c>
      <c r="F38" s="100" t="s">
        <v>209</v>
      </c>
      <c r="G38" s="100" t="s">
        <v>651</v>
      </c>
      <c r="H38" s="100" t="s">
        <v>682</v>
      </c>
      <c r="I38" s="100" t="s">
        <v>4171</v>
      </c>
      <c r="J38" s="100" t="s">
        <v>1221</v>
      </c>
      <c r="K38" s="100" t="s">
        <v>1099</v>
      </c>
      <c r="L38" s="100" t="s">
        <v>682</v>
      </c>
      <c r="M38" s="100" t="s">
        <v>682</v>
      </c>
      <c r="N38" s="100" t="s">
        <v>682</v>
      </c>
      <c r="O38" s="100" t="s">
        <v>5168</v>
      </c>
      <c r="P38" s="100" t="s">
        <v>3951</v>
      </c>
      <c r="Q38" s="100" t="s">
        <v>1100</v>
      </c>
      <c r="R38" s="100" t="s">
        <v>5169</v>
      </c>
      <c r="S38" s="100" t="s">
        <v>5170</v>
      </c>
      <c r="T38" s="100" t="s">
        <v>4172</v>
      </c>
      <c r="U38" s="100" t="s">
        <v>1101</v>
      </c>
      <c r="V38" s="100" t="s">
        <v>1102</v>
      </c>
      <c r="W38" s="100" t="s">
        <v>682</v>
      </c>
      <c r="X38" s="100" t="s">
        <v>1103</v>
      </c>
      <c r="Y38" s="100" t="s">
        <v>4173</v>
      </c>
      <c r="Z38" s="100" t="s">
        <v>4174</v>
      </c>
      <c r="AA38" s="100" t="s">
        <v>1104</v>
      </c>
      <c r="AB38" s="100" t="s">
        <v>1105</v>
      </c>
      <c r="AC38" s="100" t="s">
        <v>682</v>
      </c>
      <c r="AD38" s="100" t="s">
        <v>682</v>
      </c>
      <c r="AE38" s="100" t="s">
        <v>43</v>
      </c>
      <c r="AF38" s="100" t="s">
        <v>41</v>
      </c>
      <c r="AG38" s="100" t="s">
        <v>63</v>
      </c>
      <c r="AH38" s="100" t="s">
        <v>1106</v>
      </c>
      <c r="AI38" s="100" t="s">
        <v>682</v>
      </c>
      <c r="AJ38" s="100" t="s">
        <v>682</v>
      </c>
      <c r="AK38" s="100" t="s">
        <v>682</v>
      </c>
    </row>
    <row r="39" spans="1:37">
      <c r="A39" s="100" t="s">
        <v>1107</v>
      </c>
      <c r="B39" s="100" t="s">
        <v>1108</v>
      </c>
      <c r="C39" s="100" t="s">
        <v>682</v>
      </c>
      <c r="D39" s="100" t="s">
        <v>1606</v>
      </c>
      <c r="E39" s="100" t="s">
        <v>1109</v>
      </c>
      <c r="F39" s="100" t="s">
        <v>175</v>
      </c>
      <c r="G39" s="100" t="s">
        <v>654</v>
      </c>
      <c r="H39" s="100" t="s">
        <v>1608</v>
      </c>
      <c r="I39" s="100" t="s">
        <v>4175</v>
      </c>
      <c r="J39" s="100" t="s">
        <v>1201</v>
      </c>
      <c r="K39" s="100" t="s">
        <v>1112</v>
      </c>
      <c r="L39" s="100" t="s">
        <v>682</v>
      </c>
      <c r="M39" s="100" t="s">
        <v>682</v>
      </c>
      <c r="N39" s="100" t="s">
        <v>682</v>
      </c>
      <c r="O39" s="100" t="s">
        <v>5171</v>
      </c>
      <c r="P39" s="100" t="s">
        <v>1113</v>
      </c>
      <c r="Q39" s="100" t="s">
        <v>1114</v>
      </c>
      <c r="R39" s="100" t="s">
        <v>5172</v>
      </c>
      <c r="S39" s="100" t="s">
        <v>5173</v>
      </c>
      <c r="T39" s="100" t="s">
        <v>4176</v>
      </c>
      <c r="U39" s="100" t="s">
        <v>1115</v>
      </c>
      <c r="V39" s="100" t="s">
        <v>1116</v>
      </c>
      <c r="W39" s="100" t="s">
        <v>682</v>
      </c>
      <c r="X39" s="100" t="s">
        <v>1117</v>
      </c>
      <c r="Y39" s="100" t="s">
        <v>4177</v>
      </c>
      <c r="Z39" s="100" t="s">
        <v>4178</v>
      </c>
      <c r="AA39" s="100" t="s">
        <v>1118</v>
      </c>
      <c r="AB39" s="100" t="s">
        <v>1119</v>
      </c>
      <c r="AC39" s="100" t="s">
        <v>682</v>
      </c>
      <c r="AD39" s="100" t="s">
        <v>682</v>
      </c>
      <c r="AE39" s="100" t="s">
        <v>43</v>
      </c>
      <c r="AF39" s="100" t="s">
        <v>41</v>
      </c>
      <c r="AG39" s="100" t="s">
        <v>42</v>
      </c>
      <c r="AH39" s="100" t="s">
        <v>1120</v>
      </c>
      <c r="AI39" s="100" t="s">
        <v>682</v>
      </c>
      <c r="AJ39" s="100" t="s">
        <v>682</v>
      </c>
      <c r="AK39" s="100" t="s">
        <v>682</v>
      </c>
    </row>
    <row r="40" spans="1:37">
      <c r="A40" s="100" t="s">
        <v>6510</v>
      </c>
      <c r="B40" s="100" t="s">
        <v>6511</v>
      </c>
      <c r="C40" s="100" t="s">
        <v>682</v>
      </c>
      <c r="D40" s="100" t="s">
        <v>1606</v>
      </c>
      <c r="E40" s="100" t="s">
        <v>6512</v>
      </c>
      <c r="F40" s="100" t="s">
        <v>175</v>
      </c>
      <c r="G40" s="100" t="s">
        <v>388</v>
      </c>
      <c r="H40" s="100" t="s">
        <v>1608</v>
      </c>
      <c r="I40" s="100" t="s">
        <v>6513</v>
      </c>
      <c r="J40" s="100" t="s">
        <v>1620</v>
      </c>
      <c r="K40" s="100" t="s">
        <v>1121</v>
      </c>
      <c r="L40" s="100" t="s">
        <v>682</v>
      </c>
      <c r="M40" s="100" t="s">
        <v>682</v>
      </c>
      <c r="N40" s="100" t="s">
        <v>682</v>
      </c>
      <c r="O40" s="100" t="s">
        <v>6514</v>
      </c>
      <c r="P40" s="100" t="s">
        <v>6515</v>
      </c>
      <c r="Q40" s="100" t="s">
        <v>6516</v>
      </c>
      <c r="R40" s="100" t="s">
        <v>6517</v>
      </c>
      <c r="S40" s="100" t="s">
        <v>6518</v>
      </c>
      <c r="T40" s="100" t="s">
        <v>6519</v>
      </c>
      <c r="U40" s="100" t="s">
        <v>6520</v>
      </c>
      <c r="V40" s="100" t="s">
        <v>6521</v>
      </c>
      <c r="W40" s="100" t="s">
        <v>682</v>
      </c>
      <c r="X40" s="100" t="s">
        <v>6522</v>
      </c>
      <c r="Y40" s="100" t="s">
        <v>6523</v>
      </c>
      <c r="Z40" s="100" t="s">
        <v>6524</v>
      </c>
      <c r="AA40" s="100" t="s">
        <v>6525</v>
      </c>
      <c r="AB40" s="100" t="s">
        <v>6526</v>
      </c>
      <c r="AC40" s="100" t="s">
        <v>682</v>
      </c>
      <c r="AD40" s="100" t="s">
        <v>682</v>
      </c>
      <c r="AE40" s="100" t="s">
        <v>43</v>
      </c>
      <c r="AF40" s="100" t="s">
        <v>41</v>
      </c>
      <c r="AG40" s="100" t="s">
        <v>42</v>
      </c>
      <c r="AH40" s="100" t="s">
        <v>1122</v>
      </c>
      <c r="AI40" s="100" t="s">
        <v>682</v>
      </c>
      <c r="AJ40" s="100" t="s">
        <v>682</v>
      </c>
      <c r="AK40" s="100" t="s">
        <v>682</v>
      </c>
    </row>
    <row r="41" spans="1:37">
      <c r="A41" s="100" t="s">
        <v>1123</v>
      </c>
      <c r="B41" s="100" t="s">
        <v>1124</v>
      </c>
      <c r="C41" s="100" t="s">
        <v>682</v>
      </c>
      <c r="D41" s="100" t="s">
        <v>1606</v>
      </c>
      <c r="E41" s="100" t="s">
        <v>1125</v>
      </c>
      <c r="F41" s="100" t="s">
        <v>175</v>
      </c>
      <c r="G41" s="100" t="s">
        <v>389</v>
      </c>
      <c r="H41" s="100" t="s">
        <v>1608</v>
      </c>
      <c r="I41" s="100" t="s">
        <v>4179</v>
      </c>
      <c r="J41" s="100" t="s">
        <v>1620</v>
      </c>
      <c r="K41" s="100" t="s">
        <v>1127</v>
      </c>
      <c r="L41" s="100" t="s">
        <v>682</v>
      </c>
      <c r="M41" s="100" t="s">
        <v>682</v>
      </c>
      <c r="N41" s="100" t="s">
        <v>682</v>
      </c>
      <c r="O41" s="100" t="s">
        <v>5174</v>
      </c>
      <c r="P41" s="100" t="s">
        <v>1128</v>
      </c>
      <c r="Q41" s="100" t="s">
        <v>1129</v>
      </c>
      <c r="R41" s="100" t="s">
        <v>5175</v>
      </c>
      <c r="S41" s="100" t="s">
        <v>5176</v>
      </c>
      <c r="T41" s="100" t="s">
        <v>4180</v>
      </c>
      <c r="U41" s="100" t="s">
        <v>1130</v>
      </c>
      <c r="V41" s="100" t="s">
        <v>1131</v>
      </c>
      <c r="W41" s="100" t="s">
        <v>682</v>
      </c>
      <c r="X41" s="100" t="s">
        <v>1132</v>
      </c>
      <c r="Y41" s="100" t="s">
        <v>4181</v>
      </c>
      <c r="Z41" s="100" t="s">
        <v>4182</v>
      </c>
      <c r="AA41" s="100" t="s">
        <v>1133</v>
      </c>
      <c r="AB41" s="100" t="s">
        <v>1134</v>
      </c>
      <c r="AC41" s="100" t="s">
        <v>682</v>
      </c>
      <c r="AD41" s="100" t="s">
        <v>682</v>
      </c>
      <c r="AE41" s="100" t="s">
        <v>43</v>
      </c>
      <c r="AF41" s="100" t="s">
        <v>41</v>
      </c>
      <c r="AG41" s="100" t="s">
        <v>42</v>
      </c>
      <c r="AH41" s="100" t="s">
        <v>1135</v>
      </c>
      <c r="AI41" s="100" t="s">
        <v>682</v>
      </c>
      <c r="AJ41" s="100" t="s">
        <v>682</v>
      </c>
      <c r="AK41" s="100" t="s">
        <v>682</v>
      </c>
    </row>
    <row r="42" spans="1:37">
      <c r="A42" s="100" t="s">
        <v>1136</v>
      </c>
      <c r="B42" s="100" t="s">
        <v>1137</v>
      </c>
      <c r="C42" s="100" t="s">
        <v>682</v>
      </c>
      <c r="D42" s="100" t="s">
        <v>38</v>
      </c>
      <c r="E42" s="100" t="s">
        <v>1139</v>
      </c>
      <c r="F42" s="100" t="s">
        <v>154</v>
      </c>
      <c r="G42" s="100" t="s">
        <v>452</v>
      </c>
      <c r="H42" s="100" t="s">
        <v>682</v>
      </c>
      <c r="I42" s="100" t="s">
        <v>4183</v>
      </c>
      <c r="J42" s="100" t="s">
        <v>1620</v>
      </c>
      <c r="K42" s="100" t="s">
        <v>1141</v>
      </c>
      <c r="L42" s="100" t="s">
        <v>682</v>
      </c>
      <c r="M42" s="100" t="s">
        <v>682</v>
      </c>
      <c r="N42" s="100" t="s">
        <v>682</v>
      </c>
      <c r="O42" s="100" t="s">
        <v>5177</v>
      </c>
      <c r="P42" s="100" t="s">
        <v>3952</v>
      </c>
      <c r="Q42" s="100" t="s">
        <v>1142</v>
      </c>
      <c r="R42" s="100" t="s">
        <v>5178</v>
      </c>
      <c r="S42" s="100" t="s">
        <v>5179</v>
      </c>
      <c r="T42" s="100" t="s">
        <v>4184</v>
      </c>
      <c r="U42" s="100" t="s">
        <v>1143</v>
      </c>
      <c r="V42" s="100" t="s">
        <v>1144</v>
      </c>
      <c r="W42" s="100" t="s">
        <v>682</v>
      </c>
      <c r="X42" s="100" t="s">
        <v>1145</v>
      </c>
      <c r="Y42" s="100" t="s">
        <v>4185</v>
      </c>
      <c r="Z42" s="100" t="s">
        <v>4186</v>
      </c>
      <c r="AA42" s="100" t="s">
        <v>1146</v>
      </c>
      <c r="AB42" s="100" t="s">
        <v>1147</v>
      </c>
      <c r="AC42" s="100" t="s">
        <v>682</v>
      </c>
      <c r="AD42" s="100" t="s">
        <v>682</v>
      </c>
      <c r="AE42" s="100" t="s">
        <v>54</v>
      </c>
      <c r="AF42" s="100" t="s">
        <v>682</v>
      </c>
      <c r="AG42" s="100" t="s">
        <v>682</v>
      </c>
      <c r="AH42" s="100" t="s">
        <v>1148</v>
      </c>
      <c r="AI42" s="100" t="s">
        <v>682</v>
      </c>
      <c r="AJ42" s="100" t="s">
        <v>682</v>
      </c>
      <c r="AK42" s="100" t="s">
        <v>682</v>
      </c>
    </row>
    <row r="43" spans="1:37">
      <c r="A43" s="100" t="s">
        <v>1149</v>
      </c>
      <c r="B43" s="100" t="s">
        <v>1150</v>
      </c>
      <c r="C43" s="100" t="s">
        <v>682</v>
      </c>
      <c r="D43" s="100" t="s">
        <v>89</v>
      </c>
      <c r="E43" s="100" t="s">
        <v>1151</v>
      </c>
      <c r="F43" s="100" t="s">
        <v>297</v>
      </c>
      <c r="G43" s="100" t="s">
        <v>490</v>
      </c>
      <c r="H43" s="100" t="s">
        <v>682</v>
      </c>
      <c r="I43" s="100" t="s">
        <v>4187</v>
      </c>
      <c r="J43" s="100" t="s">
        <v>1201</v>
      </c>
      <c r="K43" s="100" t="s">
        <v>1153</v>
      </c>
      <c r="L43" s="100" t="s">
        <v>682</v>
      </c>
      <c r="M43" s="100" t="s">
        <v>682</v>
      </c>
      <c r="N43" s="100" t="s">
        <v>682</v>
      </c>
      <c r="O43" s="100" t="s">
        <v>5180</v>
      </c>
      <c r="P43" s="100" t="s">
        <v>3953</v>
      </c>
      <c r="Q43" s="100" t="s">
        <v>1154</v>
      </c>
      <c r="R43" s="100" t="s">
        <v>5181</v>
      </c>
      <c r="S43" s="100" t="s">
        <v>5182</v>
      </c>
      <c r="T43" s="100" t="s">
        <v>4188</v>
      </c>
      <c r="U43" s="100" t="s">
        <v>1155</v>
      </c>
      <c r="V43" s="100" t="s">
        <v>1156</v>
      </c>
      <c r="W43" s="100" t="s">
        <v>682</v>
      </c>
      <c r="X43" s="100" t="s">
        <v>1157</v>
      </c>
      <c r="Y43" s="100" t="s">
        <v>4189</v>
      </c>
      <c r="Z43" s="100" t="s">
        <v>4190</v>
      </c>
      <c r="AA43" s="100" t="s">
        <v>1158</v>
      </c>
      <c r="AB43" s="100" t="s">
        <v>1159</v>
      </c>
      <c r="AC43" s="100" t="s">
        <v>682</v>
      </c>
      <c r="AD43" s="100" t="s">
        <v>682</v>
      </c>
      <c r="AE43" s="100" t="s">
        <v>54</v>
      </c>
      <c r="AF43" s="100" t="s">
        <v>682</v>
      </c>
      <c r="AG43" s="100" t="s">
        <v>682</v>
      </c>
      <c r="AH43" s="100" t="s">
        <v>1160</v>
      </c>
      <c r="AI43" s="100" t="s">
        <v>682</v>
      </c>
      <c r="AJ43" s="100" t="s">
        <v>682</v>
      </c>
      <c r="AK43" s="100" t="s">
        <v>682</v>
      </c>
    </row>
    <row r="44" spans="1:37">
      <c r="A44" s="100" t="s">
        <v>1161</v>
      </c>
      <c r="B44" s="100" t="s">
        <v>1162</v>
      </c>
      <c r="C44" s="100" t="s">
        <v>682</v>
      </c>
      <c r="D44" s="100" t="s">
        <v>89</v>
      </c>
      <c r="E44" s="100" t="s">
        <v>1163</v>
      </c>
      <c r="F44" s="100" t="s">
        <v>300</v>
      </c>
      <c r="G44" s="100" t="s">
        <v>304</v>
      </c>
      <c r="H44" s="100" t="s">
        <v>682</v>
      </c>
      <c r="I44" s="100" t="s">
        <v>4191</v>
      </c>
      <c r="J44" s="100" t="s">
        <v>1201</v>
      </c>
      <c r="K44" s="100" t="s">
        <v>1165</v>
      </c>
      <c r="L44" s="100" t="s">
        <v>682</v>
      </c>
      <c r="M44" s="100" t="s">
        <v>682</v>
      </c>
      <c r="N44" s="100" t="s">
        <v>682</v>
      </c>
      <c r="O44" s="100" t="s">
        <v>5183</v>
      </c>
      <c r="P44" s="100" t="s">
        <v>3954</v>
      </c>
      <c r="Q44" s="100" t="s">
        <v>1166</v>
      </c>
      <c r="R44" s="100" t="s">
        <v>5184</v>
      </c>
      <c r="S44" s="100" t="s">
        <v>5185</v>
      </c>
      <c r="T44" s="100" t="s">
        <v>4192</v>
      </c>
      <c r="U44" s="100" t="s">
        <v>1167</v>
      </c>
      <c r="V44" s="100" t="s">
        <v>1168</v>
      </c>
      <c r="W44" s="100" t="s">
        <v>682</v>
      </c>
      <c r="X44" s="100" t="s">
        <v>1169</v>
      </c>
      <c r="Y44" s="100" t="s">
        <v>4193</v>
      </c>
      <c r="Z44" s="100" t="s">
        <v>4194</v>
      </c>
      <c r="AA44" s="100" t="s">
        <v>1170</v>
      </c>
      <c r="AB44" s="100" t="s">
        <v>1171</v>
      </c>
      <c r="AC44" s="100" t="s">
        <v>682</v>
      </c>
      <c r="AD44" s="100" t="s">
        <v>682</v>
      </c>
      <c r="AE44" s="100" t="s">
        <v>54</v>
      </c>
      <c r="AF44" s="100" t="s">
        <v>682</v>
      </c>
      <c r="AG44" s="100" t="s">
        <v>682</v>
      </c>
      <c r="AH44" s="100" t="s">
        <v>1172</v>
      </c>
      <c r="AI44" s="100" t="s">
        <v>682</v>
      </c>
      <c r="AJ44" s="100" t="s">
        <v>682</v>
      </c>
      <c r="AK44" s="100" t="s">
        <v>682</v>
      </c>
    </row>
    <row r="45" spans="1:37">
      <c r="A45" s="100" t="s">
        <v>1173</v>
      </c>
      <c r="B45" s="100" t="s">
        <v>1174</v>
      </c>
      <c r="C45" s="100" t="s">
        <v>682</v>
      </c>
      <c r="D45" s="100" t="s">
        <v>89</v>
      </c>
      <c r="E45" s="100" t="s">
        <v>1175</v>
      </c>
      <c r="F45" s="100" t="s">
        <v>299</v>
      </c>
      <c r="G45" s="100" t="s">
        <v>508</v>
      </c>
      <c r="H45" s="100" t="s">
        <v>682</v>
      </c>
      <c r="I45" s="100" t="s">
        <v>4195</v>
      </c>
      <c r="J45" s="100" t="s">
        <v>1201</v>
      </c>
      <c r="K45" s="100" t="s">
        <v>1177</v>
      </c>
      <c r="L45" s="100" t="s">
        <v>682</v>
      </c>
      <c r="M45" s="100" t="s">
        <v>682</v>
      </c>
      <c r="N45" s="100" t="s">
        <v>682</v>
      </c>
      <c r="O45" s="100" t="s">
        <v>5186</v>
      </c>
      <c r="P45" s="100" t="s">
        <v>3955</v>
      </c>
      <c r="Q45" s="100" t="s">
        <v>1178</v>
      </c>
      <c r="R45" s="100" t="s">
        <v>5187</v>
      </c>
      <c r="S45" s="100" t="s">
        <v>5188</v>
      </c>
      <c r="T45" s="100" t="s">
        <v>4196</v>
      </c>
      <c r="U45" s="100" t="s">
        <v>1179</v>
      </c>
      <c r="V45" s="100" t="s">
        <v>1180</v>
      </c>
      <c r="W45" s="100" t="s">
        <v>682</v>
      </c>
      <c r="X45" s="100" t="s">
        <v>1181</v>
      </c>
      <c r="Y45" s="100" t="s">
        <v>4197</v>
      </c>
      <c r="Z45" s="100" t="s">
        <v>4198</v>
      </c>
      <c r="AA45" s="100" t="s">
        <v>1182</v>
      </c>
      <c r="AB45" s="100" t="s">
        <v>1183</v>
      </c>
      <c r="AC45" s="100" t="s">
        <v>682</v>
      </c>
      <c r="AD45" s="100" t="s">
        <v>682</v>
      </c>
      <c r="AE45" s="100" t="s">
        <v>54</v>
      </c>
      <c r="AF45" s="100" t="s">
        <v>682</v>
      </c>
      <c r="AG45" s="100" t="s">
        <v>682</v>
      </c>
      <c r="AH45" s="100" t="s">
        <v>1184</v>
      </c>
      <c r="AI45" s="100" t="s">
        <v>682</v>
      </c>
      <c r="AJ45" s="100" t="s">
        <v>682</v>
      </c>
      <c r="AK45" s="100" t="s">
        <v>682</v>
      </c>
    </row>
    <row r="46" spans="1:37">
      <c r="A46" s="100" t="s">
        <v>1185</v>
      </c>
      <c r="B46" s="100" t="s">
        <v>1186</v>
      </c>
      <c r="C46" s="100" t="s">
        <v>682</v>
      </c>
      <c r="D46" s="100" t="s">
        <v>2619</v>
      </c>
      <c r="E46" s="100" t="s">
        <v>1187</v>
      </c>
      <c r="F46" s="100" t="s">
        <v>225</v>
      </c>
      <c r="G46" s="100" t="s">
        <v>363</v>
      </c>
      <c r="H46" s="100" t="s">
        <v>682</v>
      </c>
      <c r="I46" s="100" t="s">
        <v>4199</v>
      </c>
      <c r="J46" s="100" t="s">
        <v>1620</v>
      </c>
      <c r="K46" s="100" t="s">
        <v>1189</v>
      </c>
      <c r="L46" s="100" t="s">
        <v>682</v>
      </c>
      <c r="M46" s="100" t="s">
        <v>682</v>
      </c>
      <c r="N46" s="100" t="s">
        <v>682</v>
      </c>
      <c r="O46" s="100" t="s">
        <v>5189</v>
      </c>
      <c r="P46" s="100" t="s">
        <v>1190</v>
      </c>
      <c r="Q46" s="100" t="s">
        <v>1191</v>
      </c>
      <c r="R46" s="100" t="s">
        <v>5190</v>
      </c>
      <c r="S46" s="100" t="s">
        <v>5191</v>
      </c>
      <c r="T46" s="100" t="s">
        <v>4200</v>
      </c>
      <c r="U46" s="100" t="s">
        <v>1192</v>
      </c>
      <c r="V46" s="100" t="s">
        <v>1193</v>
      </c>
      <c r="W46" s="100" t="s">
        <v>682</v>
      </c>
      <c r="X46" s="100" t="s">
        <v>1194</v>
      </c>
      <c r="Y46" s="100" t="s">
        <v>4201</v>
      </c>
      <c r="Z46" s="100" t="s">
        <v>4202</v>
      </c>
      <c r="AA46" s="100" t="s">
        <v>1195</v>
      </c>
      <c r="AB46" s="100" t="s">
        <v>1196</v>
      </c>
      <c r="AC46" s="100" t="s">
        <v>682</v>
      </c>
      <c r="AD46" s="100" t="s">
        <v>682</v>
      </c>
      <c r="AE46" s="100" t="s">
        <v>43</v>
      </c>
      <c r="AF46" s="100" t="s">
        <v>41</v>
      </c>
      <c r="AG46" s="100" t="s">
        <v>42</v>
      </c>
      <c r="AH46" s="100" t="s">
        <v>1197</v>
      </c>
      <c r="AI46" s="100" t="s">
        <v>682</v>
      </c>
      <c r="AJ46" s="100" t="s">
        <v>682</v>
      </c>
      <c r="AK46" s="100" t="s">
        <v>682</v>
      </c>
    </row>
    <row r="47" spans="1:37">
      <c r="A47" s="100" t="s">
        <v>1198</v>
      </c>
      <c r="B47" s="100" t="s">
        <v>1199</v>
      </c>
      <c r="C47" s="100" t="s">
        <v>682</v>
      </c>
      <c r="D47" s="100" t="s">
        <v>97</v>
      </c>
      <c r="E47" s="100" t="s">
        <v>1200</v>
      </c>
      <c r="F47" s="100" t="s">
        <v>252</v>
      </c>
      <c r="G47" s="100" t="s">
        <v>277</v>
      </c>
      <c r="H47" s="100" t="s">
        <v>682</v>
      </c>
      <c r="I47" s="100" t="s">
        <v>4203</v>
      </c>
      <c r="J47" s="100" t="s">
        <v>1620</v>
      </c>
      <c r="K47" s="100" t="s">
        <v>1202</v>
      </c>
      <c r="L47" s="100" t="s">
        <v>682</v>
      </c>
      <c r="M47" s="100" t="s">
        <v>682</v>
      </c>
      <c r="N47" s="100" t="s">
        <v>682</v>
      </c>
      <c r="O47" s="100" t="s">
        <v>5192</v>
      </c>
      <c r="P47" s="100" t="s">
        <v>1203</v>
      </c>
      <c r="Q47" s="100" t="s">
        <v>1204</v>
      </c>
      <c r="R47" s="100" t="s">
        <v>5193</v>
      </c>
      <c r="S47" s="100" t="s">
        <v>5194</v>
      </c>
      <c r="T47" s="100" t="s">
        <v>4204</v>
      </c>
      <c r="U47" s="100" t="s">
        <v>1205</v>
      </c>
      <c r="V47" s="100" t="s">
        <v>1206</v>
      </c>
      <c r="W47" s="100" t="s">
        <v>682</v>
      </c>
      <c r="X47" s="100" t="s">
        <v>1207</v>
      </c>
      <c r="Y47" s="100" t="s">
        <v>4205</v>
      </c>
      <c r="Z47" s="100" t="s">
        <v>4206</v>
      </c>
      <c r="AA47" s="100" t="s">
        <v>1208</v>
      </c>
      <c r="AB47" s="100" t="s">
        <v>1209</v>
      </c>
      <c r="AC47" s="100" t="s">
        <v>682</v>
      </c>
      <c r="AD47" s="100" t="s">
        <v>682</v>
      </c>
      <c r="AE47" s="100" t="s">
        <v>43</v>
      </c>
      <c r="AF47" s="100" t="s">
        <v>41</v>
      </c>
      <c r="AG47" s="100" t="s">
        <v>42</v>
      </c>
      <c r="AH47" s="100" t="s">
        <v>1210</v>
      </c>
      <c r="AI47" s="100" t="s">
        <v>682</v>
      </c>
      <c r="AJ47" s="100" t="s">
        <v>682</v>
      </c>
      <c r="AK47" s="100" t="s">
        <v>682</v>
      </c>
    </row>
    <row r="48" spans="1:37">
      <c r="A48" s="100" t="s">
        <v>1211</v>
      </c>
      <c r="B48" s="100" t="s">
        <v>682</v>
      </c>
      <c r="C48" s="100" t="s">
        <v>682</v>
      </c>
      <c r="D48" s="100" t="s">
        <v>682</v>
      </c>
      <c r="E48" s="100" t="s">
        <v>682</v>
      </c>
      <c r="F48" s="100" t="s">
        <v>682</v>
      </c>
      <c r="G48" s="100" t="s">
        <v>682</v>
      </c>
      <c r="H48" s="100" t="s">
        <v>682</v>
      </c>
      <c r="I48" s="100" t="s">
        <v>682</v>
      </c>
      <c r="J48" s="100" t="s">
        <v>6424</v>
      </c>
      <c r="K48" s="100" t="s">
        <v>6527</v>
      </c>
      <c r="L48" s="100" t="s">
        <v>6528</v>
      </c>
      <c r="M48" s="100" t="s">
        <v>682</v>
      </c>
      <c r="N48" s="100" t="s">
        <v>682</v>
      </c>
      <c r="O48" s="100" t="s">
        <v>682</v>
      </c>
      <c r="P48" s="100" t="s">
        <v>682</v>
      </c>
      <c r="Q48" s="100" t="s">
        <v>1213</v>
      </c>
      <c r="R48" s="100" t="s">
        <v>6529</v>
      </c>
      <c r="S48" s="100" t="s">
        <v>6530</v>
      </c>
      <c r="T48" s="100" t="s">
        <v>6531</v>
      </c>
      <c r="U48" s="100" t="s">
        <v>1214</v>
      </c>
      <c r="V48" s="100" t="s">
        <v>1215</v>
      </c>
      <c r="W48" s="100" t="s">
        <v>6532</v>
      </c>
      <c r="X48" s="100" t="s">
        <v>682</v>
      </c>
      <c r="Y48" s="100" t="s">
        <v>682</v>
      </c>
      <c r="Z48" s="100" t="s">
        <v>682</v>
      </c>
      <c r="AA48" s="100" t="s">
        <v>1216</v>
      </c>
      <c r="AB48" s="100" t="s">
        <v>1217</v>
      </c>
      <c r="AC48" s="100" t="s">
        <v>6533</v>
      </c>
      <c r="AD48" s="100" t="s">
        <v>682</v>
      </c>
      <c r="AE48" s="100" t="s">
        <v>682</v>
      </c>
      <c r="AF48" s="100" t="s">
        <v>682</v>
      </c>
      <c r="AG48" s="100" t="s">
        <v>682</v>
      </c>
      <c r="AH48" s="100" t="s">
        <v>682</v>
      </c>
      <c r="AI48" s="100" t="s">
        <v>682</v>
      </c>
      <c r="AJ48" s="100" t="s">
        <v>682</v>
      </c>
      <c r="AK48" s="100" t="s">
        <v>682</v>
      </c>
    </row>
    <row r="49" spans="1:37">
      <c r="A49" s="100" t="s">
        <v>1218</v>
      </c>
      <c r="B49" s="100" t="s">
        <v>1219</v>
      </c>
      <c r="C49" s="100" t="s">
        <v>682</v>
      </c>
      <c r="D49" s="100" t="s">
        <v>48</v>
      </c>
      <c r="E49" s="100" t="s">
        <v>1220</v>
      </c>
      <c r="F49" s="100" t="s">
        <v>179</v>
      </c>
      <c r="G49" s="100" t="s">
        <v>527</v>
      </c>
      <c r="H49" s="100" t="s">
        <v>682</v>
      </c>
      <c r="I49" s="100" t="s">
        <v>4207</v>
      </c>
      <c r="J49" s="100" t="s">
        <v>905</v>
      </c>
      <c r="K49" s="100" t="s">
        <v>1222</v>
      </c>
      <c r="L49" s="100" t="s">
        <v>682</v>
      </c>
      <c r="M49" s="100" t="s">
        <v>682</v>
      </c>
      <c r="N49" s="100" t="s">
        <v>682</v>
      </c>
      <c r="O49" s="100" t="s">
        <v>5195</v>
      </c>
      <c r="P49" s="100" t="s">
        <v>1223</v>
      </c>
      <c r="Q49" s="100" t="s">
        <v>1224</v>
      </c>
      <c r="R49" s="100" t="s">
        <v>5196</v>
      </c>
      <c r="S49" s="100" t="s">
        <v>5197</v>
      </c>
      <c r="T49" s="100" t="s">
        <v>4208</v>
      </c>
      <c r="U49" s="100" t="s">
        <v>1225</v>
      </c>
      <c r="V49" s="100" t="s">
        <v>1226</v>
      </c>
      <c r="W49" s="100" t="s">
        <v>682</v>
      </c>
      <c r="X49" s="100" t="s">
        <v>1227</v>
      </c>
      <c r="Y49" s="100" t="s">
        <v>4209</v>
      </c>
      <c r="Z49" s="100" t="s">
        <v>4210</v>
      </c>
      <c r="AA49" s="100" t="s">
        <v>1228</v>
      </c>
      <c r="AB49" s="100" t="s">
        <v>1229</v>
      </c>
      <c r="AC49" s="100" t="s">
        <v>682</v>
      </c>
      <c r="AD49" s="100" t="s">
        <v>682</v>
      </c>
      <c r="AE49" s="100" t="s">
        <v>43</v>
      </c>
      <c r="AF49" s="100" t="s">
        <v>41</v>
      </c>
      <c r="AG49" s="100" t="s">
        <v>42</v>
      </c>
      <c r="AH49" s="100" t="s">
        <v>1230</v>
      </c>
      <c r="AI49" s="100" t="s">
        <v>682</v>
      </c>
      <c r="AJ49" s="100" t="s">
        <v>682</v>
      </c>
      <c r="AK49" s="100" t="s">
        <v>682</v>
      </c>
    </row>
    <row r="50" spans="1:37">
      <c r="A50" s="100" t="s">
        <v>1231</v>
      </c>
      <c r="B50" s="100" t="s">
        <v>1232</v>
      </c>
      <c r="C50" s="100" t="s">
        <v>682</v>
      </c>
      <c r="D50" s="100" t="s">
        <v>48</v>
      </c>
      <c r="E50" s="100" t="s">
        <v>1233</v>
      </c>
      <c r="F50" s="100" t="s">
        <v>178</v>
      </c>
      <c r="G50" s="100" t="s">
        <v>527</v>
      </c>
      <c r="H50" s="100" t="s">
        <v>682</v>
      </c>
      <c r="I50" s="100" t="s">
        <v>4211</v>
      </c>
      <c r="J50" s="100" t="s">
        <v>905</v>
      </c>
      <c r="K50" s="100" t="s">
        <v>1234</v>
      </c>
      <c r="L50" s="100" t="s">
        <v>682</v>
      </c>
      <c r="M50" s="100" t="s">
        <v>682</v>
      </c>
      <c r="N50" s="100" t="s">
        <v>682</v>
      </c>
      <c r="O50" s="100" t="s">
        <v>5198</v>
      </c>
      <c r="P50" s="100" t="s">
        <v>1235</v>
      </c>
      <c r="Q50" s="100" t="s">
        <v>1236</v>
      </c>
      <c r="R50" s="100" t="s">
        <v>5199</v>
      </c>
      <c r="S50" s="100" t="s">
        <v>5200</v>
      </c>
      <c r="T50" s="100" t="s">
        <v>4212</v>
      </c>
      <c r="U50" s="100" t="s">
        <v>1237</v>
      </c>
      <c r="V50" s="100" t="s">
        <v>1238</v>
      </c>
      <c r="W50" s="100" t="s">
        <v>682</v>
      </c>
      <c r="X50" s="100" t="s">
        <v>1239</v>
      </c>
      <c r="Y50" s="100" t="s">
        <v>4213</v>
      </c>
      <c r="Z50" s="100" t="s">
        <v>4214</v>
      </c>
      <c r="AA50" s="100" t="s">
        <v>1240</v>
      </c>
      <c r="AB50" s="100" t="s">
        <v>1241</v>
      </c>
      <c r="AC50" s="100" t="s">
        <v>682</v>
      </c>
      <c r="AD50" s="100" t="s">
        <v>682</v>
      </c>
      <c r="AE50" s="100" t="s">
        <v>43</v>
      </c>
      <c r="AF50" s="100" t="s">
        <v>41</v>
      </c>
      <c r="AG50" s="100" t="s">
        <v>42</v>
      </c>
      <c r="AH50" s="100" t="s">
        <v>1242</v>
      </c>
      <c r="AI50" s="100" t="s">
        <v>682</v>
      </c>
      <c r="AJ50" s="100" t="s">
        <v>682</v>
      </c>
      <c r="AK50" s="100" t="s">
        <v>682</v>
      </c>
    </row>
    <row r="51" spans="1:37">
      <c r="A51" s="100" t="s">
        <v>1243</v>
      </c>
      <c r="B51" s="100" t="s">
        <v>1244</v>
      </c>
      <c r="C51" s="100" t="s">
        <v>682</v>
      </c>
      <c r="D51" s="100" t="s">
        <v>52</v>
      </c>
      <c r="E51" s="100" t="s">
        <v>1245</v>
      </c>
      <c r="F51" s="100" t="s">
        <v>179</v>
      </c>
      <c r="G51" s="100" t="s">
        <v>554</v>
      </c>
      <c r="H51" s="100" t="s">
        <v>682</v>
      </c>
      <c r="I51" s="100" t="s">
        <v>4215</v>
      </c>
      <c r="J51" s="100" t="s">
        <v>940</v>
      </c>
      <c r="K51" s="100" t="s">
        <v>1246</v>
      </c>
      <c r="L51" s="100" t="s">
        <v>682</v>
      </c>
      <c r="M51" s="100" t="s">
        <v>682</v>
      </c>
      <c r="N51" s="100" t="s">
        <v>682</v>
      </c>
      <c r="O51" s="100" t="s">
        <v>5201</v>
      </c>
      <c r="P51" s="100" t="s">
        <v>1247</v>
      </c>
      <c r="Q51" s="100" t="s">
        <v>1248</v>
      </c>
      <c r="R51" s="100" t="s">
        <v>5202</v>
      </c>
      <c r="S51" s="100" t="s">
        <v>5203</v>
      </c>
      <c r="T51" s="100" t="s">
        <v>4216</v>
      </c>
      <c r="U51" s="100" t="s">
        <v>1249</v>
      </c>
      <c r="V51" s="100" t="s">
        <v>1250</v>
      </c>
      <c r="W51" s="100" t="s">
        <v>682</v>
      </c>
      <c r="X51" s="100" t="s">
        <v>1251</v>
      </c>
      <c r="Y51" s="100" t="s">
        <v>4217</v>
      </c>
      <c r="Z51" s="100" t="s">
        <v>4218</v>
      </c>
      <c r="AA51" s="100" t="s">
        <v>1252</v>
      </c>
      <c r="AB51" s="100" t="s">
        <v>1253</v>
      </c>
      <c r="AC51" s="100" t="s">
        <v>682</v>
      </c>
      <c r="AD51" s="100" t="s">
        <v>682</v>
      </c>
      <c r="AE51" s="100" t="s">
        <v>43</v>
      </c>
      <c r="AF51" s="100" t="s">
        <v>41</v>
      </c>
      <c r="AG51" s="100" t="s">
        <v>42</v>
      </c>
      <c r="AH51" s="100" t="s">
        <v>1254</v>
      </c>
      <c r="AI51" s="100" t="s">
        <v>682</v>
      </c>
      <c r="AJ51" s="100" t="s">
        <v>682</v>
      </c>
      <c r="AK51" s="100" t="s">
        <v>682</v>
      </c>
    </row>
    <row r="52" spans="1:37">
      <c r="A52" s="100" t="s">
        <v>1255</v>
      </c>
      <c r="B52" s="100" t="s">
        <v>1256</v>
      </c>
      <c r="C52" s="100" t="s">
        <v>682</v>
      </c>
      <c r="D52" s="100" t="s">
        <v>1138</v>
      </c>
      <c r="E52" s="100" t="s">
        <v>1257</v>
      </c>
      <c r="F52" s="100" t="s">
        <v>221</v>
      </c>
      <c r="G52" s="100" t="s">
        <v>403</v>
      </c>
      <c r="H52" s="100" t="s">
        <v>682</v>
      </c>
      <c r="I52" s="100" t="s">
        <v>4219</v>
      </c>
      <c r="J52" s="100" t="s">
        <v>1284</v>
      </c>
      <c r="K52" s="100" t="s">
        <v>1258</v>
      </c>
      <c r="L52" s="100" t="s">
        <v>682</v>
      </c>
      <c r="M52" s="100" t="s">
        <v>682</v>
      </c>
      <c r="N52" s="100" t="s">
        <v>682</v>
      </c>
      <c r="O52" s="100" t="s">
        <v>5204</v>
      </c>
      <c r="P52" s="100" t="s">
        <v>1259</v>
      </c>
      <c r="Q52" s="100" t="s">
        <v>1260</v>
      </c>
      <c r="R52" s="100" t="s">
        <v>5205</v>
      </c>
      <c r="S52" s="100" t="s">
        <v>5206</v>
      </c>
      <c r="T52" s="100" t="s">
        <v>4220</v>
      </c>
      <c r="U52" s="100" t="s">
        <v>1261</v>
      </c>
      <c r="V52" s="100" t="s">
        <v>1262</v>
      </c>
      <c r="W52" s="100" t="s">
        <v>682</v>
      </c>
      <c r="X52" s="100" t="s">
        <v>1263</v>
      </c>
      <c r="Y52" s="100" t="s">
        <v>4221</v>
      </c>
      <c r="Z52" s="100" t="s">
        <v>4222</v>
      </c>
      <c r="AA52" s="100" t="s">
        <v>1264</v>
      </c>
      <c r="AB52" s="100" t="s">
        <v>1265</v>
      </c>
      <c r="AC52" s="100" t="s">
        <v>682</v>
      </c>
      <c r="AD52" s="100" t="s">
        <v>682</v>
      </c>
      <c r="AE52" s="100" t="s">
        <v>43</v>
      </c>
      <c r="AF52" s="100" t="s">
        <v>41</v>
      </c>
      <c r="AG52" s="100" t="s">
        <v>63</v>
      </c>
      <c r="AH52" s="100" t="s">
        <v>1266</v>
      </c>
      <c r="AI52" s="100" t="s">
        <v>682</v>
      </c>
      <c r="AJ52" s="100" t="s">
        <v>682</v>
      </c>
      <c r="AK52" s="100" t="s">
        <v>682</v>
      </c>
    </row>
    <row r="53" spans="1:37">
      <c r="A53" s="100" t="s">
        <v>6534</v>
      </c>
      <c r="B53" s="100" t="s">
        <v>6535</v>
      </c>
      <c r="C53" s="100" t="s">
        <v>682</v>
      </c>
      <c r="D53" s="100" t="s">
        <v>1138</v>
      </c>
      <c r="E53" s="100" t="s">
        <v>6536</v>
      </c>
      <c r="F53" s="100" t="s">
        <v>221</v>
      </c>
      <c r="G53" s="100" t="s">
        <v>416</v>
      </c>
      <c r="H53" s="100" t="s">
        <v>682</v>
      </c>
      <c r="I53" s="100" t="s">
        <v>6537</v>
      </c>
      <c r="J53" s="100" t="s">
        <v>1296</v>
      </c>
      <c r="K53" s="100" t="s">
        <v>1267</v>
      </c>
      <c r="L53" s="100" t="s">
        <v>682</v>
      </c>
      <c r="M53" s="100" t="s">
        <v>682</v>
      </c>
      <c r="N53" s="100" t="s">
        <v>682</v>
      </c>
      <c r="O53" s="100" t="s">
        <v>6538</v>
      </c>
      <c r="P53" s="100" t="s">
        <v>6539</v>
      </c>
      <c r="Q53" s="100" t="s">
        <v>6540</v>
      </c>
      <c r="R53" s="100" t="s">
        <v>6541</v>
      </c>
      <c r="S53" s="100" t="s">
        <v>6542</v>
      </c>
      <c r="T53" s="100" t="s">
        <v>6543</v>
      </c>
      <c r="U53" s="100" t="s">
        <v>6544</v>
      </c>
      <c r="V53" s="100" t="s">
        <v>6545</v>
      </c>
      <c r="W53" s="100" t="s">
        <v>682</v>
      </c>
      <c r="X53" s="100" t="s">
        <v>6546</v>
      </c>
      <c r="Y53" s="100" t="s">
        <v>6547</v>
      </c>
      <c r="Z53" s="100" t="s">
        <v>6548</v>
      </c>
      <c r="AA53" s="100" t="s">
        <v>6549</v>
      </c>
      <c r="AB53" s="100" t="s">
        <v>6550</v>
      </c>
      <c r="AC53" s="100" t="s">
        <v>682</v>
      </c>
      <c r="AD53" s="100" t="s">
        <v>682</v>
      </c>
      <c r="AE53" s="100" t="s">
        <v>43</v>
      </c>
      <c r="AF53" s="100" t="s">
        <v>41</v>
      </c>
      <c r="AG53" s="100" t="s">
        <v>63</v>
      </c>
      <c r="AH53" s="100" t="s">
        <v>1268</v>
      </c>
      <c r="AI53" s="100" t="s">
        <v>682</v>
      </c>
      <c r="AJ53" s="100" t="s">
        <v>682</v>
      </c>
      <c r="AK53" s="100" t="s">
        <v>682</v>
      </c>
    </row>
    <row r="54" spans="1:37">
      <c r="A54" s="100" t="s">
        <v>1269</v>
      </c>
      <c r="B54" s="100" t="s">
        <v>1270</v>
      </c>
      <c r="C54" s="100" t="s">
        <v>682</v>
      </c>
      <c r="D54" s="100" t="s">
        <v>71</v>
      </c>
      <c r="E54" s="100" t="s">
        <v>1271</v>
      </c>
      <c r="F54" s="100" t="s">
        <v>175</v>
      </c>
      <c r="G54" s="100" t="s">
        <v>434</v>
      </c>
      <c r="H54" s="100" t="s">
        <v>682</v>
      </c>
      <c r="I54" s="100" t="s">
        <v>4223</v>
      </c>
      <c r="J54" s="100" t="s">
        <v>1284</v>
      </c>
      <c r="K54" s="100" t="s">
        <v>1272</v>
      </c>
      <c r="L54" s="100" t="s">
        <v>682</v>
      </c>
      <c r="M54" s="100" t="s">
        <v>682</v>
      </c>
      <c r="N54" s="100" t="s">
        <v>682</v>
      </c>
      <c r="O54" s="100" t="s">
        <v>5207</v>
      </c>
      <c r="P54" s="100" t="s">
        <v>1273</v>
      </c>
      <c r="Q54" s="100" t="s">
        <v>1274</v>
      </c>
      <c r="R54" s="100" t="s">
        <v>5208</v>
      </c>
      <c r="S54" s="100" t="s">
        <v>5209</v>
      </c>
      <c r="T54" s="100" t="s">
        <v>4224</v>
      </c>
      <c r="U54" s="100" t="s">
        <v>1275</v>
      </c>
      <c r="V54" s="100" t="s">
        <v>1276</v>
      </c>
      <c r="W54" s="100" t="s">
        <v>682</v>
      </c>
      <c r="X54" s="100" t="s">
        <v>1277</v>
      </c>
      <c r="Y54" s="100" t="s">
        <v>4225</v>
      </c>
      <c r="Z54" s="100" t="s">
        <v>4226</v>
      </c>
      <c r="AA54" s="100" t="s">
        <v>1278</v>
      </c>
      <c r="AB54" s="100" t="s">
        <v>1279</v>
      </c>
      <c r="AC54" s="100" t="s">
        <v>682</v>
      </c>
      <c r="AD54" s="100" t="s">
        <v>682</v>
      </c>
      <c r="AE54" s="100" t="s">
        <v>54</v>
      </c>
      <c r="AF54" s="100" t="s">
        <v>682</v>
      </c>
      <c r="AG54" s="100" t="s">
        <v>682</v>
      </c>
      <c r="AH54" s="100" t="s">
        <v>1280</v>
      </c>
      <c r="AI54" s="100" t="s">
        <v>682</v>
      </c>
      <c r="AJ54" s="100" t="s">
        <v>682</v>
      </c>
      <c r="AK54" s="100" t="s">
        <v>682</v>
      </c>
    </row>
    <row r="55" spans="1:37">
      <c r="A55" s="100" t="s">
        <v>1281</v>
      </c>
      <c r="B55" s="100" t="s">
        <v>1282</v>
      </c>
      <c r="C55" s="100" t="s">
        <v>682</v>
      </c>
      <c r="D55" s="100" t="s">
        <v>71</v>
      </c>
      <c r="E55" s="100" t="s">
        <v>1283</v>
      </c>
      <c r="F55" s="100" t="s">
        <v>175</v>
      </c>
      <c r="G55" s="100" t="s">
        <v>435</v>
      </c>
      <c r="H55" s="100" t="s">
        <v>682</v>
      </c>
      <c r="I55" s="100" t="s">
        <v>4227</v>
      </c>
      <c r="J55" s="100" t="s">
        <v>1284</v>
      </c>
      <c r="K55" s="100" t="s">
        <v>1285</v>
      </c>
      <c r="L55" s="100" t="s">
        <v>682</v>
      </c>
      <c r="M55" s="100" t="s">
        <v>682</v>
      </c>
      <c r="N55" s="100" t="s">
        <v>682</v>
      </c>
      <c r="O55" s="100" t="s">
        <v>5210</v>
      </c>
      <c r="P55" s="100" t="s">
        <v>3956</v>
      </c>
      <c r="Q55" s="100" t="s">
        <v>1286</v>
      </c>
      <c r="R55" s="100" t="s">
        <v>5211</v>
      </c>
      <c r="S55" s="100" t="s">
        <v>5212</v>
      </c>
      <c r="T55" s="100" t="s">
        <v>4228</v>
      </c>
      <c r="U55" s="100" t="s">
        <v>1287</v>
      </c>
      <c r="V55" s="100" t="s">
        <v>1288</v>
      </c>
      <c r="W55" s="100" t="s">
        <v>682</v>
      </c>
      <c r="X55" s="100" t="s">
        <v>1289</v>
      </c>
      <c r="Y55" s="100" t="s">
        <v>4229</v>
      </c>
      <c r="Z55" s="100" t="s">
        <v>4230</v>
      </c>
      <c r="AA55" s="100" t="s">
        <v>1290</v>
      </c>
      <c r="AB55" s="100" t="s">
        <v>1291</v>
      </c>
      <c r="AC55" s="100" t="s">
        <v>682</v>
      </c>
      <c r="AD55" s="100" t="s">
        <v>682</v>
      </c>
      <c r="AE55" s="100" t="s">
        <v>54</v>
      </c>
      <c r="AF55" s="100" t="s">
        <v>682</v>
      </c>
      <c r="AG55" s="100" t="s">
        <v>682</v>
      </c>
      <c r="AH55" s="100" t="s">
        <v>1292</v>
      </c>
      <c r="AI55" s="100" t="s">
        <v>682</v>
      </c>
      <c r="AJ55" s="100" t="s">
        <v>682</v>
      </c>
      <c r="AK55" s="100" t="s">
        <v>682</v>
      </c>
    </row>
    <row r="56" spans="1:37">
      <c r="A56" s="100" t="s">
        <v>1293</v>
      </c>
      <c r="B56" s="100" t="s">
        <v>1294</v>
      </c>
      <c r="C56" s="100" t="s">
        <v>682</v>
      </c>
      <c r="D56" s="100" t="s">
        <v>71</v>
      </c>
      <c r="E56" s="100" t="s">
        <v>1295</v>
      </c>
      <c r="F56" s="100" t="s">
        <v>175</v>
      </c>
      <c r="G56" s="100" t="s">
        <v>436</v>
      </c>
      <c r="H56" s="100" t="s">
        <v>682</v>
      </c>
      <c r="I56" s="100" t="s">
        <v>4231</v>
      </c>
      <c r="J56" s="100" t="s">
        <v>1284</v>
      </c>
      <c r="K56" s="100" t="s">
        <v>1297</v>
      </c>
      <c r="L56" s="100" t="s">
        <v>682</v>
      </c>
      <c r="M56" s="100" t="s">
        <v>682</v>
      </c>
      <c r="N56" s="100" t="s">
        <v>682</v>
      </c>
      <c r="O56" s="100" t="s">
        <v>5213</v>
      </c>
      <c r="P56" s="100" t="s">
        <v>3957</v>
      </c>
      <c r="Q56" s="100" t="s">
        <v>1298</v>
      </c>
      <c r="R56" s="100" t="s">
        <v>5214</v>
      </c>
      <c r="S56" s="100" t="s">
        <v>5215</v>
      </c>
      <c r="T56" s="100" t="s">
        <v>4232</v>
      </c>
      <c r="U56" s="100" t="s">
        <v>1299</v>
      </c>
      <c r="V56" s="100" t="s">
        <v>1300</v>
      </c>
      <c r="W56" s="100" t="s">
        <v>682</v>
      </c>
      <c r="X56" s="100" t="s">
        <v>1301</v>
      </c>
      <c r="Y56" s="100" t="s">
        <v>4233</v>
      </c>
      <c r="Z56" s="100" t="s">
        <v>4234</v>
      </c>
      <c r="AA56" s="100" t="s">
        <v>1302</v>
      </c>
      <c r="AB56" s="100" t="s">
        <v>1303</v>
      </c>
      <c r="AC56" s="100" t="s">
        <v>682</v>
      </c>
      <c r="AD56" s="100" t="s">
        <v>682</v>
      </c>
      <c r="AE56" s="100" t="s">
        <v>54</v>
      </c>
      <c r="AF56" s="100" t="s">
        <v>682</v>
      </c>
      <c r="AG56" s="100" t="s">
        <v>682</v>
      </c>
      <c r="AH56" s="100" t="s">
        <v>1304</v>
      </c>
      <c r="AI56" s="100" t="s">
        <v>682</v>
      </c>
      <c r="AJ56" s="100" t="s">
        <v>682</v>
      </c>
      <c r="AK56" s="100" t="s">
        <v>682</v>
      </c>
    </row>
    <row r="57" spans="1:37">
      <c r="A57" s="100" t="s">
        <v>1305</v>
      </c>
      <c r="B57" s="100" t="s">
        <v>1306</v>
      </c>
      <c r="C57" s="100" t="s">
        <v>682</v>
      </c>
      <c r="D57" s="100" t="s">
        <v>77</v>
      </c>
      <c r="E57" s="100" t="s">
        <v>1307</v>
      </c>
      <c r="F57" s="100" t="s">
        <v>238</v>
      </c>
      <c r="G57" s="100" t="s">
        <v>437</v>
      </c>
      <c r="H57" s="100" t="s">
        <v>2285</v>
      </c>
      <c r="I57" s="100" t="s">
        <v>4235</v>
      </c>
      <c r="J57" s="100" t="s">
        <v>940</v>
      </c>
      <c r="K57" s="100" t="s">
        <v>1309</v>
      </c>
      <c r="L57" s="100" t="s">
        <v>682</v>
      </c>
      <c r="M57" s="100" t="s">
        <v>682</v>
      </c>
      <c r="N57" s="100" t="s">
        <v>682</v>
      </c>
      <c r="O57" s="100" t="s">
        <v>5216</v>
      </c>
      <c r="P57" s="100" t="s">
        <v>3958</v>
      </c>
      <c r="Q57" s="100" t="s">
        <v>1310</v>
      </c>
      <c r="R57" s="100" t="s">
        <v>5217</v>
      </c>
      <c r="S57" s="100" t="s">
        <v>5218</v>
      </c>
      <c r="T57" s="100" t="s">
        <v>4236</v>
      </c>
      <c r="U57" s="100" t="s">
        <v>1311</v>
      </c>
      <c r="V57" s="100" t="s">
        <v>1312</v>
      </c>
      <c r="W57" s="100" t="s">
        <v>682</v>
      </c>
      <c r="X57" s="100" t="s">
        <v>1313</v>
      </c>
      <c r="Y57" s="100" t="s">
        <v>4237</v>
      </c>
      <c r="Z57" s="100" t="s">
        <v>4238</v>
      </c>
      <c r="AA57" s="100" t="s">
        <v>1314</v>
      </c>
      <c r="AB57" s="100" t="s">
        <v>1315</v>
      </c>
      <c r="AC57" s="100" t="s">
        <v>682</v>
      </c>
      <c r="AD57" s="100" t="s">
        <v>682</v>
      </c>
      <c r="AE57" s="100" t="s">
        <v>43</v>
      </c>
      <c r="AF57" s="100" t="s">
        <v>46</v>
      </c>
      <c r="AG57" s="100" t="s">
        <v>63</v>
      </c>
      <c r="AH57" s="100" t="s">
        <v>1316</v>
      </c>
      <c r="AI57" s="100" t="s">
        <v>682</v>
      </c>
      <c r="AJ57" s="100" t="s">
        <v>682</v>
      </c>
      <c r="AK57" s="100" t="s">
        <v>682</v>
      </c>
    </row>
    <row r="58" spans="1:37">
      <c r="A58" s="100" t="s">
        <v>1317</v>
      </c>
      <c r="B58" s="100" t="s">
        <v>1318</v>
      </c>
      <c r="C58" s="100" t="s">
        <v>682</v>
      </c>
      <c r="D58" s="100" t="s">
        <v>78</v>
      </c>
      <c r="E58" s="100" t="s">
        <v>1319</v>
      </c>
      <c r="F58" s="100" t="s">
        <v>238</v>
      </c>
      <c r="G58" s="100" t="s">
        <v>445</v>
      </c>
      <c r="H58" s="100" t="s">
        <v>2285</v>
      </c>
      <c r="I58" s="100" t="s">
        <v>4239</v>
      </c>
      <c r="J58" s="100" t="s">
        <v>1284</v>
      </c>
      <c r="K58" s="100" t="s">
        <v>1321</v>
      </c>
      <c r="L58" s="100" t="s">
        <v>682</v>
      </c>
      <c r="M58" s="100" t="s">
        <v>682</v>
      </c>
      <c r="N58" s="100" t="s">
        <v>682</v>
      </c>
      <c r="O58" s="100" t="s">
        <v>5219</v>
      </c>
      <c r="P58" s="100" t="s">
        <v>3959</v>
      </c>
      <c r="Q58" s="100" t="s">
        <v>1322</v>
      </c>
      <c r="R58" s="100" t="s">
        <v>5220</v>
      </c>
      <c r="S58" s="100" t="s">
        <v>5221</v>
      </c>
      <c r="T58" s="100" t="s">
        <v>4240</v>
      </c>
      <c r="U58" s="100" t="s">
        <v>1323</v>
      </c>
      <c r="V58" s="100" t="s">
        <v>1324</v>
      </c>
      <c r="W58" s="100" t="s">
        <v>682</v>
      </c>
      <c r="X58" s="100" t="s">
        <v>1325</v>
      </c>
      <c r="Y58" s="100" t="s">
        <v>4241</v>
      </c>
      <c r="Z58" s="100" t="s">
        <v>4242</v>
      </c>
      <c r="AA58" s="100" t="s">
        <v>1326</v>
      </c>
      <c r="AB58" s="100" t="s">
        <v>1327</v>
      </c>
      <c r="AC58" s="100" t="s">
        <v>682</v>
      </c>
      <c r="AD58" s="100" t="s">
        <v>682</v>
      </c>
      <c r="AE58" s="100" t="s">
        <v>54</v>
      </c>
      <c r="AF58" s="100" t="s">
        <v>682</v>
      </c>
      <c r="AG58" s="100" t="s">
        <v>682</v>
      </c>
      <c r="AH58" s="100" t="s">
        <v>1328</v>
      </c>
      <c r="AI58" s="100" t="s">
        <v>682</v>
      </c>
      <c r="AJ58" s="100" t="s">
        <v>682</v>
      </c>
      <c r="AK58" s="100" t="s">
        <v>682</v>
      </c>
    </row>
    <row r="59" spans="1:37">
      <c r="A59" s="100" t="s">
        <v>1329</v>
      </c>
      <c r="B59" s="100" t="s">
        <v>1330</v>
      </c>
      <c r="C59" s="100" t="s">
        <v>682</v>
      </c>
      <c r="D59" s="100" t="s">
        <v>89</v>
      </c>
      <c r="E59" s="100" t="s">
        <v>1331</v>
      </c>
      <c r="F59" s="100" t="s">
        <v>297</v>
      </c>
      <c r="G59" s="100" t="s">
        <v>491</v>
      </c>
      <c r="H59" s="100" t="s">
        <v>682</v>
      </c>
      <c r="I59" s="100" t="s">
        <v>4243</v>
      </c>
      <c r="J59" s="100" t="s">
        <v>940</v>
      </c>
      <c r="K59" s="100" t="s">
        <v>1333</v>
      </c>
      <c r="L59" s="100" t="s">
        <v>682</v>
      </c>
      <c r="M59" s="100" t="s">
        <v>682</v>
      </c>
      <c r="N59" s="100" t="s">
        <v>682</v>
      </c>
      <c r="O59" s="100" t="s">
        <v>5222</v>
      </c>
      <c r="P59" s="100" t="s">
        <v>1334</v>
      </c>
      <c r="Q59" s="100" t="s">
        <v>1335</v>
      </c>
      <c r="R59" s="100" t="s">
        <v>5223</v>
      </c>
      <c r="S59" s="100" t="s">
        <v>5224</v>
      </c>
      <c r="T59" s="100" t="s">
        <v>4244</v>
      </c>
      <c r="U59" s="100" t="s">
        <v>1336</v>
      </c>
      <c r="V59" s="100" t="s">
        <v>1337</v>
      </c>
      <c r="W59" s="100" t="s">
        <v>682</v>
      </c>
      <c r="X59" s="100" t="s">
        <v>1338</v>
      </c>
      <c r="Y59" s="100" t="s">
        <v>4245</v>
      </c>
      <c r="Z59" s="100" t="s">
        <v>4246</v>
      </c>
      <c r="AA59" s="100" t="s">
        <v>1339</v>
      </c>
      <c r="AB59" s="100" t="s">
        <v>1340</v>
      </c>
      <c r="AC59" s="100" t="s">
        <v>682</v>
      </c>
      <c r="AD59" s="100" t="s">
        <v>682</v>
      </c>
      <c r="AE59" s="100" t="s">
        <v>54</v>
      </c>
      <c r="AF59" s="100" t="s">
        <v>682</v>
      </c>
      <c r="AG59" s="100" t="s">
        <v>682</v>
      </c>
      <c r="AH59" s="100" t="s">
        <v>1341</v>
      </c>
      <c r="AI59" s="100" t="s">
        <v>682</v>
      </c>
      <c r="AJ59" s="100" t="s">
        <v>682</v>
      </c>
      <c r="AK59" s="100" t="s">
        <v>682</v>
      </c>
    </row>
    <row r="60" spans="1:37">
      <c r="A60" s="100" t="s">
        <v>1342</v>
      </c>
      <c r="B60" s="100" t="s">
        <v>1343</v>
      </c>
      <c r="C60" s="100" t="s">
        <v>682</v>
      </c>
      <c r="D60" s="100" t="s">
        <v>89</v>
      </c>
      <c r="E60" s="100" t="s">
        <v>1344</v>
      </c>
      <c r="F60" s="100" t="s">
        <v>299</v>
      </c>
      <c r="G60" s="100" t="s">
        <v>491</v>
      </c>
      <c r="H60" s="100" t="s">
        <v>682</v>
      </c>
      <c r="I60" s="100" t="s">
        <v>4247</v>
      </c>
      <c r="J60" s="100" t="s">
        <v>940</v>
      </c>
      <c r="K60" s="100" t="s">
        <v>1346</v>
      </c>
      <c r="L60" s="100" t="s">
        <v>682</v>
      </c>
      <c r="M60" s="100" t="s">
        <v>682</v>
      </c>
      <c r="N60" s="100" t="s">
        <v>682</v>
      </c>
      <c r="O60" s="100" t="s">
        <v>5225</v>
      </c>
      <c r="P60" s="100" t="s">
        <v>1347</v>
      </c>
      <c r="Q60" s="100" t="s">
        <v>1348</v>
      </c>
      <c r="R60" s="100" t="s">
        <v>5226</v>
      </c>
      <c r="S60" s="100" t="s">
        <v>5227</v>
      </c>
      <c r="T60" s="100" t="s">
        <v>4248</v>
      </c>
      <c r="U60" s="100" t="s">
        <v>1349</v>
      </c>
      <c r="V60" s="100" t="s">
        <v>1350</v>
      </c>
      <c r="W60" s="100" t="s">
        <v>682</v>
      </c>
      <c r="X60" s="100" t="s">
        <v>1351</v>
      </c>
      <c r="Y60" s="100" t="s">
        <v>4249</v>
      </c>
      <c r="Z60" s="100" t="s">
        <v>4250</v>
      </c>
      <c r="AA60" s="100" t="s">
        <v>1352</v>
      </c>
      <c r="AB60" s="100" t="s">
        <v>1353</v>
      </c>
      <c r="AC60" s="100" t="s">
        <v>682</v>
      </c>
      <c r="AD60" s="100" t="s">
        <v>682</v>
      </c>
      <c r="AE60" s="100" t="s">
        <v>54</v>
      </c>
      <c r="AF60" s="100" t="s">
        <v>682</v>
      </c>
      <c r="AG60" s="100" t="s">
        <v>682</v>
      </c>
      <c r="AH60" s="100" t="s">
        <v>1354</v>
      </c>
      <c r="AI60" s="100" t="s">
        <v>682</v>
      </c>
      <c r="AJ60" s="100" t="s">
        <v>682</v>
      </c>
      <c r="AK60" s="100" t="s">
        <v>682</v>
      </c>
    </row>
    <row r="61" spans="1:37">
      <c r="A61" s="100" t="s">
        <v>1355</v>
      </c>
      <c r="B61" s="100" t="s">
        <v>1356</v>
      </c>
      <c r="C61" s="100" t="s">
        <v>682</v>
      </c>
      <c r="D61" s="100" t="s">
        <v>2619</v>
      </c>
      <c r="E61" s="100" t="s">
        <v>1357</v>
      </c>
      <c r="F61" s="100" t="s">
        <v>224</v>
      </c>
      <c r="G61" s="100" t="s">
        <v>376</v>
      </c>
      <c r="H61" s="100" t="s">
        <v>682</v>
      </c>
      <c r="I61" s="100" t="s">
        <v>4251</v>
      </c>
      <c r="J61" s="100" t="s">
        <v>2725</v>
      </c>
      <c r="K61" s="100" t="s">
        <v>1359</v>
      </c>
      <c r="L61" s="100" t="s">
        <v>682</v>
      </c>
      <c r="M61" s="100" t="s">
        <v>682</v>
      </c>
      <c r="N61" s="100" t="s">
        <v>682</v>
      </c>
      <c r="O61" s="100" t="s">
        <v>5228</v>
      </c>
      <c r="P61" s="100" t="s">
        <v>1360</v>
      </c>
      <c r="Q61" s="100" t="s">
        <v>1361</v>
      </c>
      <c r="R61" s="100" t="s">
        <v>5229</v>
      </c>
      <c r="S61" s="100" t="s">
        <v>5230</v>
      </c>
      <c r="T61" s="100" t="s">
        <v>4252</v>
      </c>
      <c r="U61" s="100" t="s">
        <v>1362</v>
      </c>
      <c r="V61" s="100" t="s">
        <v>1363</v>
      </c>
      <c r="W61" s="100" t="s">
        <v>682</v>
      </c>
      <c r="X61" s="100" t="s">
        <v>1364</v>
      </c>
      <c r="Y61" s="100" t="s">
        <v>4253</v>
      </c>
      <c r="Z61" s="100" t="s">
        <v>4254</v>
      </c>
      <c r="AA61" s="100" t="s">
        <v>1365</v>
      </c>
      <c r="AB61" s="100" t="s">
        <v>1366</v>
      </c>
      <c r="AC61" s="100" t="s">
        <v>682</v>
      </c>
      <c r="AD61" s="100" t="s">
        <v>682</v>
      </c>
      <c r="AE61" s="100" t="s">
        <v>43</v>
      </c>
      <c r="AF61" s="100" t="s">
        <v>41</v>
      </c>
      <c r="AG61" s="100" t="s">
        <v>42</v>
      </c>
      <c r="AH61" s="100" t="s">
        <v>1367</v>
      </c>
      <c r="AI61" s="100" t="s">
        <v>682</v>
      </c>
      <c r="AJ61" s="100" t="s">
        <v>682</v>
      </c>
      <c r="AK61" s="100" t="s">
        <v>682</v>
      </c>
    </row>
    <row r="62" spans="1:37">
      <c r="A62" s="100" t="s">
        <v>1368</v>
      </c>
      <c r="B62" s="100" t="s">
        <v>1369</v>
      </c>
      <c r="C62" s="100" t="s">
        <v>682</v>
      </c>
      <c r="D62" s="100" t="s">
        <v>2619</v>
      </c>
      <c r="E62" s="100" t="s">
        <v>1370</v>
      </c>
      <c r="F62" s="100" t="s">
        <v>225</v>
      </c>
      <c r="G62" s="100" t="s">
        <v>368</v>
      </c>
      <c r="H62" s="100" t="s">
        <v>682</v>
      </c>
      <c r="I62" s="100" t="s">
        <v>4255</v>
      </c>
      <c r="J62" s="100" t="s">
        <v>940</v>
      </c>
      <c r="K62" s="100" t="s">
        <v>1371</v>
      </c>
      <c r="L62" s="100" t="s">
        <v>682</v>
      </c>
      <c r="M62" s="100" t="s">
        <v>682</v>
      </c>
      <c r="N62" s="100" t="s">
        <v>682</v>
      </c>
      <c r="O62" s="100" t="s">
        <v>5231</v>
      </c>
      <c r="P62" s="100" t="s">
        <v>1372</v>
      </c>
      <c r="Q62" s="100" t="s">
        <v>1373</v>
      </c>
      <c r="R62" s="100" t="s">
        <v>5232</v>
      </c>
      <c r="S62" s="100" t="s">
        <v>5233</v>
      </c>
      <c r="T62" s="100" t="s">
        <v>4256</v>
      </c>
      <c r="U62" s="100" t="s">
        <v>1374</v>
      </c>
      <c r="V62" s="100" t="s">
        <v>1375</v>
      </c>
      <c r="W62" s="100" t="s">
        <v>682</v>
      </c>
      <c r="X62" s="100" t="s">
        <v>1376</v>
      </c>
      <c r="Y62" s="100" t="s">
        <v>4257</v>
      </c>
      <c r="Z62" s="100" t="s">
        <v>4258</v>
      </c>
      <c r="AA62" s="100" t="s">
        <v>1377</v>
      </c>
      <c r="AB62" s="100" t="s">
        <v>1378</v>
      </c>
      <c r="AC62" s="100" t="s">
        <v>682</v>
      </c>
      <c r="AD62" s="100" t="s">
        <v>682</v>
      </c>
      <c r="AE62" s="100" t="s">
        <v>43</v>
      </c>
      <c r="AF62" s="100" t="s">
        <v>41</v>
      </c>
      <c r="AG62" s="100" t="s">
        <v>42</v>
      </c>
      <c r="AH62" s="100" t="s">
        <v>1379</v>
      </c>
      <c r="AI62" s="100" t="s">
        <v>682</v>
      </c>
      <c r="AJ62" s="100" t="s">
        <v>682</v>
      </c>
      <c r="AK62" s="100" t="s">
        <v>682</v>
      </c>
    </row>
    <row r="63" spans="1:37">
      <c r="A63" s="100" t="s">
        <v>1380</v>
      </c>
      <c r="B63" s="100" t="s">
        <v>1381</v>
      </c>
      <c r="C63" s="100" t="s">
        <v>682</v>
      </c>
      <c r="D63" s="100" t="s">
        <v>97</v>
      </c>
      <c r="E63" s="100" t="s">
        <v>1382</v>
      </c>
      <c r="F63" s="100" t="s">
        <v>249</v>
      </c>
      <c r="G63" s="100" t="s">
        <v>277</v>
      </c>
      <c r="H63" s="100" t="s">
        <v>682</v>
      </c>
      <c r="I63" s="100" t="s">
        <v>4259</v>
      </c>
      <c r="J63" s="100" t="s">
        <v>1284</v>
      </c>
      <c r="K63" s="100" t="s">
        <v>1383</v>
      </c>
      <c r="L63" s="100" t="s">
        <v>682</v>
      </c>
      <c r="M63" s="100" t="s">
        <v>682</v>
      </c>
      <c r="N63" s="100" t="s">
        <v>682</v>
      </c>
      <c r="O63" s="100" t="s">
        <v>5234</v>
      </c>
      <c r="P63" s="100" t="s">
        <v>1384</v>
      </c>
      <c r="Q63" s="100" t="s">
        <v>1385</v>
      </c>
      <c r="R63" s="100" t="s">
        <v>5235</v>
      </c>
      <c r="S63" s="100" t="s">
        <v>5236</v>
      </c>
      <c r="T63" s="100" t="s">
        <v>4260</v>
      </c>
      <c r="U63" s="100" t="s">
        <v>1386</v>
      </c>
      <c r="V63" s="100" t="s">
        <v>1387</v>
      </c>
      <c r="W63" s="100" t="s">
        <v>682</v>
      </c>
      <c r="X63" s="100" t="s">
        <v>1388</v>
      </c>
      <c r="Y63" s="100" t="s">
        <v>4261</v>
      </c>
      <c r="Z63" s="100" t="s">
        <v>4262</v>
      </c>
      <c r="AA63" s="100" t="s">
        <v>1389</v>
      </c>
      <c r="AB63" s="100" t="s">
        <v>1390</v>
      </c>
      <c r="AC63" s="100" t="s">
        <v>682</v>
      </c>
      <c r="AD63" s="100" t="s">
        <v>682</v>
      </c>
      <c r="AE63" s="100" t="s">
        <v>43</v>
      </c>
      <c r="AF63" s="100" t="s">
        <v>41</v>
      </c>
      <c r="AG63" s="100" t="s">
        <v>42</v>
      </c>
      <c r="AH63" s="100" t="s">
        <v>1391</v>
      </c>
      <c r="AI63" s="100" t="s">
        <v>682</v>
      </c>
      <c r="AJ63" s="100" t="s">
        <v>682</v>
      </c>
      <c r="AK63" s="100" t="s">
        <v>682</v>
      </c>
    </row>
    <row r="64" spans="1:37">
      <c r="A64" s="100" t="s">
        <v>1392</v>
      </c>
      <c r="B64" s="100" t="s">
        <v>1393</v>
      </c>
      <c r="C64" s="100" t="s">
        <v>682</v>
      </c>
      <c r="D64" s="100" t="s">
        <v>97</v>
      </c>
      <c r="E64" s="100" t="s">
        <v>1394</v>
      </c>
      <c r="F64" s="100" t="s">
        <v>251</v>
      </c>
      <c r="G64" s="100" t="s">
        <v>286</v>
      </c>
      <c r="H64" s="100" t="s">
        <v>682</v>
      </c>
      <c r="I64" s="100" t="s">
        <v>4263</v>
      </c>
      <c r="J64" s="100" t="s">
        <v>1284</v>
      </c>
      <c r="K64" s="100" t="s">
        <v>1396</v>
      </c>
      <c r="L64" s="100" t="s">
        <v>682</v>
      </c>
      <c r="M64" s="100" t="s">
        <v>682</v>
      </c>
      <c r="N64" s="100" t="s">
        <v>682</v>
      </c>
      <c r="O64" s="100" t="s">
        <v>5237</v>
      </c>
      <c r="P64" s="100" t="s">
        <v>1397</v>
      </c>
      <c r="Q64" s="100" t="s">
        <v>1398</v>
      </c>
      <c r="R64" s="100" t="s">
        <v>5238</v>
      </c>
      <c r="S64" s="100" t="s">
        <v>5239</v>
      </c>
      <c r="T64" s="100" t="s">
        <v>4264</v>
      </c>
      <c r="U64" s="100" t="s">
        <v>1399</v>
      </c>
      <c r="V64" s="100" t="s">
        <v>1400</v>
      </c>
      <c r="W64" s="100" t="s">
        <v>682</v>
      </c>
      <c r="X64" s="100" t="s">
        <v>1401</v>
      </c>
      <c r="Y64" s="100" t="s">
        <v>4265</v>
      </c>
      <c r="Z64" s="100" t="s">
        <v>4266</v>
      </c>
      <c r="AA64" s="100" t="s">
        <v>1402</v>
      </c>
      <c r="AB64" s="100" t="s">
        <v>1403</v>
      </c>
      <c r="AC64" s="100" t="s">
        <v>682</v>
      </c>
      <c r="AD64" s="100" t="s">
        <v>682</v>
      </c>
      <c r="AE64" s="100" t="s">
        <v>43</v>
      </c>
      <c r="AF64" s="100" t="s">
        <v>41</v>
      </c>
      <c r="AG64" s="100" t="s">
        <v>42</v>
      </c>
      <c r="AH64" s="100" t="s">
        <v>1404</v>
      </c>
      <c r="AI64" s="100" t="s">
        <v>682</v>
      </c>
      <c r="AJ64" s="100" t="s">
        <v>682</v>
      </c>
      <c r="AK64" s="100" t="s">
        <v>682</v>
      </c>
    </row>
    <row r="65" spans="1:37">
      <c r="A65" s="100" t="s">
        <v>1405</v>
      </c>
      <c r="B65" s="100" t="s">
        <v>1406</v>
      </c>
      <c r="C65" s="100" t="s">
        <v>682</v>
      </c>
      <c r="D65" s="100" t="s">
        <v>97</v>
      </c>
      <c r="E65" s="100" t="s">
        <v>1407</v>
      </c>
      <c r="F65" s="100" t="s">
        <v>252</v>
      </c>
      <c r="G65" s="100" t="s">
        <v>287</v>
      </c>
      <c r="H65" s="100" t="s">
        <v>682</v>
      </c>
      <c r="I65" s="100" t="s">
        <v>4267</v>
      </c>
      <c r="J65" s="100" t="s">
        <v>2725</v>
      </c>
      <c r="K65" s="100" t="s">
        <v>1408</v>
      </c>
      <c r="L65" s="100" t="s">
        <v>682</v>
      </c>
      <c r="M65" s="100" t="s">
        <v>682</v>
      </c>
      <c r="N65" s="100" t="s">
        <v>682</v>
      </c>
      <c r="O65" s="100" t="s">
        <v>5240</v>
      </c>
      <c r="P65" s="100" t="s">
        <v>1409</v>
      </c>
      <c r="Q65" s="100" t="s">
        <v>1410</v>
      </c>
      <c r="R65" s="100" t="s">
        <v>5241</v>
      </c>
      <c r="S65" s="100" t="s">
        <v>5242</v>
      </c>
      <c r="T65" s="100" t="s">
        <v>4268</v>
      </c>
      <c r="U65" s="100" t="s">
        <v>1411</v>
      </c>
      <c r="V65" s="100" t="s">
        <v>1412</v>
      </c>
      <c r="W65" s="100" t="s">
        <v>682</v>
      </c>
      <c r="X65" s="100" t="s">
        <v>1413</v>
      </c>
      <c r="Y65" s="100" t="s">
        <v>4269</v>
      </c>
      <c r="Z65" s="100" t="s">
        <v>4270</v>
      </c>
      <c r="AA65" s="100" t="s">
        <v>1414</v>
      </c>
      <c r="AB65" s="100" t="s">
        <v>1415</v>
      </c>
      <c r="AC65" s="100" t="s">
        <v>682</v>
      </c>
      <c r="AD65" s="100" t="s">
        <v>682</v>
      </c>
      <c r="AE65" s="100" t="s">
        <v>43</v>
      </c>
      <c r="AF65" s="100" t="s">
        <v>41</v>
      </c>
      <c r="AG65" s="100" t="s">
        <v>42</v>
      </c>
      <c r="AH65" s="100" t="s">
        <v>1416</v>
      </c>
      <c r="AI65" s="100" t="s">
        <v>682</v>
      </c>
      <c r="AJ65" s="100" t="s">
        <v>682</v>
      </c>
      <c r="AK65" s="100" t="s">
        <v>682</v>
      </c>
    </row>
    <row r="66" spans="1:37">
      <c r="A66" s="100" t="s">
        <v>6551</v>
      </c>
      <c r="B66" s="100" t="s">
        <v>6552</v>
      </c>
      <c r="C66" s="100" t="s">
        <v>682</v>
      </c>
      <c r="D66" s="100" t="s">
        <v>97</v>
      </c>
      <c r="E66" s="100" t="s">
        <v>6553</v>
      </c>
      <c r="F66" s="100" t="s">
        <v>252</v>
      </c>
      <c r="G66" s="100" t="s">
        <v>288</v>
      </c>
      <c r="H66" s="100" t="s">
        <v>682</v>
      </c>
      <c r="I66" s="100" t="s">
        <v>6554</v>
      </c>
      <c r="J66" s="100" t="s">
        <v>2725</v>
      </c>
      <c r="K66" s="100" t="s">
        <v>1417</v>
      </c>
      <c r="L66" s="100" t="s">
        <v>682</v>
      </c>
      <c r="M66" s="100" t="s">
        <v>682</v>
      </c>
      <c r="N66" s="100" t="s">
        <v>682</v>
      </c>
      <c r="O66" s="100" t="s">
        <v>6555</v>
      </c>
      <c r="P66" s="100" t="s">
        <v>6556</v>
      </c>
      <c r="Q66" s="100" t="s">
        <v>6557</v>
      </c>
      <c r="R66" s="100" t="s">
        <v>6558</v>
      </c>
      <c r="S66" s="100" t="s">
        <v>6559</v>
      </c>
      <c r="T66" s="100" t="s">
        <v>6560</v>
      </c>
      <c r="U66" s="100" t="s">
        <v>6561</v>
      </c>
      <c r="V66" s="100" t="s">
        <v>6562</v>
      </c>
      <c r="W66" s="100" t="s">
        <v>682</v>
      </c>
      <c r="X66" s="100" t="s">
        <v>6563</v>
      </c>
      <c r="Y66" s="100" t="s">
        <v>6564</v>
      </c>
      <c r="Z66" s="100" t="s">
        <v>6565</v>
      </c>
      <c r="AA66" s="100" t="s">
        <v>6566</v>
      </c>
      <c r="AB66" s="100" t="s">
        <v>6567</v>
      </c>
      <c r="AC66" s="100" t="s">
        <v>682</v>
      </c>
      <c r="AD66" s="100" t="s">
        <v>682</v>
      </c>
      <c r="AE66" s="100" t="s">
        <v>43</v>
      </c>
      <c r="AF66" s="100" t="s">
        <v>41</v>
      </c>
      <c r="AG66" s="100" t="s">
        <v>42</v>
      </c>
      <c r="AH66" s="100" t="s">
        <v>1418</v>
      </c>
      <c r="AI66" s="100" t="s">
        <v>682</v>
      </c>
      <c r="AJ66" s="100" t="s">
        <v>682</v>
      </c>
      <c r="AK66" s="100" t="s">
        <v>682</v>
      </c>
    </row>
    <row r="67" spans="1:37">
      <c r="A67" s="100" t="s">
        <v>1419</v>
      </c>
      <c r="B67" s="100" t="s">
        <v>1420</v>
      </c>
      <c r="C67" s="100" t="s">
        <v>682</v>
      </c>
      <c r="D67" s="100" t="s">
        <v>97</v>
      </c>
      <c r="E67" s="100" t="s">
        <v>1421</v>
      </c>
      <c r="F67" s="100" t="s">
        <v>252</v>
      </c>
      <c r="G67" s="100" t="s">
        <v>289</v>
      </c>
      <c r="H67" s="100" t="s">
        <v>682</v>
      </c>
      <c r="I67" s="100" t="s">
        <v>4271</v>
      </c>
      <c r="J67" s="100" t="s">
        <v>2725</v>
      </c>
      <c r="K67" s="100" t="s">
        <v>1422</v>
      </c>
      <c r="L67" s="100" t="s">
        <v>682</v>
      </c>
      <c r="M67" s="100" t="s">
        <v>682</v>
      </c>
      <c r="N67" s="100" t="s">
        <v>682</v>
      </c>
      <c r="O67" s="100" t="s">
        <v>5243</v>
      </c>
      <c r="P67" s="100" t="s">
        <v>3960</v>
      </c>
      <c r="Q67" s="100" t="s">
        <v>1423</v>
      </c>
      <c r="R67" s="100" t="s">
        <v>5244</v>
      </c>
      <c r="S67" s="100" t="s">
        <v>5245</v>
      </c>
      <c r="T67" s="100" t="s">
        <v>4272</v>
      </c>
      <c r="U67" s="100" t="s">
        <v>1424</v>
      </c>
      <c r="V67" s="100" t="s">
        <v>1425</v>
      </c>
      <c r="W67" s="100" t="s">
        <v>682</v>
      </c>
      <c r="X67" s="100" t="s">
        <v>1426</v>
      </c>
      <c r="Y67" s="100" t="s">
        <v>4273</v>
      </c>
      <c r="Z67" s="100" t="s">
        <v>4274</v>
      </c>
      <c r="AA67" s="100" t="s">
        <v>1427</v>
      </c>
      <c r="AB67" s="100" t="s">
        <v>1428</v>
      </c>
      <c r="AC67" s="100" t="s">
        <v>682</v>
      </c>
      <c r="AD67" s="100" t="s">
        <v>682</v>
      </c>
      <c r="AE67" s="100" t="s">
        <v>43</v>
      </c>
      <c r="AF67" s="100" t="s">
        <v>41</v>
      </c>
      <c r="AG67" s="100" t="s">
        <v>42</v>
      </c>
      <c r="AH67" s="100" t="s">
        <v>1429</v>
      </c>
      <c r="AI67" s="100" t="s">
        <v>682</v>
      </c>
      <c r="AJ67" s="100" t="s">
        <v>682</v>
      </c>
      <c r="AK67" s="100" t="s">
        <v>682</v>
      </c>
    </row>
    <row r="68" spans="1:37">
      <c r="A68" s="100" t="s">
        <v>1430</v>
      </c>
      <c r="B68" s="100" t="s">
        <v>682</v>
      </c>
      <c r="C68" s="100" t="s">
        <v>682</v>
      </c>
      <c r="D68" s="100" t="s">
        <v>682</v>
      </c>
      <c r="E68" s="100" t="s">
        <v>682</v>
      </c>
      <c r="F68" s="100" t="s">
        <v>682</v>
      </c>
      <c r="G68" s="100" t="s">
        <v>682</v>
      </c>
      <c r="H68" s="100" t="s">
        <v>682</v>
      </c>
      <c r="I68" s="100" t="s">
        <v>682</v>
      </c>
      <c r="J68" s="100" t="s">
        <v>6424</v>
      </c>
      <c r="K68" s="100" t="s">
        <v>6568</v>
      </c>
      <c r="L68" s="100" t="s">
        <v>6569</v>
      </c>
      <c r="M68" s="100" t="s">
        <v>682</v>
      </c>
      <c r="N68" s="100" t="s">
        <v>682</v>
      </c>
      <c r="O68" s="100" t="s">
        <v>682</v>
      </c>
      <c r="P68" s="100" t="s">
        <v>682</v>
      </c>
      <c r="Q68" s="100" t="s">
        <v>1432</v>
      </c>
      <c r="R68" s="100" t="s">
        <v>6570</v>
      </c>
      <c r="S68" s="100" t="s">
        <v>6571</v>
      </c>
      <c r="T68" s="100" t="s">
        <v>6572</v>
      </c>
      <c r="U68" s="100" t="s">
        <v>1433</v>
      </c>
      <c r="V68" s="100" t="s">
        <v>1434</v>
      </c>
      <c r="W68" s="100" t="s">
        <v>6573</v>
      </c>
      <c r="X68" s="100" t="s">
        <v>682</v>
      </c>
      <c r="Y68" s="100" t="s">
        <v>682</v>
      </c>
      <c r="Z68" s="100" t="s">
        <v>682</v>
      </c>
      <c r="AA68" s="100" t="s">
        <v>1435</v>
      </c>
      <c r="AB68" s="100" t="s">
        <v>1436</v>
      </c>
      <c r="AC68" s="100" t="s">
        <v>6574</v>
      </c>
      <c r="AD68" s="100" t="s">
        <v>682</v>
      </c>
      <c r="AE68" s="100" t="s">
        <v>682</v>
      </c>
      <c r="AF68" s="100" t="s">
        <v>682</v>
      </c>
      <c r="AG68" s="100" t="s">
        <v>682</v>
      </c>
      <c r="AH68" s="100" t="s">
        <v>682</v>
      </c>
      <c r="AI68" s="100" t="s">
        <v>682</v>
      </c>
      <c r="AJ68" s="100" t="s">
        <v>682</v>
      </c>
      <c r="AK68" s="100" t="s">
        <v>682</v>
      </c>
    </row>
    <row r="69" spans="1:37">
      <c r="A69" s="100" t="s">
        <v>1437</v>
      </c>
      <c r="B69" s="100" t="s">
        <v>1438</v>
      </c>
      <c r="C69" s="100" t="s">
        <v>682</v>
      </c>
      <c r="D69" s="100" t="s">
        <v>1138</v>
      </c>
      <c r="E69" s="100" t="s">
        <v>1439</v>
      </c>
      <c r="F69" s="100" t="s">
        <v>221</v>
      </c>
      <c r="G69" s="100" t="s">
        <v>417</v>
      </c>
      <c r="H69" s="100" t="s">
        <v>682</v>
      </c>
      <c r="I69" s="100" t="s">
        <v>4275</v>
      </c>
      <c r="J69" s="100" t="s">
        <v>1308</v>
      </c>
      <c r="K69" s="100" t="s">
        <v>1440</v>
      </c>
      <c r="L69" s="100" t="s">
        <v>682</v>
      </c>
      <c r="M69" s="100" t="s">
        <v>682</v>
      </c>
      <c r="N69" s="100" t="s">
        <v>682</v>
      </c>
      <c r="O69" s="100" t="s">
        <v>5246</v>
      </c>
      <c r="P69" s="100" t="s">
        <v>3961</v>
      </c>
      <c r="Q69" s="100" t="s">
        <v>1441</v>
      </c>
      <c r="R69" s="100" t="s">
        <v>5247</v>
      </c>
      <c r="S69" s="100" t="s">
        <v>5248</v>
      </c>
      <c r="T69" s="100" t="s">
        <v>4276</v>
      </c>
      <c r="U69" s="100" t="s">
        <v>1442</v>
      </c>
      <c r="V69" s="100" t="s">
        <v>1443</v>
      </c>
      <c r="W69" s="100" t="s">
        <v>682</v>
      </c>
      <c r="X69" s="100" t="s">
        <v>1444</v>
      </c>
      <c r="Y69" s="100" t="s">
        <v>4277</v>
      </c>
      <c r="Z69" s="100" t="s">
        <v>4278</v>
      </c>
      <c r="AA69" s="100" t="s">
        <v>1445</v>
      </c>
      <c r="AB69" s="100" t="s">
        <v>1446</v>
      </c>
      <c r="AC69" s="100" t="s">
        <v>682</v>
      </c>
      <c r="AD69" s="100" t="s">
        <v>682</v>
      </c>
      <c r="AE69" s="100" t="s">
        <v>43</v>
      </c>
      <c r="AF69" s="100" t="s">
        <v>41</v>
      </c>
      <c r="AG69" s="100" t="s">
        <v>63</v>
      </c>
      <c r="AH69" s="100" t="s">
        <v>1447</v>
      </c>
      <c r="AI69" s="100" t="s">
        <v>682</v>
      </c>
      <c r="AJ69" s="100" t="s">
        <v>682</v>
      </c>
      <c r="AK69" s="100" t="s">
        <v>682</v>
      </c>
    </row>
    <row r="70" spans="1:37">
      <c r="A70" s="100" t="s">
        <v>1448</v>
      </c>
      <c r="B70" s="100" t="s">
        <v>1449</v>
      </c>
      <c r="C70" s="100" t="s">
        <v>682</v>
      </c>
      <c r="D70" s="100" t="s">
        <v>1138</v>
      </c>
      <c r="E70" s="100" t="s">
        <v>1450</v>
      </c>
      <c r="F70" s="100" t="s">
        <v>221</v>
      </c>
      <c r="G70" s="100" t="s">
        <v>216</v>
      </c>
      <c r="H70" s="100" t="s">
        <v>682</v>
      </c>
      <c r="I70" s="100" t="s">
        <v>4279</v>
      </c>
      <c r="J70" s="100" t="s">
        <v>1320</v>
      </c>
      <c r="K70" s="100" t="s">
        <v>1451</v>
      </c>
      <c r="L70" s="100" t="s">
        <v>682</v>
      </c>
      <c r="M70" s="100" t="s">
        <v>682</v>
      </c>
      <c r="N70" s="100" t="s">
        <v>682</v>
      </c>
      <c r="O70" s="100" t="s">
        <v>5249</v>
      </c>
      <c r="P70" s="100" t="s">
        <v>3962</v>
      </c>
      <c r="Q70" s="100" t="s">
        <v>1452</v>
      </c>
      <c r="R70" s="100" t="s">
        <v>5250</v>
      </c>
      <c r="S70" s="100" t="s">
        <v>5251</v>
      </c>
      <c r="T70" s="100" t="s">
        <v>4280</v>
      </c>
      <c r="U70" s="100" t="s">
        <v>1453</v>
      </c>
      <c r="V70" s="100" t="s">
        <v>1454</v>
      </c>
      <c r="W70" s="100" t="s">
        <v>682</v>
      </c>
      <c r="X70" s="100" t="s">
        <v>1455</v>
      </c>
      <c r="Y70" s="100" t="s">
        <v>4281</v>
      </c>
      <c r="Z70" s="100" t="s">
        <v>4282</v>
      </c>
      <c r="AA70" s="100" t="s">
        <v>1456</v>
      </c>
      <c r="AB70" s="100" t="s">
        <v>1457</v>
      </c>
      <c r="AC70" s="100" t="s">
        <v>682</v>
      </c>
      <c r="AD70" s="100" t="s">
        <v>682</v>
      </c>
      <c r="AE70" s="100" t="s">
        <v>43</v>
      </c>
      <c r="AF70" s="100" t="s">
        <v>41</v>
      </c>
      <c r="AG70" s="100" t="s">
        <v>63</v>
      </c>
      <c r="AH70" s="100" t="s">
        <v>1458</v>
      </c>
      <c r="AI70" s="100" t="s">
        <v>682</v>
      </c>
      <c r="AJ70" s="100" t="s">
        <v>682</v>
      </c>
      <c r="AK70" s="100" t="s">
        <v>682</v>
      </c>
    </row>
    <row r="71" spans="1:37">
      <c r="A71" s="100" t="s">
        <v>1459</v>
      </c>
      <c r="B71" s="100" t="s">
        <v>1460</v>
      </c>
      <c r="C71" s="100" t="s">
        <v>682</v>
      </c>
      <c r="D71" s="100" t="s">
        <v>1138</v>
      </c>
      <c r="E71" s="100" t="s">
        <v>1461</v>
      </c>
      <c r="F71" s="100" t="s">
        <v>221</v>
      </c>
      <c r="G71" s="100" t="s">
        <v>397</v>
      </c>
      <c r="H71" s="100" t="s">
        <v>682</v>
      </c>
      <c r="I71" s="100" t="s">
        <v>4283</v>
      </c>
      <c r="J71" s="100" t="s">
        <v>1332</v>
      </c>
      <c r="K71" s="100" t="s">
        <v>1462</v>
      </c>
      <c r="L71" s="100" t="s">
        <v>682</v>
      </c>
      <c r="M71" s="100" t="s">
        <v>682</v>
      </c>
      <c r="N71" s="100" t="s">
        <v>682</v>
      </c>
      <c r="O71" s="100" t="s">
        <v>5252</v>
      </c>
      <c r="P71" s="100" t="s">
        <v>3963</v>
      </c>
      <c r="Q71" s="100" t="s">
        <v>1463</v>
      </c>
      <c r="R71" s="100" t="s">
        <v>5253</v>
      </c>
      <c r="S71" s="100" t="s">
        <v>5254</v>
      </c>
      <c r="T71" s="100" t="s">
        <v>4284</v>
      </c>
      <c r="U71" s="100" t="s">
        <v>1464</v>
      </c>
      <c r="V71" s="100" t="s">
        <v>1465</v>
      </c>
      <c r="W71" s="100" t="s">
        <v>682</v>
      </c>
      <c r="X71" s="100" t="s">
        <v>1466</v>
      </c>
      <c r="Y71" s="100" t="s">
        <v>4285</v>
      </c>
      <c r="Z71" s="100" t="s">
        <v>4286</v>
      </c>
      <c r="AA71" s="100" t="s">
        <v>1467</v>
      </c>
      <c r="AB71" s="100" t="s">
        <v>1468</v>
      </c>
      <c r="AC71" s="100" t="s">
        <v>682</v>
      </c>
      <c r="AD71" s="100" t="s">
        <v>682</v>
      </c>
      <c r="AE71" s="100" t="s">
        <v>43</v>
      </c>
      <c r="AF71" s="100" t="s">
        <v>41</v>
      </c>
      <c r="AG71" s="100" t="s">
        <v>63</v>
      </c>
      <c r="AH71" s="100" t="s">
        <v>1469</v>
      </c>
      <c r="AI71" s="100" t="s">
        <v>682</v>
      </c>
      <c r="AJ71" s="100" t="s">
        <v>682</v>
      </c>
      <c r="AK71" s="100" t="s">
        <v>682</v>
      </c>
    </row>
    <row r="72" spans="1:37">
      <c r="A72" s="100" t="s">
        <v>1470</v>
      </c>
      <c r="B72" s="100" t="s">
        <v>1471</v>
      </c>
      <c r="C72" s="100" t="s">
        <v>682</v>
      </c>
      <c r="D72" s="100" t="s">
        <v>70</v>
      </c>
      <c r="E72" s="100" t="s">
        <v>1472</v>
      </c>
      <c r="F72" s="100" t="s">
        <v>177</v>
      </c>
      <c r="G72" s="100" t="s">
        <v>449</v>
      </c>
      <c r="H72" s="100" t="s">
        <v>682</v>
      </c>
      <c r="I72" s="100" t="s">
        <v>4287</v>
      </c>
      <c r="J72" s="100" t="s">
        <v>1643</v>
      </c>
      <c r="K72" s="100" t="s">
        <v>1474</v>
      </c>
      <c r="L72" s="100" t="s">
        <v>682</v>
      </c>
      <c r="M72" s="100" t="s">
        <v>682</v>
      </c>
      <c r="N72" s="100" t="s">
        <v>682</v>
      </c>
      <c r="O72" s="100" t="s">
        <v>5255</v>
      </c>
      <c r="P72" s="100" t="s">
        <v>1475</v>
      </c>
      <c r="Q72" s="100" t="s">
        <v>1476</v>
      </c>
      <c r="R72" s="100" t="s">
        <v>5256</v>
      </c>
      <c r="S72" s="100" t="s">
        <v>5257</v>
      </c>
      <c r="T72" s="100" t="s">
        <v>4288</v>
      </c>
      <c r="U72" s="100" t="s">
        <v>1477</v>
      </c>
      <c r="V72" s="100" t="s">
        <v>1478</v>
      </c>
      <c r="W72" s="100" t="s">
        <v>682</v>
      </c>
      <c r="X72" s="100" t="s">
        <v>1479</v>
      </c>
      <c r="Y72" s="100" t="s">
        <v>4289</v>
      </c>
      <c r="Z72" s="100" t="s">
        <v>4290</v>
      </c>
      <c r="AA72" s="100" t="s">
        <v>1480</v>
      </c>
      <c r="AB72" s="100" t="s">
        <v>1481</v>
      </c>
      <c r="AC72" s="100" t="s">
        <v>682</v>
      </c>
      <c r="AD72" s="100" t="s">
        <v>682</v>
      </c>
      <c r="AE72" s="100" t="s">
        <v>43</v>
      </c>
      <c r="AF72" s="100" t="s">
        <v>41</v>
      </c>
      <c r="AG72" s="100" t="s">
        <v>63</v>
      </c>
      <c r="AH72" s="100" t="s">
        <v>1482</v>
      </c>
      <c r="AI72" s="100" t="s">
        <v>682</v>
      </c>
      <c r="AJ72" s="100" t="s">
        <v>682</v>
      </c>
      <c r="AK72" s="100" t="s">
        <v>682</v>
      </c>
    </row>
    <row r="73" spans="1:37">
      <c r="A73" s="100" t="s">
        <v>1483</v>
      </c>
      <c r="B73" s="100" t="s">
        <v>1484</v>
      </c>
      <c r="C73" s="100" t="s">
        <v>682</v>
      </c>
      <c r="D73" s="100" t="s">
        <v>1581</v>
      </c>
      <c r="E73" s="100" t="s">
        <v>1485</v>
      </c>
      <c r="F73" s="100" t="s">
        <v>174</v>
      </c>
      <c r="G73" s="100" t="s">
        <v>419</v>
      </c>
      <c r="H73" s="100" t="s">
        <v>682</v>
      </c>
      <c r="I73" s="100" t="s">
        <v>4291</v>
      </c>
      <c r="J73" s="100" t="s">
        <v>1723</v>
      </c>
      <c r="K73" s="100" t="s">
        <v>1486</v>
      </c>
      <c r="L73" s="100" t="s">
        <v>682</v>
      </c>
      <c r="M73" s="100" t="s">
        <v>682</v>
      </c>
      <c r="N73" s="100" t="s">
        <v>682</v>
      </c>
      <c r="O73" s="100" t="s">
        <v>5258</v>
      </c>
      <c r="P73" s="100" t="s">
        <v>1487</v>
      </c>
      <c r="Q73" s="100" t="s">
        <v>1488</v>
      </c>
      <c r="R73" s="100" t="s">
        <v>5259</v>
      </c>
      <c r="S73" s="100" t="s">
        <v>5260</v>
      </c>
      <c r="T73" s="100" t="s">
        <v>4292</v>
      </c>
      <c r="U73" s="100" t="s">
        <v>1489</v>
      </c>
      <c r="V73" s="100" t="s">
        <v>1490</v>
      </c>
      <c r="W73" s="100" t="s">
        <v>682</v>
      </c>
      <c r="X73" s="100" t="s">
        <v>1491</v>
      </c>
      <c r="Y73" s="100" t="s">
        <v>4293</v>
      </c>
      <c r="Z73" s="100" t="s">
        <v>4294</v>
      </c>
      <c r="AA73" s="100" t="s">
        <v>1492</v>
      </c>
      <c r="AB73" s="100" t="s">
        <v>1493</v>
      </c>
      <c r="AC73" s="100" t="s">
        <v>682</v>
      </c>
      <c r="AD73" s="100" t="s">
        <v>682</v>
      </c>
      <c r="AE73" s="100" t="s">
        <v>43</v>
      </c>
      <c r="AF73" s="100" t="s">
        <v>46</v>
      </c>
      <c r="AG73" s="100" t="s">
        <v>42</v>
      </c>
      <c r="AH73" s="100" t="s">
        <v>1494</v>
      </c>
      <c r="AI73" s="100" t="s">
        <v>682</v>
      </c>
      <c r="AJ73" s="100" t="s">
        <v>682</v>
      </c>
      <c r="AK73" s="100" t="s">
        <v>682</v>
      </c>
    </row>
    <row r="74" spans="1:37">
      <c r="A74" s="100" t="s">
        <v>1495</v>
      </c>
      <c r="B74" s="100" t="s">
        <v>1496</v>
      </c>
      <c r="C74" s="100" t="s">
        <v>682</v>
      </c>
      <c r="D74" s="100" t="s">
        <v>78</v>
      </c>
      <c r="E74" s="100" t="s">
        <v>1497</v>
      </c>
      <c r="F74" s="100" t="s">
        <v>238</v>
      </c>
      <c r="G74" s="100" t="s">
        <v>439</v>
      </c>
      <c r="H74" s="100" t="s">
        <v>2285</v>
      </c>
      <c r="I74" s="100" t="s">
        <v>4295</v>
      </c>
      <c r="J74" s="100" t="s">
        <v>1332</v>
      </c>
      <c r="K74" s="100" t="s">
        <v>1499</v>
      </c>
      <c r="L74" s="100" t="s">
        <v>682</v>
      </c>
      <c r="M74" s="100" t="s">
        <v>682</v>
      </c>
      <c r="N74" s="100" t="s">
        <v>682</v>
      </c>
      <c r="O74" s="100" t="s">
        <v>5261</v>
      </c>
      <c r="P74" s="100" t="s">
        <v>1500</v>
      </c>
      <c r="Q74" s="100" t="s">
        <v>1501</v>
      </c>
      <c r="R74" s="100" t="s">
        <v>5262</v>
      </c>
      <c r="S74" s="100" t="s">
        <v>5263</v>
      </c>
      <c r="T74" s="100" t="s">
        <v>4296</v>
      </c>
      <c r="U74" s="100" t="s">
        <v>1502</v>
      </c>
      <c r="V74" s="100" t="s">
        <v>1503</v>
      </c>
      <c r="W74" s="100" t="s">
        <v>682</v>
      </c>
      <c r="X74" s="100" t="s">
        <v>1504</v>
      </c>
      <c r="Y74" s="100" t="s">
        <v>4297</v>
      </c>
      <c r="Z74" s="100" t="s">
        <v>4298</v>
      </c>
      <c r="AA74" s="100" t="s">
        <v>1505</v>
      </c>
      <c r="AB74" s="100" t="s">
        <v>1506</v>
      </c>
      <c r="AC74" s="100" t="s">
        <v>682</v>
      </c>
      <c r="AD74" s="100" t="s">
        <v>682</v>
      </c>
      <c r="AE74" s="100" t="s">
        <v>43</v>
      </c>
      <c r="AF74" s="100" t="s">
        <v>46</v>
      </c>
      <c r="AG74" s="100" t="s">
        <v>42</v>
      </c>
      <c r="AH74" s="100" t="s">
        <v>1507</v>
      </c>
      <c r="AI74" s="100" t="s">
        <v>682</v>
      </c>
      <c r="AJ74" s="100" t="s">
        <v>682</v>
      </c>
      <c r="AK74" s="100" t="s">
        <v>682</v>
      </c>
    </row>
    <row r="75" spans="1:37">
      <c r="A75" s="100" t="s">
        <v>1508</v>
      </c>
      <c r="B75" s="100" t="s">
        <v>1509</v>
      </c>
      <c r="C75" s="100" t="s">
        <v>682</v>
      </c>
      <c r="D75" s="100" t="s">
        <v>2619</v>
      </c>
      <c r="E75" s="100" t="s">
        <v>1510</v>
      </c>
      <c r="F75" s="100" t="s">
        <v>223</v>
      </c>
      <c r="G75" s="100" t="s">
        <v>363</v>
      </c>
      <c r="H75" s="100" t="s">
        <v>682</v>
      </c>
      <c r="I75" s="100" t="s">
        <v>4299</v>
      </c>
      <c r="J75" s="100" t="s">
        <v>1723</v>
      </c>
      <c r="K75" s="100" t="s">
        <v>1511</v>
      </c>
      <c r="L75" s="100" t="s">
        <v>682</v>
      </c>
      <c r="M75" s="100" t="s">
        <v>682</v>
      </c>
      <c r="N75" s="100" t="s">
        <v>682</v>
      </c>
      <c r="O75" s="100" t="s">
        <v>5264</v>
      </c>
      <c r="P75" s="100" t="s">
        <v>1512</v>
      </c>
      <c r="Q75" s="100" t="s">
        <v>1513</v>
      </c>
      <c r="R75" s="100" t="s">
        <v>5265</v>
      </c>
      <c r="S75" s="100" t="s">
        <v>5266</v>
      </c>
      <c r="T75" s="100" t="s">
        <v>4300</v>
      </c>
      <c r="U75" s="100" t="s">
        <v>1514</v>
      </c>
      <c r="V75" s="100" t="s">
        <v>1515</v>
      </c>
      <c r="W75" s="100" t="s">
        <v>682</v>
      </c>
      <c r="X75" s="100" t="s">
        <v>1516</v>
      </c>
      <c r="Y75" s="100" t="s">
        <v>4301</v>
      </c>
      <c r="Z75" s="100" t="s">
        <v>4302</v>
      </c>
      <c r="AA75" s="100" t="s">
        <v>1517</v>
      </c>
      <c r="AB75" s="100" t="s">
        <v>1518</v>
      </c>
      <c r="AC75" s="100" t="s">
        <v>682</v>
      </c>
      <c r="AD75" s="100" t="s">
        <v>682</v>
      </c>
      <c r="AE75" s="100" t="s">
        <v>43</v>
      </c>
      <c r="AF75" s="100" t="s">
        <v>41</v>
      </c>
      <c r="AG75" s="100" t="s">
        <v>42</v>
      </c>
      <c r="AH75" s="100" t="s">
        <v>1519</v>
      </c>
      <c r="AI75" s="100" t="s">
        <v>682</v>
      </c>
      <c r="AJ75" s="100" t="s">
        <v>682</v>
      </c>
      <c r="AK75" s="100" t="s">
        <v>682</v>
      </c>
    </row>
    <row r="76" spans="1:37">
      <c r="A76" s="100" t="s">
        <v>1520</v>
      </c>
      <c r="B76" s="100" t="s">
        <v>1521</v>
      </c>
      <c r="C76" s="100" t="s">
        <v>682</v>
      </c>
      <c r="D76" s="100" t="s">
        <v>2619</v>
      </c>
      <c r="E76" s="100" t="s">
        <v>1522</v>
      </c>
      <c r="F76" s="100" t="s">
        <v>223</v>
      </c>
      <c r="G76" s="100" t="s">
        <v>367</v>
      </c>
      <c r="H76" s="100" t="s">
        <v>682</v>
      </c>
      <c r="I76" s="100" t="s">
        <v>4303</v>
      </c>
      <c r="J76" s="100" t="s">
        <v>2633</v>
      </c>
      <c r="K76" s="100" t="s">
        <v>1523</v>
      </c>
      <c r="L76" s="100" t="s">
        <v>682</v>
      </c>
      <c r="M76" s="100" t="s">
        <v>682</v>
      </c>
      <c r="N76" s="100" t="s">
        <v>682</v>
      </c>
      <c r="O76" s="100" t="s">
        <v>5267</v>
      </c>
      <c r="P76" s="100" t="s">
        <v>1524</v>
      </c>
      <c r="Q76" s="100" t="s">
        <v>1525</v>
      </c>
      <c r="R76" s="100" t="s">
        <v>5268</v>
      </c>
      <c r="S76" s="100" t="s">
        <v>5269</v>
      </c>
      <c r="T76" s="100" t="s">
        <v>4304</v>
      </c>
      <c r="U76" s="100" t="s">
        <v>1526</v>
      </c>
      <c r="V76" s="100" t="s">
        <v>1527</v>
      </c>
      <c r="W76" s="100" t="s">
        <v>682</v>
      </c>
      <c r="X76" s="100" t="s">
        <v>1528</v>
      </c>
      <c r="Y76" s="100" t="s">
        <v>4305</v>
      </c>
      <c r="Z76" s="100" t="s">
        <v>4306</v>
      </c>
      <c r="AA76" s="100" t="s">
        <v>1529</v>
      </c>
      <c r="AB76" s="100" t="s">
        <v>1530</v>
      </c>
      <c r="AC76" s="100" t="s">
        <v>682</v>
      </c>
      <c r="AD76" s="100" t="s">
        <v>682</v>
      </c>
      <c r="AE76" s="100" t="s">
        <v>43</v>
      </c>
      <c r="AF76" s="100" t="s">
        <v>41</v>
      </c>
      <c r="AG76" s="100" t="s">
        <v>42</v>
      </c>
      <c r="AH76" s="100" t="s">
        <v>1531</v>
      </c>
      <c r="AI76" s="100" t="s">
        <v>682</v>
      </c>
      <c r="AJ76" s="100" t="s">
        <v>682</v>
      </c>
      <c r="AK76" s="100" t="s">
        <v>682</v>
      </c>
    </row>
    <row r="77" spans="1:37">
      <c r="A77" s="100" t="s">
        <v>1532</v>
      </c>
      <c r="B77" s="100" t="s">
        <v>1533</v>
      </c>
      <c r="C77" s="100" t="s">
        <v>682</v>
      </c>
      <c r="D77" s="100" t="s">
        <v>97</v>
      </c>
      <c r="E77" s="100" t="s">
        <v>1534</v>
      </c>
      <c r="F77" s="100" t="s">
        <v>249</v>
      </c>
      <c r="G77" s="100" t="s">
        <v>276</v>
      </c>
      <c r="H77" s="100" t="s">
        <v>682</v>
      </c>
      <c r="I77" s="100" t="s">
        <v>4307</v>
      </c>
      <c r="J77" s="100" t="s">
        <v>3231</v>
      </c>
      <c r="K77" s="100" t="s">
        <v>1536</v>
      </c>
      <c r="L77" s="100" t="s">
        <v>682</v>
      </c>
      <c r="M77" s="100" t="s">
        <v>682</v>
      </c>
      <c r="N77" s="100" t="s">
        <v>682</v>
      </c>
      <c r="O77" s="100" t="s">
        <v>5270</v>
      </c>
      <c r="P77" s="100" t="s">
        <v>1537</v>
      </c>
      <c r="Q77" s="100" t="s">
        <v>1538</v>
      </c>
      <c r="R77" s="100" t="s">
        <v>5271</v>
      </c>
      <c r="S77" s="100" t="s">
        <v>5272</v>
      </c>
      <c r="T77" s="100" t="s">
        <v>4308</v>
      </c>
      <c r="U77" s="100" t="s">
        <v>1539</v>
      </c>
      <c r="V77" s="100" t="s">
        <v>1540</v>
      </c>
      <c r="W77" s="100" t="s">
        <v>682</v>
      </c>
      <c r="X77" s="100" t="s">
        <v>1541</v>
      </c>
      <c r="Y77" s="100" t="s">
        <v>4309</v>
      </c>
      <c r="Z77" s="100" t="s">
        <v>4310</v>
      </c>
      <c r="AA77" s="100" t="s">
        <v>1542</v>
      </c>
      <c r="AB77" s="100" t="s">
        <v>1543</v>
      </c>
      <c r="AC77" s="100" t="s">
        <v>682</v>
      </c>
      <c r="AD77" s="100" t="s">
        <v>682</v>
      </c>
      <c r="AE77" s="100" t="s">
        <v>43</v>
      </c>
      <c r="AF77" s="100" t="s">
        <v>41</v>
      </c>
      <c r="AG77" s="100" t="s">
        <v>42</v>
      </c>
      <c r="AH77" s="100" t="s">
        <v>1544</v>
      </c>
      <c r="AI77" s="100" t="s">
        <v>682</v>
      </c>
      <c r="AJ77" s="100" t="s">
        <v>682</v>
      </c>
      <c r="AK77" s="100" t="s">
        <v>682</v>
      </c>
    </row>
    <row r="78" spans="1:37">
      <c r="A78" s="100" t="s">
        <v>1545</v>
      </c>
      <c r="B78" s="100" t="s">
        <v>1546</v>
      </c>
      <c r="C78" s="100" t="s">
        <v>682</v>
      </c>
      <c r="D78" s="100" t="s">
        <v>97</v>
      </c>
      <c r="E78" s="100" t="s">
        <v>1547</v>
      </c>
      <c r="F78" s="100" t="s">
        <v>249</v>
      </c>
      <c r="G78" s="100" t="s">
        <v>261</v>
      </c>
      <c r="H78" s="100" t="s">
        <v>682</v>
      </c>
      <c r="I78" s="100" t="s">
        <v>4311</v>
      </c>
      <c r="J78" s="100" t="s">
        <v>3231</v>
      </c>
      <c r="K78" s="100" t="s">
        <v>1548</v>
      </c>
      <c r="L78" s="100" t="s">
        <v>682</v>
      </c>
      <c r="M78" s="100" t="s">
        <v>682</v>
      </c>
      <c r="N78" s="100" t="s">
        <v>682</v>
      </c>
      <c r="O78" s="100" t="s">
        <v>5273</v>
      </c>
      <c r="P78" s="100" t="s">
        <v>1549</v>
      </c>
      <c r="Q78" s="100" t="s">
        <v>1550</v>
      </c>
      <c r="R78" s="100" t="s">
        <v>5274</v>
      </c>
      <c r="S78" s="100" t="s">
        <v>5275</v>
      </c>
      <c r="T78" s="100" t="s">
        <v>4312</v>
      </c>
      <c r="U78" s="100" t="s">
        <v>1551</v>
      </c>
      <c r="V78" s="100" t="s">
        <v>1552</v>
      </c>
      <c r="W78" s="100" t="s">
        <v>682</v>
      </c>
      <c r="X78" s="100" t="s">
        <v>1553</v>
      </c>
      <c r="Y78" s="100" t="s">
        <v>4313</v>
      </c>
      <c r="Z78" s="100" t="s">
        <v>4314</v>
      </c>
      <c r="AA78" s="100" t="s">
        <v>1554</v>
      </c>
      <c r="AB78" s="100" t="s">
        <v>1555</v>
      </c>
      <c r="AC78" s="100" t="s">
        <v>682</v>
      </c>
      <c r="AD78" s="100" t="s">
        <v>682</v>
      </c>
      <c r="AE78" s="100" t="s">
        <v>43</v>
      </c>
      <c r="AF78" s="100" t="s">
        <v>41</v>
      </c>
      <c r="AG78" s="100" t="s">
        <v>42</v>
      </c>
      <c r="AH78" s="100" t="s">
        <v>1556</v>
      </c>
      <c r="AI78" s="100" t="s">
        <v>682</v>
      </c>
      <c r="AJ78" s="100" t="s">
        <v>682</v>
      </c>
      <c r="AK78" s="100" t="s">
        <v>682</v>
      </c>
    </row>
    <row r="79" spans="1:37">
      <c r="A79" s="100" t="s">
        <v>6575</v>
      </c>
      <c r="B79" s="100" t="s">
        <v>6576</v>
      </c>
      <c r="C79" s="100" t="s">
        <v>682</v>
      </c>
      <c r="D79" s="100" t="s">
        <v>97</v>
      </c>
      <c r="E79" s="100" t="s">
        <v>6577</v>
      </c>
      <c r="F79" s="100" t="s">
        <v>250</v>
      </c>
      <c r="G79" s="100" t="s">
        <v>284</v>
      </c>
      <c r="H79" s="100" t="s">
        <v>682</v>
      </c>
      <c r="I79" s="100" t="s">
        <v>6578</v>
      </c>
      <c r="J79" s="100" t="s">
        <v>1723</v>
      </c>
      <c r="K79" s="100" t="s">
        <v>1557</v>
      </c>
      <c r="L79" s="100" t="s">
        <v>682</v>
      </c>
      <c r="M79" s="100" t="s">
        <v>682</v>
      </c>
      <c r="N79" s="100" t="s">
        <v>682</v>
      </c>
      <c r="O79" s="100" t="s">
        <v>6579</v>
      </c>
      <c r="P79" s="100" t="s">
        <v>6580</v>
      </c>
      <c r="Q79" s="100" t="s">
        <v>6581</v>
      </c>
      <c r="R79" s="100" t="s">
        <v>6582</v>
      </c>
      <c r="S79" s="100" t="s">
        <v>6583</v>
      </c>
      <c r="T79" s="100" t="s">
        <v>6584</v>
      </c>
      <c r="U79" s="100" t="s">
        <v>6585</v>
      </c>
      <c r="V79" s="100" t="s">
        <v>6586</v>
      </c>
      <c r="W79" s="100" t="s">
        <v>682</v>
      </c>
      <c r="X79" s="100" t="s">
        <v>6587</v>
      </c>
      <c r="Y79" s="100" t="s">
        <v>6588</v>
      </c>
      <c r="Z79" s="100" t="s">
        <v>6589</v>
      </c>
      <c r="AA79" s="100" t="s">
        <v>6590</v>
      </c>
      <c r="AB79" s="100" t="s">
        <v>6591</v>
      </c>
      <c r="AC79" s="100" t="s">
        <v>682</v>
      </c>
      <c r="AD79" s="100" t="s">
        <v>682</v>
      </c>
      <c r="AE79" s="100" t="s">
        <v>43</v>
      </c>
      <c r="AF79" s="100" t="s">
        <v>41</v>
      </c>
      <c r="AG79" s="100" t="s">
        <v>42</v>
      </c>
      <c r="AH79" s="100" t="s">
        <v>1558</v>
      </c>
      <c r="AI79" s="100" t="s">
        <v>682</v>
      </c>
      <c r="AJ79" s="100" t="s">
        <v>682</v>
      </c>
      <c r="AK79" s="100" t="s">
        <v>682</v>
      </c>
    </row>
    <row r="80" spans="1:37">
      <c r="A80" s="100" t="s">
        <v>1559</v>
      </c>
      <c r="B80" s="100" t="s">
        <v>682</v>
      </c>
      <c r="C80" s="100" t="s">
        <v>682</v>
      </c>
      <c r="D80" s="100" t="s">
        <v>682</v>
      </c>
      <c r="E80" s="100" t="s">
        <v>682</v>
      </c>
      <c r="F80" s="100" t="s">
        <v>682</v>
      </c>
      <c r="G80" s="100" t="s">
        <v>682</v>
      </c>
      <c r="H80" s="100" t="s">
        <v>682</v>
      </c>
      <c r="I80" s="100" t="s">
        <v>682</v>
      </c>
      <c r="J80" s="100" t="s">
        <v>6424</v>
      </c>
      <c r="K80" s="100" t="s">
        <v>6592</v>
      </c>
      <c r="L80" s="100" t="s">
        <v>6593</v>
      </c>
      <c r="M80" s="100" t="s">
        <v>682</v>
      </c>
      <c r="N80" s="100" t="s">
        <v>682</v>
      </c>
      <c r="O80" s="100" t="s">
        <v>682</v>
      </c>
      <c r="P80" s="100" t="s">
        <v>682</v>
      </c>
      <c r="Q80" s="100" t="s">
        <v>1561</v>
      </c>
      <c r="R80" s="100" t="s">
        <v>6594</v>
      </c>
      <c r="S80" s="100" t="s">
        <v>6595</v>
      </c>
      <c r="T80" s="100" t="s">
        <v>6596</v>
      </c>
      <c r="U80" s="100" t="s">
        <v>1562</v>
      </c>
      <c r="V80" s="100" t="s">
        <v>1563</v>
      </c>
      <c r="W80" s="100" t="s">
        <v>6597</v>
      </c>
      <c r="X80" s="100" t="s">
        <v>682</v>
      </c>
      <c r="Y80" s="100" t="s">
        <v>682</v>
      </c>
      <c r="Z80" s="100" t="s">
        <v>682</v>
      </c>
      <c r="AA80" s="100" t="s">
        <v>1564</v>
      </c>
      <c r="AB80" s="100" t="s">
        <v>1565</v>
      </c>
      <c r="AC80" s="100" t="s">
        <v>6598</v>
      </c>
      <c r="AD80" s="100" t="s">
        <v>682</v>
      </c>
      <c r="AE80" s="100" t="s">
        <v>682</v>
      </c>
      <c r="AF80" s="100" t="s">
        <v>682</v>
      </c>
      <c r="AG80" s="100" t="s">
        <v>682</v>
      </c>
      <c r="AH80" s="100" t="s">
        <v>682</v>
      </c>
      <c r="AI80" s="100" t="s">
        <v>682</v>
      </c>
      <c r="AJ80" s="100" t="s">
        <v>682</v>
      </c>
      <c r="AK80" s="100" t="s">
        <v>682</v>
      </c>
    </row>
    <row r="81" spans="1:37">
      <c r="A81" s="100" t="s">
        <v>1566</v>
      </c>
      <c r="B81" s="100" t="s">
        <v>1567</v>
      </c>
      <c r="C81" s="100" t="s">
        <v>682</v>
      </c>
      <c r="D81" s="100" t="s">
        <v>48</v>
      </c>
      <c r="E81" s="100" t="s">
        <v>1568</v>
      </c>
      <c r="F81" s="100" t="s">
        <v>179</v>
      </c>
      <c r="G81" s="100" t="s">
        <v>530</v>
      </c>
      <c r="H81" s="100" t="s">
        <v>682</v>
      </c>
      <c r="I81" s="100" t="s">
        <v>4315</v>
      </c>
      <c r="J81" s="100" t="s">
        <v>917</v>
      </c>
      <c r="K81" s="100" t="s">
        <v>1570</v>
      </c>
      <c r="L81" s="100" t="s">
        <v>682</v>
      </c>
      <c r="M81" s="100" t="s">
        <v>682</v>
      </c>
      <c r="N81" s="100" t="s">
        <v>682</v>
      </c>
      <c r="O81" s="100" t="s">
        <v>5276</v>
      </c>
      <c r="P81" s="100" t="s">
        <v>1571</v>
      </c>
      <c r="Q81" s="100" t="s">
        <v>1572</v>
      </c>
      <c r="R81" s="100" t="s">
        <v>5277</v>
      </c>
      <c r="S81" s="100" t="s">
        <v>5278</v>
      </c>
      <c r="T81" s="100" t="s">
        <v>4316</v>
      </c>
      <c r="U81" s="100" t="s">
        <v>1573</v>
      </c>
      <c r="V81" s="100" t="s">
        <v>1574</v>
      </c>
      <c r="W81" s="100" t="s">
        <v>682</v>
      </c>
      <c r="X81" s="100" t="s">
        <v>1575</v>
      </c>
      <c r="Y81" s="100" t="s">
        <v>4317</v>
      </c>
      <c r="Z81" s="100" t="s">
        <v>4318</v>
      </c>
      <c r="AA81" s="100" t="s">
        <v>1576</v>
      </c>
      <c r="AB81" s="100" t="s">
        <v>1577</v>
      </c>
      <c r="AC81" s="100" t="s">
        <v>682</v>
      </c>
      <c r="AD81" s="100" t="s">
        <v>682</v>
      </c>
      <c r="AE81" s="100" t="s">
        <v>43</v>
      </c>
      <c r="AF81" s="100" t="s">
        <v>41</v>
      </c>
      <c r="AG81" s="100" t="s">
        <v>42</v>
      </c>
      <c r="AH81" s="100" t="s">
        <v>1578</v>
      </c>
      <c r="AI81" s="100" t="s">
        <v>682</v>
      </c>
      <c r="AJ81" s="100" t="s">
        <v>682</v>
      </c>
      <c r="AK81" s="100" t="s">
        <v>682</v>
      </c>
    </row>
    <row r="82" spans="1:37">
      <c r="A82" s="100" t="s">
        <v>1579</v>
      </c>
      <c r="B82" s="100" t="s">
        <v>1580</v>
      </c>
      <c r="C82" s="100" t="s">
        <v>682</v>
      </c>
      <c r="D82" s="100" t="s">
        <v>1138</v>
      </c>
      <c r="E82" s="100" t="s">
        <v>1582</v>
      </c>
      <c r="F82" s="100" t="s">
        <v>221</v>
      </c>
      <c r="G82" s="100" t="s">
        <v>414</v>
      </c>
      <c r="H82" s="100" t="s">
        <v>682</v>
      </c>
      <c r="I82" s="100" t="s">
        <v>4319</v>
      </c>
      <c r="J82" s="100" t="s">
        <v>1345</v>
      </c>
      <c r="K82" s="100" t="s">
        <v>1584</v>
      </c>
      <c r="L82" s="100" t="s">
        <v>682</v>
      </c>
      <c r="M82" s="100" t="s">
        <v>682</v>
      </c>
      <c r="N82" s="100" t="s">
        <v>682</v>
      </c>
      <c r="O82" s="100" t="s">
        <v>5279</v>
      </c>
      <c r="P82" s="100" t="s">
        <v>3964</v>
      </c>
      <c r="Q82" s="100" t="s">
        <v>1585</v>
      </c>
      <c r="R82" s="100" t="s">
        <v>5280</v>
      </c>
      <c r="S82" s="100" t="s">
        <v>5281</v>
      </c>
      <c r="T82" s="100" t="s">
        <v>4320</v>
      </c>
      <c r="U82" s="100" t="s">
        <v>1586</v>
      </c>
      <c r="V82" s="100" t="s">
        <v>1587</v>
      </c>
      <c r="W82" s="100" t="s">
        <v>682</v>
      </c>
      <c r="X82" s="100" t="s">
        <v>1588</v>
      </c>
      <c r="Y82" s="100" t="s">
        <v>4321</v>
      </c>
      <c r="Z82" s="100" t="s">
        <v>4322</v>
      </c>
      <c r="AA82" s="100" t="s">
        <v>1589</v>
      </c>
      <c r="AB82" s="100" t="s">
        <v>1590</v>
      </c>
      <c r="AC82" s="100" t="s">
        <v>682</v>
      </c>
      <c r="AD82" s="100" t="s">
        <v>682</v>
      </c>
      <c r="AE82" s="100" t="s">
        <v>43</v>
      </c>
      <c r="AF82" s="100" t="s">
        <v>41</v>
      </c>
      <c r="AG82" s="100" t="s">
        <v>63</v>
      </c>
      <c r="AH82" s="100" t="s">
        <v>1591</v>
      </c>
      <c r="AI82" s="100" t="s">
        <v>682</v>
      </c>
      <c r="AJ82" s="100" t="s">
        <v>682</v>
      </c>
      <c r="AK82" s="100" t="s">
        <v>682</v>
      </c>
    </row>
    <row r="83" spans="1:37">
      <c r="A83" s="100" t="s">
        <v>6135</v>
      </c>
      <c r="B83" s="100" t="s">
        <v>6136</v>
      </c>
      <c r="C83" s="100" t="s">
        <v>682</v>
      </c>
      <c r="D83" s="100" t="s">
        <v>1138</v>
      </c>
      <c r="E83" s="100" t="s">
        <v>6137</v>
      </c>
      <c r="F83" s="100" t="s">
        <v>221</v>
      </c>
      <c r="G83" s="100" t="s">
        <v>393</v>
      </c>
      <c r="H83" s="100" t="s">
        <v>682</v>
      </c>
      <c r="I83" s="100" t="s">
        <v>6138</v>
      </c>
      <c r="J83" s="100" t="s">
        <v>1358</v>
      </c>
      <c r="K83" s="100" t="s">
        <v>6139</v>
      </c>
      <c r="L83" s="100" t="s">
        <v>682</v>
      </c>
      <c r="M83" s="100" t="s">
        <v>682</v>
      </c>
      <c r="N83" s="100" t="s">
        <v>682</v>
      </c>
      <c r="O83" s="100" t="s">
        <v>6140</v>
      </c>
      <c r="P83" s="100" t="s">
        <v>6162</v>
      </c>
      <c r="Q83" s="100" t="s">
        <v>6141</v>
      </c>
      <c r="R83" s="100" t="s">
        <v>6142</v>
      </c>
      <c r="S83" s="100" t="s">
        <v>6143</v>
      </c>
      <c r="T83" s="100" t="s">
        <v>6144</v>
      </c>
      <c r="U83" s="100" t="s">
        <v>6145</v>
      </c>
      <c r="V83" s="100" t="s">
        <v>6146</v>
      </c>
      <c r="W83" s="100" t="s">
        <v>682</v>
      </c>
      <c r="X83" s="100" t="s">
        <v>6147</v>
      </c>
      <c r="Y83" s="100" t="s">
        <v>6148</v>
      </c>
      <c r="Z83" s="100" t="s">
        <v>6149</v>
      </c>
      <c r="AA83" s="100" t="s">
        <v>6150</v>
      </c>
      <c r="AB83" s="100" t="s">
        <v>6151</v>
      </c>
      <c r="AC83" s="100" t="s">
        <v>682</v>
      </c>
      <c r="AD83" s="100" t="s">
        <v>682</v>
      </c>
      <c r="AE83" s="100" t="s">
        <v>43</v>
      </c>
      <c r="AF83" s="100" t="s">
        <v>41</v>
      </c>
      <c r="AG83" s="100" t="s">
        <v>63</v>
      </c>
      <c r="AH83" s="100" t="s">
        <v>6152</v>
      </c>
      <c r="AI83" s="100" t="s">
        <v>682</v>
      </c>
      <c r="AJ83" s="100" t="s">
        <v>682</v>
      </c>
      <c r="AK83" s="100" t="s">
        <v>682</v>
      </c>
    </row>
    <row r="84" spans="1:37">
      <c r="A84" s="100" t="s">
        <v>1593</v>
      </c>
      <c r="B84" s="100" t="s">
        <v>1594</v>
      </c>
      <c r="C84" s="100" t="s">
        <v>682</v>
      </c>
      <c r="D84" s="100" t="s">
        <v>1138</v>
      </c>
      <c r="E84" s="100" t="s">
        <v>1595</v>
      </c>
      <c r="F84" s="100" t="s">
        <v>221</v>
      </c>
      <c r="G84" s="100" t="s">
        <v>651</v>
      </c>
      <c r="H84" s="100" t="s">
        <v>682</v>
      </c>
      <c r="I84" s="100" t="s">
        <v>4323</v>
      </c>
      <c r="J84" s="100" t="s">
        <v>917</v>
      </c>
      <c r="K84" s="100" t="s">
        <v>1596</v>
      </c>
      <c r="L84" s="100" t="s">
        <v>682</v>
      </c>
      <c r="M84" s="100" t="s">
        <v>682</v>
      </c>
      <c r="N84" s="100" t="s">
        <v>682</v>
      </c>
      <c r="O84" s="100" t="s">
        <v>5282</v>
      </c>
      <c r="P84" s="100" t="s">
        <v>3965</v>
      </c>
      <c r="Q84" s="100" t="s">
        <v>1597</v>
      </c>
      <c r="R84" s="100" t="s">
        <v>5283</v>
      </c>
      <c r="S84" s="100" t="s">
        <v>5284</v>
      </c>
      <c r="T84" s="100" t="s">
        <v>4324</v>
      </c>
      <c r="U84" s="100" t="s">
        <v>1598</v>
      </c>
      <c r="V84" s="100" t="s">
        <v>1599</v>
      </c>
      <c r="W84" s="100" t="s">
        <v>682</v>
      </c>
      <c r="X84" s="100" t="s">
        <v>1600</v>
      </c>
      <c r="Y84" s="100" t="s">
        <v>4325</v>
      </c>
      <c r="Z84" s="100" t="s">
        <v>4326</v>
      </c>
      <c r="AA84" s="100" t="s">
        <v>1601</v>
      </c>
      <c r="AB84" s="100" t="s">
        <v>1602</v>
      </c>
      <c r="AC84" s="100" t="s">
        <v>682</v>
      </c>
      <c r="AD84" s="100" t="s">
        <v>682</v>
      </c>
      <c r="AE84" s="100" t="s">
        <v>43</v>
      </c>
      <c r="AF84" s="100" t="s">
        <v>41</v>
      </c>
      <c r="AG84" s="100" t="s">
        <v>63</v>
      </c>
      <c r="AH84" s="100" t="s">
        <v>1603</v>
      </c>
      <c r="AI84" s="100" t="s">
        <v>682</v>
      </c>
      <c r="AJ84" s="100" t="s">
        <v>682</v>
      </c>
      <c r="AK84" s="100" t="s">
        <v>682</v>
      </c>
    </row>
    <row r="85" spans="1:37">
      <c r="A85" s="100" t="s">
        <v>1604</v>
      </c>
      <c r="B85" s="100" t="s">
        <v>1605</v>
      </c>
      <c r="C85" s="100" t="s">
        <v>682</v>
      </c>
      <c r="D85" s="100" t="s">
        <v>47</v>
      </c>
      <c r="E85" s="100" t="s">
        <v>1607</v>
      </c>
      <c r="F85" s="100" t="s">
        <v>174</v>
      </c>
      <c r="G85" s="100" t="s">
        <v>367</v>
      </c>
      <c r="H85" s="100" t="s">
        <v>682</v>
      </c>
      <c r="I85" s="100" t="s">
        <v>4327</v>
      </c>
      <c r="J85" s="100" t="s">
        <v>1345</v>
      </c>
      <c r="K85" s="100" t="s">
        <v>1609</v>
      </c>
      <c r="L85" s="100" t="s">
        <v>682</v>
      </c>
      <c r="M85" s="100" t="s">
        <v>682</v>
      </c>
      <c r="N85" s="100" t="s">
        <v>682</v>
      </c>
      <c r="O85" s="100" t="s">
        <v>5285</v>
      </c>
      <c r="P85" s="100" t="s">
        <v>3966</v>
      </c>
      <c r="Q85" s="100" t="s">
        <v>1610</v>
      </c>
      <c r="R85" s="100" t="s">
        <v>5286</v>
      </c>
      <c r="S85" s="100" t="s">
        <v>5287</v>
      </c>
      <c r="T85" s="100" t="s">
        <v>4328</v>
      </c>
      <c r="U85" s="100" t="s">
        <v>1611</v>
      </c>
      <c r="V85" s="100" t="s">
        <v>1612</v>
      </c>
      <c r="W85" s="100" t="s">
        <v>682</v>
      </c>
      <c r="X85" s="100" t="s">
        <v>1613</v>
      </c>
      <c r="Y85" s="100" t="s">
        <v>4329</v>
      </c>
      <c r="Z85" s="100" t="s">
        <v>4330</v>
      </c>
      <c r="AA85" s="100" t="s">
        <v>1614</v>
      </c>
      <c r="AB85" s="100" t="s">
        <v>1615</v>
      </c>
      <c r="AC85" s="100" t="s">
        <v>682</v>
      </c>
      <c r="AD85" s="100" t="s">
        <v>682</v>
      </c>
      <c r="AE85" s="100" t="s">
        <v>43</v>
      </c>
      <c r="AF85" s="100" t="s">
        <v>46</v>
      </c>
      <c r="AG85" s="100" t="s">
        <v>42</v>
      </c>
      <c r="AH85" s="100" t="s">
        <v>1616</v>
      </c>
      <c r="AI85" s="100" t="s">
        <v>682</v>
      </c>
      <c r="AJ85" s="100" t="s">
        <v>682</v>
      </c>
      <c r="AK85" s="100" t="s">
        <v>682</v>
      </c>
    </row>
    <row r="86" spans="1:37">
      <c r="A86" s="100" t="s">
        <v>1617</v>
      </c>
      <c r="B86" s="100" t="s">
        <v>1618</v>
      </c>
      <c r="C86" s="100" t="s">
        <v>682</v>
      </c>
      <c r="D86" s="100" t="s">
        <v>1138</v>
      </c>
      <c r="E86" s="100" t="s">
        <v>1619</v>
      </c>
      <c r="F86" s="100" t="s">
        <v>222</v>
      </c>
      <c r="G86" s="100" t="s">
        <v>403</v>
      </c>
      <c r="H86" s="100" t="s">
        <v>682</v>
      </c>
      <c r="I86" s="100" t="s">
        <v>4331</v>
      </c>
      <c r="J86" s="100" t="s">
        <v>1431</v>
      </c>
      <c r="K86" s="100" t="s">
        <v>1621</v>
      </c>
      <c r="L86" s="100" t="s">
        <v>682</v>
      </c>
      <c r="M86" s="100" t="s">
        <v>682</v>
      </c>
      <c r="N86" s="100" t="s">
        <v>682</v>
      </c>
      <c r="O86" s="100" t="s">
        <v>5288</v>
      </c>
      <c r="P86" s="100" t="s">
        <v>3967</v>
      </c>
      <c r="Q86" s="100" t="s">
        <v>1622</v>
      </c>
      <c r="R86" s="100" t="s">
        <v>5289</v>
      </c>
      <c r="S86" s="100" t="s">
        <v>5290</v>
      </c>
      <c r="T86" s="100" t="s">
        <v>4332</v>
      </c>
      <c r="U86" s="100" t="s">
        <v>1623</v>
      </c>
      <c r="V86" s="100" t="s">
        <v>1624</v>
      </c>
      <c r="W86" s="100" t="s">
        <v>682</v>
      </c>
      <c r="X86" s="100" t="s">
        <v>1625</v>
      </c>
      <c r="Y86" s="100" t="s">
        <v>4333</v>
      </c>
      <c r="Z86" s="100" t="s">
        <v>4334</v>
      </c>
      <c r="AA86" s="100" t="s">
        <v>1626</v>
      </c>
      <c r="AB86" s="100" t="s">
        <v>1627</v>
      </c>
      <c r="AC86" s="100" t="s">
        <v>682</v>
      </c>
      <c r="AD86" s="100" t="s">
        <v>682</v>
      </c>
      <c r="AE86" s="100" t="s">
        <v>43</v>
      </c>
      <c r="AF86" s="100" t="s">
        <v>41</v>
      </c>
      <c r="AG86" s="100" t="s">
        <v>63</v>
      </c>
      <c r="AH86" s="100" t="s">
        <v>1628</v>
      </c>
      <c r="AI86" s="100" t="s">
        <v>682</v>
      </c>
      <c r="AJ86" s="100" t="s">
        <v>682</v>
      </c>
      <c r="AK86" s="100" t="s">
        <v>682</v>
      </c>
    </row>
    <row r="87" spans="1:37">
      <c r="A87" s="100" t="s">
        <v>1629</v>
      </c>
      <c r="B87" s="100" t="s">
        <v>1630</v>
      </c>
      <c r="C87" s="100" t="s">
        <v>682</v>
      </c>
      <c r="D87" s="100" t="s">
        <v>1606</v>
      </c>
      <c r="E87" s="100" t="s">
        <v>1631</v>
      </c>
      <c r="F87" s="100" t="s">
        <v>174</v>
      </c>
      <c r="G87" s="100" t="s">
        <v>654</v>
      </c>
      <c r="H87" s="100" t="s">
        <v>682</v>
      </c>
      <c r="I87" s="100" t="s">
        <v>4335</v>
      </c>
      <c r="J87" s="100" t="s">
        <v>1358</v>
      </c>
      <c r="K87" s="100" t="s">
        <v>1632</v>
      </c>
      <c r="L87" s="100" t="s">
        <v>682</v>
      </c>
      <c r="M87" s="100" t="s">
        <v>682</v>
      </c>
      <c r="N87" s="100" t="s">
        <v>682</v>
      </c>
      <c r="O87" s="100" t="s">
        <v>5291</v>
      </c>
      <c r="P87" s="100" t="s">
        <v>3968</v>
      </c>
      <c r="Q87" s="100" t="s">
        <v>1633</v>
      </c>
      <c r="R87" s="100" t="s">
        <v>5292</v>
      </c>
      <c r="S87" s="100" t="s">
        <v>5293</v>
      </c>
      <c r="T87" s="100" t="s">
        <v>4336</v>
      </c>
      <c r="U87" s="100" t="s">
        <v>1634</v>
      </c>
      <c r="V87" s="100" t="s">
        <v>1635</v>
      </c>
      <c r="W87" s="100" t="s">
        <v>682</v>
      </c>
      <c r="X87" s="100" t="s">
        <v>1636</v>
      </c>
      <c r="Y87" s="100" t="s">
        <v>4337</v>
      </c>
      <c r="Z87" s="100" t="s">
        <v>4338</v>
      </c>
      <c r="AA87" s="100" t="s">
        <v>1637</v>
      </c>
      <c r="AB87" s="100" t="s">
        <v>1638</v>
      </c>
      <c r="AC87" s="100" t="s">
        <v>682</v>
      </c>
      <c r="AD87" s="100" t="s">
        <v>682</v>
      </c>
      <c r="AE87" s="100" t="s">
        <v>43</v>
      </c>
      <c r="AF87" s="100" t="s">
        <v>46</v>
      </c>
      <c r="AG87" s="100" t="s">
        <v>42</v>
      </c>
      <c r="AH87" s="100" t="s">
        <v>1639</v>
      </c>
      <c r="AI87" s="100" t="s">
        <v>682</v>
      </c>
      <c r="AJ87" s="100" t="s">
        <v>682</v>
      </c>
      <c r="AK87" s="100" t="s">
        <v>682</v>
      </c>
    </row>
    <row r="88" spans="1:37">
      <c r="A88" s="100" t="s">
        <v>4036</v>
      </c>
      <c r="B88" s="100" t="s">
        <v>4037</v>
      </c>
      <c r="C88" s="100" t="s">
        <v>682</v>
      </c>
      <c r="D88" s="100" t="s">
        <v>1606</v>
      </c>
      <c r="E88" s="100" t="s">
        <v>4038</v>
      </c>
      <c r="F88" s="100" t="s">
        <v>174</v>
      </c>
      <c r="G88" s="100" t="s">
        <v>388</v>
      </c>
      <c r="H88" s="100" t="s">
        <v>682</v>
      </c>
      <c r="I88" s="100" t="s">
        <v>4339</v>
      </c>
      <c r="J88" s="100" t="s">
        <v>917</v>
      </c>
      <c r="K88" s="100" t="s">
        <v>4039</v>
      </c>
      <c r="L88" s="100" t="s">
        <v>682</v>
      </c>
      <c r="M88" s="100" t="s">
        <v>682</v>
      </c>
      <c r="N88" s="100" t="s">
        <v>682</v>
      </c>
      <c r="O88" s="100" t="s">
        <v>5294</v>
      </c>
      <c r="P88" s="100" t="s">
        <v>6163</v>
      </c>
      <c r="Q88" s="100" t="s">
        <v>4040</v>
      </c>
      <c r="R88" s="100" t="s">
        <v>5295</v>
      </c>
      <c r="S88" s="100" t="s">
        <v>5296</v>
      </c>
      <c r="T88" s="100" t="s">
        <v>4340</v>
      </c>
      <c r="U88" s="100" t="s">
        <v>4041</v>
      </c>
      <c r="V88" s="100" t="s">
        <v>4042</v>
      </c>
      <c r="W88" s="100" t="s">
        <v>682</v>
      </c>
      <c r="X88" s="100" t="s">
        <v>4043</v>
      </c>
      <c r="Y88" s="100" t="s">
        <v>4341</v>
      </c>
      <c r="Z88" s="100" t="s">
        <v>4342</v>
      </c>
      <c r="AA88" s="100" t="s">
        <v>4044</v>
      </c>
      <c r="AB88" s="100" t="s">
        <v>4045</v>
      </c>
      <c r="AC88" s="100" t="s">
        <v>682</v>
      </c>
      <c r="AD88" s="100" t="s">
        <v>682</v>
      </c>
      <c r="AE88" s="100" t="s">
        <v>43</v>
      </c>
      <c r="AF88" s="100" t="s">
        <v>46</v>
      </c>
      <c r="AG88" s="100" t="s">
        <v>42</v>
      </c>
      <c r="AH88" s="100" t="s">
        <v>4046</v>
      </c>
      <c r="AI88" s="100" t="s">
        <v>682</v>
      </c>
      <c r="AJ88" s="100" t="s">
        <v>682</v>
      </c>
      <c r="AK88" s="100" t="s">
        <v>682</v>
      </c>
    </row>
    <row r="89" spans="1:37">
      <c r="A89" s="100" t="s">
        <v>1640</v>
      </c>
      <c r="B89" s="100" t="s">
        <v>1641</v>
      </c>
      <c r="C89" s="100" t="s">
        <v>682</v>
      </c>
      <c r="D89" s="100" t="s">
        <v>1606</v>
      </c>
      <c r="E89" s="100" t="s">
        <v>1642</v>
      </c>
      <c r="F89" s="100" t="s">
        <v>174</v>
      </c>
      <c r="G89" s="100" t="s">
        <v>389</v>
      </c>
      <c r="H89" s="100" t="s">
        <v>682</v>
      </c>
      <c r="I89" s="100" t="s">
        <v>4343</v>
      </c>
      <c r="J89" s="100" t="s">
        <v>917</v>
      </c>
      <c r="K89" s="100" t="s">
        <v>1644</v>
      </c>
      <c r="L89" s="100" t="s">
        <v>682</v>
      </c>
      <c r="M89" s="100" t="s">
        <v>682</v>
      </c>
      <c r="N89" s="100" t="s">
        <v>682</v>
      </c>
      <c r="O89" s="100" t="s">
        <v>5297</v>
      </c>
      <c r="P89" s="100" t="s">
        <v>1645</v>
      </c>
      <c r="Q89" s="100" t="s">
        <v>1646</v>
      </c>
      <c r="R89" s="100" t="s">
        <v>5298</v>
      </c>
      <c r="S89" s="100" t="s">
        <v>5299</v>
      </c>
      <c r="T89" s="100" t="s">
        <v>4344</v>
      </c>
      <c r="U89" s="100" t="s">
        <v>1647</v>
      </c>
      <c r="V89" s="100" t="s">
        <v>1648</v>
      </c>
      <c r="W89" s="100" t="s">
        <v>682</v>
      </c>
      <c r="X89" s="100" t="s">
        <v>1649</v>
      </c>
      <c r="Y89" s="100" t="s">
        <v>4345</v>
      </c>
      <c r="Z89" s="100" t="s">
        <v>4346</v>
      </c>
      <c r="AA89" s="100" t="s">
        <v>1650</v>
      </c>
      <c r="AB89" s="100" t="s">
        <v>1651</v>
      </c>
      <c r="AC89" s="100" t="s">
        <v>682</v>
      </c>
      <c r="AD89" s="100" t="s">
        <v>682</v>
      </c>
      <c r="AE89" s="100" t="s">
        <v>43</v>
      </c>
      <c r="AF89" s="100" t="s">
        <v>46</v>
      </c>
      <c r="AG89" s="100" t="s">
        <v>42</v>
      </c>
      <c r="AH89" s="100" t="s">
        <v>1652</v>
      </c>
      <c r="AI89" s="100" t="s">
        <v>682</v>
      </c>
      <c r="AJ89" s="100" t="s">
        <v>682</v>
      </c>
      <c r="AK89" s="100" t="s">
        <v>682</v>
      </c>
    </row>
    <row r="90" spans="1:37">
      <c r="A90" s="100" t="s">
        <v>1653</v>
      </c>
      <c r="B90" s="100" t="s">
        <v>1654</v>
      </c>
      <c r="C90" s="100" t="s">
        <v>682</v>
      </c>
      <c r="D90" s="100" t="s">
        <v>70</v>
      </c>
      <c r="E90" s="100" t="s">
        <v>1655</v>
      </c>
      <c r="F90" s="100" t="s">
        <v>176</v>
      </c>
      <c r="G90" s="100" t="s">
        <v>448</v>
      </c>
      <c r="H90" s="100" t="s">
        <v>682</v>
      </c>
      <c r="I90" s="100" t="s">
        <v>4347</v>
      </c>
      <c r="J90" s="100" t="s">
        <v>1431</v>
      </c>
      <c r="K90" s="100" t="s">
        <v>1656</v>
      </c>
      <c r="L90" s="100" t="s">
        <v>682</v>
      </c>
      <c r="M90" s="100" t="s">
        <v>682</v>
      </c>
      <c r="N90" s="100" t="s">
        <v>682</v>
      </c>
      <c r="O90" s="100" t="s">
        <v>5300</v>
      </c>
      <c r="P90" s="100" t="s">
        <v>1657</v>
      </c>
      <c r="Q90" s="100" t="s">
        <v>1658</v>
      </c>
      <c r="R90" s="100" t="s">
        <v>5301</v>
      </c>
      <c r="S90" s="100" t="s">
        <v>5302</v>
      </c>
      <c r="T90" s="100" t="s">
        <v>4348</v>
      </c>
      <c r="U90" s="100" t="s">
        <v>1659</v>
      </c>
      <c r="V90" s="100" t="s">
        <v>1660</v>
      </c>
      <c r="W90" s="100" t="s">
        <v>682</v>
      </c>
      <c r="X90" s="100" t="s">
        <v>1661</v>
      </c>
      <c r="Y90" s="100" t="s">
        <v>4349</v>
      </c>
      <c r="Z90" s="100" t="s">
        <v>4350</v>
      </c>
      <c r="AA90" s="100" t="s">
        <v>1662</v>
      </c>
      <c r="AB90" s="100" t="s">
        <v>1663</v>
      </c>
      <c r="AC90" s="100" t="s">
        <v>682</v>
      </c>
      <c r="AD90" s="100" t="s">
        <v>682</v>
      </c>
      <c r="AE90" s="100" t="s">
        <v>43</v>
      </c>
      <c r="AF90" s="100" t="s">
        <v>46</v>
      </c>
      <c r="AG90" s="100" t="s">
        <v>63</v>
      </c>
      <c r="AH90" s="100" t="s">
        <v>1664</v>
      </c>
      <c r="AI90" s="100" t="s">
        <v>682</v>
      </c>
      <c r="AJ90" s="100" t="s">
        <v>682</v>
      </c>
      <c r="AK90" s="100" t="s">
        <v>682</v>
      </c>
    </row>
    <row r="91" spans="1:37">
      <c r="A91" s="100" t="s">
        <v>1665</v>
      </c>
      <c r="B91" s="100" t="s">
        <v>1666</v>
      </c>
      <c r="C91" s="100" t="s">
        <v>682</v>
      </c>
      <c r="D91" s="100" t="s">
        <v>38</v>
      </c>
      <c r="E91" s="100" t="s">
        <v>1667</v>
      </c>
      <c r="F91" s="100" t="s">
        <v>154</v>
      </c>
      <c r="G91" s="100" t="s">
        <v>459</v>
      </c>
      <c r="H91" s="100" t="s">
        <v>682</v>
      </c>
      <c r="I91" s="100" t="s">
        <v>4351</v>
      </c>
      <c r="J91" s="100" t="s">
        <v>1919</v>
      </c>
      <c r="K91" s="100" t="s">
        <v>1668</v>
      </c>
      <c r="L91" s="100" t="s">
        <v>682</v>
      </c>
      <c r="M91" s="100" t="s">
        <v>682</v>
      </c>
      <c r="N91" s="100" t="s">
        <v>682</v>
      </c>
      <c r="O91" s="100" t="s">
        <v>5303</v>
      </c>
      <c r="P91" s="100" t="s">
        <v>3969</v>
      </c>
      <c r="Q91" s="100" t="s">
        <v>1669</v>
      </c>
      <c r="R91" s="100" t="s">
        <v>5304</v>
      </c>
      <c r="S91" s="100" t="s">
        <v>5305</v>
      </c>
      <c r="T91" s="100" t="s">
        <v>4352</v>
      </c>
      <c r="U91" s="100" t="s">
        <v>1670</v>
      </c>
      <c r="V91" s="100" t="s">
        <v>1671</v>
      </c>
      <c r="W91" s="100" t="s">
        <v>682</v>
      </c>
      <c r="X91" s="100" t="s">
        <v>1672</v>
      </c>
      <c r="Y91" s="100" t="s">
        <v>4353</v>
      </c>
      <c r="Z91" s="100" t="s">
        <v>4354</v>
      </c>
      <c r="AA91" s="100" t="s">
        <v>1673</v>
      </c>
      <c r="AB91" s="100" t="s">
        <v>1674</v>
      </c>
      <c r="AC91" s="100" t="s">
        <v>682</v>
      </c>
      <c r="AD91" s="100" t="s">
        <v>682</v>
      </c>
      <c r="AE91" s="100" t="s">
        <v>54</v>
      </c>
      <c r="AF91" s="100" t="s">
        <v>682</v>
      </c>
      <c r="AG91" s="100" t="s">
        <v>682</v>
      </c>
      <c r="AH91" s="100" t="s">
        <v>1675</v>
      </c>
      <c r="AI91" s="100" t="s">
        <v>682</v>
      </c>
      <c r="AJ91" s="100" t="s">
        <v>682</v>
      </c>
      <c r="AK91" s="100" t="s">
        <v>682</v>
      </c>
    </row>
    <row r="92" spans="1:37">
      <c r="A92" s="100" t="s">
        <v>1676</v>
      </c>
      <c r="B92" s="100" t="s">
        <v>1677</v>
      </c>
      <c r="C92" s="100" t="s">
        <v>682</v>
      </c>
      <c r="D92" s="100" t="s">
        <v>78</v>
      </c>
      <c r="E92" s="100" t="s">
        <v>1678</v>
      </c>
      <c r="F92" s="100" t="s">
        <v>238</v>
      </c>
      <c r="G92" s="100" t="s">
        <v>440</v>
      </c>
      <c r="H92" s="100" t="s">
        <v>2285</v>
      </c>
      <c r="I92" s="100" t="s">
        <v>4355</v>
      </c>
      <c r="J92" s="100" t="s">
        <v>1919</v>
      </c>
      <c r="K92" s="100" t="s">
        <v>1679</v>
      </c>
      <c r="L92" s="100" t="s">
        <v>682</v>
      </c>
      <c r="M92" s="100" t="s">
        <v>682</v>
      </c>
      <c r="N92" s="100" t="s">
        <v>682</v>
      </c>
      <c r="O92" s="100" t="s">
        <v>5306</v>
      </c>
      <c r="P92" s="100" t="s">
        <v>3970</v>
      </c>
      <c r="Q92" s="100" t="s">
        <v>1680</v>
      </c>
      <c r="R92" s="100" t="s">
        <v>5307</v>
      </c>
      <c r="S92" s="100" t="s">
        <v>5308</v>
      </c>
      <c r="T92" s="100" t="s">
        <v>4356</v>
      </c>
      <c r="U92" s="100" t="s">
        <v>1681</v>
      </c>
      <c r="V92" s="100" t="s">
        <v>1682</v>
      </c>
      <c r="W92" s="100" t="s">
        <v>682</v>
      </c>
      <c r="X92" s="100" t="s">
        <v>1683</v>
      </c>
      <c r="Y92" s="100" t="s">
        <v>4357</v>
      </c>
      <c r="Z92" s="100" t="s">
        <v>4358</v>
      </c>
      <c r="AA92" s="100" t="s">
        <v>1684</v>
      </c>
      <c r="AB92" s="100" t="s">
        <v>1685</v>
      </c>
      <c r="AC92" s="100" t="s">
        <v>682</v>
      </c>
      <c r="AD92" s="100" t="s">
        <v>682</v>
      </c>
      <c r="AE92" s="100" t="s">
        <v>54</v>
      </c>
      <c r="AF92" s="100" t="s">
        <v>682</v>
      </c>
      <c r="AG92" s="100" t="s">
        <v>682</v>
      </c>
      <c r="AH92" s="100" t="s">
        <v>1686</v>
      </c>
      <c r="AI92" s="100" t="s">
        <v>682</v>
      </c>
      <c r="AJ92" s="100" t="s">
        <v>682</v>
      </c>
      <c r="AK92" s="100" t="s">
        <v>682</v>
      </c>
    </row>
    <row r="93" spans="1:37">
      <c r="A93" s="100" t="s">
        <v>1687</v>
      </c>
      <c r="B93" s="100" t="s">
        <v>1688</v>
      </c>
      <c r="C93" s="100" t="s">
        <v>682</v>
      </c>
      <c r="D93" s="100" t="s">
        <v>2619</v>
      </c>
      <c r="E93" s="100" t="s">
        <v>1689</v>
      </c>
      <c r="F93" s="100" t="s">
        <v>223</v>
      </c>
      <c r="G93" s="100" t="s">
        <v>368</v>
      </c>
      <c r="H93" s="100" t="s">
        <v>682</v>
      </c>
      <c r="I93" s="100" t="s">
        <v>4359</v>
      </c>
      <c r="J93" s="100" t="s">
        <v>2646</v>
      </c>
      <c r="K93" s="100" t="s">
        <v>1690</v>
      </c>
      <c r="L93" s="100" t="s">
        <v>682</v>
      </c>
      <c r="M93" s="100" t="s">
        <v>682</v>
      </c>
      <c r="N93" s="100" t="s">
        <v>682</v>
      </c>
      <c r="O93" s="100" t="s">
        <v>5309</v>
      </c>
      <c r="P93" s="100" t="s">
        <v>3971</v>
      </c>
      <c r="Q93" s="100" t="s">
        <v>1691</v>
      </c>
      <c r="R93" s="100" t="s">
        <v>5310</v>
      </c>
      <c r="S93" s="100" t="s">
        <v>5311</v>
      </c>
      <c r="T93" s="100" t="s">
        <v>4360</v>
      </c>
      <c r="U93" s="100" t="s">
        <v>1692</v>
      </c>
      <c r="V93" s="100" t="s">
        <v>1693</v>
      </c>
      <c r="W93" s="100" t="s">
        <v>682</v>
      </c>
      <c r="X93" s="100" t="s">
        <v>1694</v>
      </c>
      <c r="Y93" s="100" t="s">
        <v>4361</v>
      </c>
      <c r="Z93" s="100" t="s">
        <v>4362</v>
      </c>
      <c r="AA93" s="100" t="s">
        <v>1695</v>
      </c>
      <c r="AB93" s="100" t="s">
        <v>1696</v>
      </c>
      <c r="AC93" s="100" t="s">
        <v>682</v>
      </c>
      <c r="AD93" s="100" t="s">
        <v>682</v>
      </c>
      <c r="AE93" s="100" t="s">
        <v>43</v>
      </c>
      <c r="AF93" s="100" t="s">
        <v>41</v>
      </c>
      <c r="AG93" s="100" t="s">
        <v>42</v>
      </c>
      <c r="AH93" s="100" t="s">
        <v>1697</v>
      </c>
      <c r="AI93" s="100" t="s">
        <v>682</v>
      </c>
      <c r="AJ93" s="100" t="s">
        <v>682</v>
      </c>
      <c r="AK93" s="100" t="s">
        <v>682</v>
      </c>
    </row>
    <row r="94" spans="1:37">
      <c r="A94" s="100" t="s">
        <v>1698</v>
      </c>
      <c r="B94" s="100" t="s">
        <v>1699</v>
      </c>
      <c r="C94" s="100" t="s">
        <v>682</v>
      </c>
      <c r="D94" s="100" t="s">
        <v>2619</v>
      </c>
      <c r="E94" s="100" t="s">
        <v>1700</v>
      </c>
      <c r="F94" s="100" t="s">
        <v>225</v>
      </c>
      <c r="G94" s="100" t="s">
        <v>376</v>
      </c>
      <c r="H94" s="100" t="s">
        <v>682</v>
      </c>
      <c r="I94" s="100" t="s">
        <v>4363</v>
      </c>
      <c r="J94" s="100" t="s">
        <v>2646</v>
      </c>
      <c r="K94" s="100" t="s">
        <v>1701</v>
      </c>
      <c r="L94" s="100" t="s">
        <v>682</v>
      </c>
      <c r="M94" s="100" t="s">
        <v>682</v>
      </c>
      <c r="N94" s="100" t="s">
        <v>682</v>
      </c>
      <c r="O94" s="100" t="s">
        <v>5312</v>
      </c>
      <c r="P94" s="100" t="s">
        <v>1702</v>
      </c>
      <c r="Q94" s="100" t="s">
        <v>1703</v>
      </c>
      <c r="R94" s="100" t="s">
        <v>5313</v>
      </c>
      <c r="S94" s="100" t="s">
        <v>5314</v>
      </c>
      <c r="T94" s="100" t="s">
        <v>4364</v>
      </c>
      <c r="U94" s="100" t="s">
        <v>1704</v>
      </c>
      <c r="V94" s="100" t="s">
        <v>1705</v>
      </c>
      <c r="W94" s="100" t="s">
        <v>682</v>
      </c>
      <c r="X94" s="100" t="s">
        <v>1706</v>
      </c>
      <c r="Y94" s="100" t="s">
        <v>4365</v>
      </c>
      <c r="Z94" s="100" t="s">
        <v>4366</v>
      </c>
      <c r="AA94" s="100" t="s">
        <v>1707</v>
      </c>
      <c r="AB94" s="100" t="s">
        <v>1708</v>
      </c>
      <c r="AC94" s="100" t="s">
        <v>682</v>
      </c>
      <c r="AD94" s="100" t="s">
        <v>682</v>
      </c>
      <c r="AE94" s="100" t="s">
        <v>43</v>
      </c>
      <c r="AF94" s="100" t="s">
        <v>41</v>
      </c>
      <c r="AG94" s="100" t="s">
        <v>42</v>
      </c>
      <c r="AH94" s="100" t="s">
        <v>1709</v>
      </c>
      <c r="AI94" s="100" t="s">
        <v>682</v>
      </c>
      <c r="AJ94" s="100" t="s">
        <v>682</v>
      </c>
      <c r="AK94" s="100" t="s">
        <v>682</v>
      </c>
    </row>
    <row r="95" spans="1:37">
      <c r="A95" s="100" t="s">
        <v>1710</v>
      </c>
      <c r="B95" s="100" t="s">
        <v>1711</v>
      </c>
      <c r="C95" s="100" t="s">
        <v>682</v>
      </c>
      <c r="D95" s="100" t="s">
        <v>97</v>
      </c>
      <c r="E95" s="100" t="s">
        <v>1712</v>
      </c>
      <c r="F95" s="100" t="s">
        <v>250</v>
      </c>
      <c r="G95" s="100" t="s">
        <v>282</v>
      </c>
      <c r="H95" s="100" t="s">
        <v>682</v>
      </c>
      <c r="I95" s="100" t="s">
        <v>4367</v>
      </c>
      <c r="J95" s="100" t="s">
        <v>1358</v>
      </c>
      <c r="K95" s="100" t="s">
        <v>1714</v>
      </c>
      <c r="L95" s="100" t="s">
        <v>682</v>
      </c>
      <c r="M95" s="100" t="s">
        <v>682</v>
      </c>
      <c r="N95" s="100" t="s">
        <v>682</v>
      </c>
      <c r="O95" s="100" t="s">
        <v>5315</v>
      </c>
      <c r="P95" s="100" t="s">
        <v>3972</v>
      </c>
      <c r="Q95" s="100" t="s">
        <v>1715</v>
      </c>
      <c r="R95" s="100" t="s">
        <v>5316</v>
      </c>
      <c r="S95" s="100" t="s">
        <v>5317</v>
      </c>
      <c r="T95" s="100" t="s">
        <v>4368</v>
      </c>
      <c r="U95" s="100" t="s">
        <v>1716</v>
      </c>
      <c r="V95" s="100" t="s">
        <v>1717</v>
      </c>
      <c r="W95" s="100" t="s">
        <v>682</v>
      </c>
      <c r="X95" s="100" t="s">
        <v>1718</v>
      </c>
      <c r="Y95" s="100" t="s">
        <v>4369</v>
      </c>
      <c r="Z95" s="100" t="s">
        <v>4370</v>
      </c>
      <c r="AA95" s="100" t="s">
        <v>1719</v>
      </c>
      <c r="AB95" s="100" t="s">
        <v>1720</v>
      </c>
      <c r="AC95" s="100" t="s">
        <v>682</v>
      </c>
      <c r="AD95" s="100" t="s">
        <v>682</v>
      </c>
      <c r="AE95" s="100" t="s">
        <v>43</v>
      </c>
      <c r="AF95" s="100" t="s">
        <v>41</v>
      </c>
      <c r="AG95" s="100" t="s">
        <v>42</v>
      </c>
      <c r="AH95" s="100" t="s">
        <v>1721</v>
      </c>
      <c r="AI95" s="100" t="s">
        <v>682</v>
      </c>
      <c r="AJ95" s="100" t="s">
        <v>682</v>
      </c>
      <c r="AK95" s="100" t="s">
        <v>682</v>
      </c>
    </row>
    <row r="96" spans="1:37">
      <c r="A96" s="100" t="s">
        <v>6599</v>
      </c>
      <c r="B96" s="100" t="s">
        <v>6600</v>
      </c>
      <c r="C96" s="100" t="s">
        <v>682</v>
      </c>
      <c r="D96" s="100" t="s">
        <v>97</v>
      </c>
      <c r="E96" s="100" t="s">
        <v>6601</v>
      </c>
      <c r="F96" s="100" t="s">
        <v>250</v>
      </c>
      <c r="G96" s="100" t="s">
        <v>283</v>
      </c>
      <c r="H96" s="100" t="s">
        <v>682</v>
      </c>
      <c r="I96" s="100" t="s">
        <v>6602</v>
      </c>
      <c r="J96" s="100" t="s">
        <v>1358</v>
      </c>
      <c r="K96" s="100" t="s">
        <v>6603</v>
      </c>
      <c r="L96" s="100" t="s">
        <v>682</v>
      </c>
      <c r="M96" s="100" t="s">
        <v>682</v>
      </c>
      <c r="N96" s="100" t="s">
        <v>682</v>
      </c>
      <c r="O96" s="100" t="s">
        <v>6604</v>
      </c>
      <c r="P96" s="100" t="s">
        <v>6605</v>
      </c>
      <c r="Q96" s="100" t="s">
        <v>6606</v>
      </c>
      <c r="R96" s="100" t="s">
        <v>6607</v>
      </c>
      <c r="S96" s="100" t="s">
        <v>6608</v>
      </c>
      <c r="T96" s="100" t="s">
        <v>6609</v>
      </c>
      <c r="U96" s="100" t="s">
        <v>6610</v>
      </c>
      <c r="V96" s="100" t="s">
        <v>6611</v>
      </c>
      <c r="W96" s="100" t="s">
        <v>682</v>
      </c>
      <c r="X96" s="100" t="s">
        <v>6612</v>
      </c>
      <c r="Y96" s="100" t="s">
        <v>6613</v>
      </c>
      <c r="Z96" s="100" t="s">
        <v>6614</v>
      </c>
      <c r="AA96" s="100" t="s">
        <v>6615</v>
      </c>
      <c r="AB96" s="100" t="s">
        <v>6616</v>
      </c>
      <c r="AC96" s="100" t="s">
        <v>682</v>
      </c>
      <c r="AD96" s="100" t="s">
        <v>682</v>
      </c>
      <c r="AE96" s="100" t="s">
        <v>43</v>
      </c>
      <c r="AF96" s="100" t="s">
        <v>41</v>
      </c>
      <c r="AG96" s="100" t="s">
        <v>42</v>
      </c>
      <c r="AH96" s="100" t="s">
        <v>6617</v>
      </c>
      <c r="AI96" s="100" t="s">
        <v>682</v>
      </c>
      <c r="AJ96" s="100" t="s">
        <v>682</v>
      </c>
      <c r="AK96" s="100" t="s">
        <v>682</v>
      </c>
    </row>
    <row r="97" spans="1:37">
      <c r="A97" s="100" t="s">
        <v>1722</v>
      </c>
      <c r="B97" s="100" t="s">
        <v>682</v>
      </c>
      <c r="C97" s="100" t="s">
        <v>682</v>
      </c>
      <c r="D97" s="100" t="s">
        <v>682</v>
      </c>
      <c r="E97" s="100" t="s">
        <v>682</v>
      </c>
      <c r="F97" s="100" t="s">
        <v>682</v>
      </c>
      <c r="G97" s="100" t="s">
        <v>682</v>
      </c>
      <c r="H97" s="100" t="s">
        <v>682</v>
      </c>
      <c r="I97" s="100" t="s">
        <v>682</v>
      </c>
      <c r="J97" s="100" t="s">
        <v>6424</v>
      </c>
      <c r="K97" s="100" t="s">
        <v>6618</v>
      </c>
      <c r="L97" s="100" t="s">
        <v>6619</v>
      </c>
      <c r="M97" s="100" t="s">
        <v>682</v>
      </c>
      <c r="N97" s="100" t="s">
        <v>682</v>
      </c>
      <c r="O97" s="100" t="s">
        <v>682</v>
      </c>
      <c r="P97" s="100" t="s">
        <v>682</v>
      </c>
      <c r="Q97" s="100" t="s">
        <v>1724</v>
      </c>
      <c r="R97" s="100" t="s">
        <v>6620</v>
      </c>
      <c r="S97" s="100" t="s">
        <v>6621</v>
      </c>
      <c r="T97" s="100" t="s">
        <v>6622</v>
      </c>
      <c r="U97" s="100" t="s">
        <v>1725</v>
      </c>
      <c r="V97" s="100" t="s">
        <v>1726</v>
      </c>
      <c r="W97" s="100" t="s">
        <v>6623</v>
      </c>
      <c r="X97" s="100" t="s">
        <v>682</v>
      </c>
      <c r="Y97" s="100" t="s">
        <v>682</v>
      </c>
      <c r="Z97" s="100" t="s">
        <v>682</v>
      </c>
      <c r="AA97" s="100" t="s">
        <v>1727</v>
      </c>
      <c r="AB97" s="100" t="s">
        <v>1728</v>
      </c>
      <c r="AC97" s="100" t="s">
        <v>6624</v>
      </c>
      <c r="AD97" s="100" t="s">
        <v>682</v>
      </c>
      <c r="AE97" s="100" t="s">
        <v>682</v>
      </c>
      <c r="AF97" s="100" t="s">
        <v>682</v>
      </c>
      <c r="AG97" s="100" t="s">
        <v>682</v>
      </c>
      <c r="AH97" s="100" t="s">
        <v>682</v>
      </c>
      <c r="AI97" s="100" t="s">
        <v>682</v>
      </c>
      <c r="AJ97" s="100" t="s">
        <v>682</v>
      </c>
      <c r="AK97" s="100" t="s">
        <v>682</v>
      </c>
    </row>
    <row r="98" spans="1:37">
      <c r="A98" s="100" t="s">
        <v>1729</v>
      </c>
      <c r="B98" s="100" t="s">
        <v>1730</v>
      </c>
      <c r="C98" s="100" t="s">
        <v>682</v>
      </c>
      <c r="D98" s="100" t="s">
        <v>47</v>
      </c>
      <c r="E98" s="100" t="s">
        <v>1731</v>
      </c>
      <c r="F98" s="100" t="s">
        <v>179</v>
      </c>
      <c r="G98" s="100" t="s">
        <v>546</v>
      </c>
      <c r="H98" s="100" t="s">
        <v>682</v>
      </c>
      <c r="I98" s="100" t="s">
        <v>4371</v>
      </c>
      <c r="J98" s="100" t="s">
        <v>965</v>
      </c>
      <c r="K98" s="100" t="s">
        <v>1732</v>
      </c>
      <c r="L98" s="100" t="s">
        <v>682</v>
      </c>
      <c r="M98" s="100" t="s">
        <v>682</v>
      </c>
      <c r="N98" s="100" t="s">
        <v>682</v>
      </c>
      <c r="O98" s="100" t="s">
        <v>5318</v>
      </c>
      <c r="P98" s="100" t="s">
        <v>3973</v>
      </c>
      <c r="Q98" s="100" t="s">
        <v>1733</v>
      </c>
      <c r="R98" s="100" t="s">
        <v>5319</v>
      </c>
      <c r="S98" s="100" t="s">
        <v>5320</v>
      </c>
      <c r="T98" s="100" t="s">
        <v>4372</v>
      </c>
      <c r="U98" s="100" t="s">
        <v>1734</v>
      </c>
      <c r="V98" s="100" t="s">
        <v>1735</v>
      </c>
      <c r="W98" s="100" t="s">
        <v>682</v>
      </c>
      <c r="X98" s="100" t="s">
        <v>1736</v>
      </c>
      <c r="Y98" s="100" t="s">
        <v>4373</v>
      </c>
      <c r="Z98" s="100" t="s">
        <v>4374</v>
      </c>
      <c r="AA98" s="100" t="s">
        <v>1737</v>
      </c>
      <c r="AB98" s="100" t="s">
        <v>1738</v>
      </c>
      <c r="AC98" s="100" t="s">
        <v>682</v>
      </c>
      <c r="AD98" s="100" t="s">
        <v>682</v>
      </c>
      <c r="AE98" s="100" t="s">
        <v>43</v>
      </c>
      <c r="AF98" s="100" t="s">
        <v>41</v>
      </c>
      <c r="AG98" s="100" t="s">
        <v>42</v>
      </c>
      <c r="AH98" s="100" t="s">
        <v>1739</v>
      </c>
      <c r="AI98" s="100" t="s">
        <v>682</v>
      </c>
      <c r="AJ98" s="100" t="s">
        <v>682</v>
      </c>
      <c r="AK98" s="100" t="s">
        <v>682</v>
      </c>
    </row>
    <row r="99" spans="1:37">
      <c r="A99" s="100" t="s">
        <v>1740</v>
      </c>
      <c r="B99" s="100" t="s">
        <v>1741</v>
      </c>
      <c r="C99" s="100" t="s">
        <v>682</v>
      </c>
      <c r="D99" s="100" t="s">
        <v>47</v>
      </c>
      <c r="E99" s="100" t="s">
        <v>1742</v>
      </c>
      <c r="F99" s="100" t="s">
        <v>178</v>
      </c>
      <c r="G99" s="100" t="s">
        <v>546</v>
      </c>
      <c r="H99" s="100" t="s">
        <v>682</v>
      </c>
      <c r="I99" s="100" t="s">
        <v>4375</v>
      </c>
      <c r="J99" s="100" t="s">
        <v>1036</v>
      </c>
      <c r="K99" s="100" t="s">
        <v>1743</v>
      </c>
      <c r="L99" s="100" t="s">
        <v>682</v>
      </c>
      <c r="M99" s="100" t="s">
        <v>682</v>
      </c>
      <c r="N99" s="100" t="s">
        <v>682</v>
      </c>
      <c r="O99" s="100" t="s">
        <v>5321</v>
      </c>
      <c r="P99" s="100" t="s">
        <v>3974</v>
      </c>
      <c r="Q99" s="100" t="s">
        <v>1744</v>
      </c>
      <c r="R99" s="100" t="s">
        <v>5322</v>
      </c>
      <c r="S99" s="100" t="s">
        <v>5323</v>
      </c>
      <c r="T99" s="100" t="s">
        <v>4376</v>
      </c>
      <c r="U99" s="100" t="s">
        <v>1745</v>
      </c>
      <c r="V99" s="100" t="s">
        <v>1746</v>
      </c>
      <c r="W99" s="100" t="s">
        <v>682</v>
      </c>
      <c r="X99" s="100" t="s">
        <v>1747</v>
      </c>
      <c r="Y99" s="100" t="s">
        <v>4377</v>
      </c>
      <c r="Z99" s="100" t="s">
        <v>4378</v>
      </c>
      <c r="AA99" s="100" t="s">
        <v>1748</v>
      </c>
      <c r="AB99" s="100" t="s">
        <v>1749</v>
      </c>
      <c r="AC99" s="100" t="s">
        <v>682</v>
      </c>
      <c r="AD99" s="100" t="s">
        <v>682</v>
      </c>
      <c r="AE99" s="100" t="s">
        <v>43</v>
      </c>
      <c r="AF99" s="100" t="s">
        <v>41</v>
      </c>
      <c r="AG99" s="100" t="s">
        <v>42</v>
      </c>
      <c r="AH99" s="100" t="s">
        <v>1750</v>
      </c>
      <c r="AI99" s="100" t="s">
        <v>682</v>
      </c>
      <c r="AJ99" s="100" t="s">
        <v>682</v>
      </c>
      <c r="AK99" s="100" t="s">
        <v>682</v>
      </c>
    </row>
    <row r="100" spans="1:37">
      <c r="A100" s="100" t="s">
        <v>1751</v>
      </c>
      <c r="B100" s="100" t="s">
        <v>1752</v>
      </c>
      <c r="C100" s="100" t="s">
        <v>682</v>
      </c>
      <c r="D100" s="100" t="s">
        <v>65</v>
      </c>
      <c r="E100" s="100" t="s">
        <v>1753</v>
      </c>
      <c r="F100" s="100" t="s">
        <v>209</v>
      </c>
      <c r="G100" s="100" t="s">
        <v>184</v>
      </c>
      <c r="H100" s="100" t="s">
        <v>682</v>
      </c>
      <c r="I100" s="100" t="s">
        <v>4379</v>
      </c>
      <c r="J100" s="100" t="s">
        <v>1036</v>
      </c>
      <c r="K100" s="100" t="s">
        <v>1754</v>
      </c>
      <c r="L100" s="100" t="s">
        <v>682</v>
      </c>
      <c r="M100" s="100" t="s">
        <v>682</v>
      </c>
      <c r="N100" s="100" t="s">
        <v>682</v>
      </c>
      <c r="O100" s="100" t="s">
        <v>5324</v>
      </c>
      <c r="P100" s="100" t="s">
        <v>3975</v>
      </c>
      <c r="Q100" s="100" t="s">
        <v>1755</v>
      </c>
      <c r="R100" s="100" t="s">
        <v>5325</v>
      </c>
      <c r="S100" s="100" t="s">
        <v>5326</v>
      </c>
      <c r="T100" s="100" t="s">
        <v>4380</v>
      </c>
      <c r="U100" s="100" t="s">
        <v>1756</v>
      </c>
      <c r="V100" s="100" t="s">
        <v>1757</v>
      </c>
      <c r="W100" s="100" t="s">
        <v>682</v>
      </c>
      <c r="X100" s="100" t="s">
        <v>1758</v>
      </c>
      <c r="Y100" s="100" t="s">
        <v>4381</v>
      </c>
      <c r="Z100" s="100" t="s">
        <v>4382</v>
      </c>
      <c r="AA100" s="100" t="s">
        <v>1759</v>
      </c>
      <c r="AB100" s="100" t="s">
        <v>1760</v>
      </c>
      <c r="AC100" s="100" t="s">
        <v>682</v>
      </c>
      <c r="AD100" s="100" t="s">
        <v>682</v>
      </c>
      <c r="AE100" s="100" t="s">
        <v>54</v>
      </c>
      <c r="AF100" s="100" t="s">
        <v>682</v>
      </c>
      <c r="AG100" s="100" t="s">
        <v>682</v>
      </c>
      <c r="AH100" s="100" t="s">
        <v>1761</v>
      </c>
      <c r="AI100" s="100" t="s">
        <v>682</v>
      </c>
      <c r="AJ100" s="100" t="s">
        <v>682</v>
      </c>
      <c r="AK100" s="100" t="s">
        <v>682</v>
      </c>
    </row>
    <row r="101" spans="1:37">
      <c r="A101" s="100" t="s">
        <v>1762</v>
      </c>
      <c r="B101" s="100" t="s">
        <v>1763</v>
      </c>
      <c r="C101" s="100" t="s">
        <v>682</v>
      </c>
      <c r="D101" s="100" t="s">
        <v>1138</v>
      </c>
      <c r="E101" s="100" t="s">
        <v>1764</v>
      </c>
      <c r="F101" s="100" t="s">
        <v>222</v>
      </c>
      <c r="G101" s="100" t="s">
        <v>216</v>
      </c>
      <c r="H101" s="100" t="s">
        <v>682</v>
      </c>
      <c r="I101" s="100" t="s">
        <v>4383</v>
      </c>
      <c r="J101" s="100" t="s">
        <v>1036</v>
      </c>
      <c r="K101" s="100" t="s">
        <v>1765</v>
      </c>
      <c r="L101" s="100" t="s">
        <v>682</v>
      </c>
      <c r="M101" s="100" t="s">
        <v>682</v>
      </c>
      <c r="N101" s="100" t="s">
        <v>682</v>
      </c>
      <c r="O101" s="100" t="s">
        <v>5327</v>
      </c>
      <c r="P101" s="100" t="s">
        <v>3976</v>
      </c>
      <c r="Q101" s="100" t="s">
        <v>1766</v>
      </c>
      <c r="R101" s="100" t="s">
        <v>5328</v>
      </c>
      <c r="S101" s="100" t="s">
        <v>5329</v>
      </c>
      <c r="T101" s="100" t="s">
        <v>4384</v>
      </c>
      <c r="U101" s="100" t="s">
        <v>1767</v>
      </c>
      <c r="V101" s="100" t="s">
        <v>1768</v>
      </c>
      <c r="W101" s="100" t="s">
        <v>682</v>
      </c>
      <c r="X101" s="100" t="s">
        <v>1769</v>
      </c>
      <c r="Y101" s="100" t="s">
        <v>4385</v>
      </c>
      <c r="Z101" s="100" t="s">
        <v>4386</v>
      </c>
      <c r="AA101" s="100" t="s">
        <v>1770</v>
      </c>
      <c r="AB101" s="100" t="s">
        <v>1771</v>
      </c>
      <c r="AC101" s="100" t="s">
        <v>682</v>
      </c>
      <c r="AD101" s="100" t="s">
        <v>682</v>
      </c>
      <c r="AE101" s="100" t="s">
        <v>43</v>
      </c>
      <c r="AF101" s="100" t="s">
        <v>41</v>
      </c>
      <c r="AG101" s="100" t="s">
        <v>63</v>
      </c>
      <c r="AH101" s="100" t="s">
        <v>1772</v>
      </c>
      <c r="AI101" s="100" t="s">
        <v>682</v>
      </c>
      <c r="AJ101" s="100" t="s">
        <v>682</v>
      </c>
      <c r="AK101" s="100" t="s">
        <v>682</v>
      </c>
    </row>
    <row r="102" spans="1:37">
      <c r="A102" s="100" t="s">
        <v>1773</v>
      </c>
      <c r="B102" s="100" t="s">
        <v>1774</v>
      </c>
      <c r="C102" s="100" t="s">
        <v>682</v>
      </c>
      <c r="D102" s="100" t="s">
        <v>78</v>
      </c>
      <c r="E102" s="100" t="s">
        <v>1775</v>
      </c>
      <c r="F102" s="100" t="s">
        <v>238</v>
      </c>
      <c r="G102" s="100" t="s">
        <v>184</v>
      </c>
      <c r="H102" s="100" t="s">
        <v>2285</v>
      </c>
      <c r="I102" s="100" t="s">
        <v>4387</v>
      </c>
      <c r="J102" s="100" t="s">
        <v>2406</v>
      </c>
      <c r="K102" s="100" t="s">
        <v>1776</v>
      </c>
      <c r="L102" s="100" t="s">
        <v>682</v>
      </c>
      <c r="M102" s="100" t="s">
        <v>682</v>
      </c>
      <c r="N102" s="100" t="s">
        <v>682</v>
      </c>
      <c r="O102" s="100" t="s">
        <v>5330</v>
      </c>
      <c r="P102" s="100" t="s">
        <v>3977</v>
      </c>
      <c r="Q102" s="100" t="s">
        <v>1777</v>
      </c>
      <c r="R102" s="100" t="s">
        <v>5331</v>
      </c>
      <c r="S102" s="100" t="s">
        <v>5332</v>
      </c>
      <c r="T102" s="100" t="s">
        <v>4388</v>
      </c>
      <c r="U102" s="100" t="s">
        <v>1778</v>
      </c>
      <c r="V102" s="100" t="s">
        <v>1779</v>
      </c>
      <c r="W102" s="100" t="s">
        <v>682</v>
      </c>
      <c r="X102" s="100" t="s">
        <v>1780</v>
      </c>
      <c r="Y102" s="100" t="s">
        <v>4389</v>
      </c>
      <c r="Z102" s="100" t="s">
        <v>4390</v>
      </c>
      <c r="AA102" s="100" t="s">
        <v>1781</v>
      </c>
      <c r="AB102" s="100" t="s">
        <v>1782</v>
      </c>
      <c r="AC102" s="100" t="s">
        <v>682</v>
      </c>
      <c r="AD102" s="100" t="s">
        <v>682</v>
      </c>
      <c r="AE102" s="100" t="s">
        <v>54</v>
      </c>
      <c r="AF102" s="100" t="s">
        <v>682</v>
      </c>
      <c r="AG102" s="100" t="s">
        <v>682</v>
      </c>
      <c r="AH102" s="100" t="s">
        <v>1783</v>
      </c>
      <c r="AI102" s="100" t="s">
        <v>682</v>
      </c>
      <c r="AJ102" s="100" t="s">
        <v>682</v>
      </c>
      <c r="AK102" s="100" t="s">
        <v>682</v>
      </c>
    </row>
    <row r="103" spans="1:37">
      <c r="A103" s="100" t="s">
        <v>1784</v>
      </c>
      <c r="B103" s="100" t="s">
        <v>1785</v>
      </c>
      <c r="C103" s="100" t="s">
        <v>682</v>
      </c>
      <c r="D103" s="100" t="s">
        <v>2619</v>
      </c>
      <c r="E103" s="100" t="s">
        <v>1786</v>
      </c>
      <c r="F103" s="100" t="s">
        <v>223</v>
      </c>
      <c r="G103" s="100" t="s">
        <v>376</v>
      </c>
      <c r="H103" s="100" t="s">
        <v>682</v>
      </c>
      <c r="I103" s="100" t="s">
        <v>4391</v>
      </c>
      <c r="J103" s="100" t="s">
        <v>2406</v>
      </c>
      <c r="K103" s="100" t="s">
        <v>1787</v>
      </c>
      <c r="L103" s="100" t="s">
        <v>682</v>
      </c>
      <c r="M103" s="100" t="s">
        <v>682</v>
      </c>
      <c r="N103" s="100" t="s">
        <v>682</v>
      </c>
      <c r="O103" s="100" t="s">
        <v>5333</v>
      </c>
      <c r="P103" s="100" t="s">
        <v>3978</v>
      </c>
      <c r="Q103" s="100" t="s">
        <v>1788</v>
      </c>
      <c r="R103" s="100" t="s">
        <v>5334</v>
      </c>
      <c r="S103" s="100" t="s">
        <v>5335</v>
      </c>
      <c r="T103" s="100" t="s">
        <v>4392</v>
      </c>
      <c r="U103" s="100" t="s">
        <v>1789</v>
      </c>
      <c r="V103" s="100" t="s">
        <v>1790</v>
      </c>
      <c r="W103" s="100" t="s">
        <v>682</v>
      </c>
      <c r="X103" s="100" t="s">
        <v>1791</v>
      </c>
      <c r="Y103" s="100" t="s">
        <v>4393</v>
      </c>
      <c r="Z103" s="100" t="s">
        <v>4394</v>
      </c>
      <c r="AA103" s="100" t="s">
        <v>1792</v>
      </c>
      <c r="AB103" s="100" t="s">
        <v>1793</v>
      </c>
      <c r="AC103" s="100" t="s">
        <v>682</v>
      </c>
      <c r="AD103" s="100" t="s">
        <v>682</v>
      </c>
      <c r="AE103" s="100" t="s">
        <v>43</v>
      </c>
      <c r="AF103" s="100" t="s">
        <v>41</v>
      </c>
      <c r="AG103" s="100" t="s">
        <v>42</v>
      </c>
      <c r="AH103" s="100" t="s">
        <v>1794</v>
      </c>
      <c r="AI103" s="100" t="s">
        <v>682</v>
      </c>
      <c r="AJ103" s="100" t="s">
        <v>682</v>
      </c>
      <c r="AK103" s="100" t="s">
        <v>682</v>
      </c>
    </row>
    <row r="104" spans="1:37">
      <c r="A104" s="100" t="s">
        <v>1795</v>
      </c>
      <c r="B104" s="100" t="s">
        <v>1796</v>
      </c>
      <c r="C104" s="100" t="s">
        <v>682</v>
      </c>
      <c r="D104" s="100" t="s">
        <v>97</v>
      </c>
      <c r="E104" s="100" t="s">
        <v>1797</v>
      </c>
      <c r="F104" s="100" t="s">
        <v>247</v>
      </c>
      <c r="G104" s="100" t="s">
        <v>259</v>
      </c>
      <c r="H104" s="100" t="s">
        <v>682</v>
      </c>
      <c r="I104" s="100" t="s">
        <v>4395</v>
      </c>
      <c r="J104" s="100" t="s">
        <v>3024</v>
      </c>
      <c r="K104" s="100" t="s">
        <v>1799</v>
      </c>
      <c r="L104" s="100" t="s">
        <v>682</v>
      </c>
      <c r="M104" s="100" t="s">
        <v>682</v>
      </c>
      <c r="N104" s="100" t="s">
        <v>682</v>
      </c>
      <c r="O104" s="100" t="s">
        <v>5336</v>
      </c>
      <c r="P104" s="100" t="s">
        <v>1800</v>
      </c>
      <c r="Q104" s="100" t="s">
        <v>1801</v>
      </c>
      <c r="R104" s="100" t="s">
        <v>5337</v>
      </c>
      <c r="S104" s="100" t="s">
        <v>5338</v>
      </c>
      <c r="T104" s="100" t="s">
        <v>4396</v>
      </c>
      <c r="U104" s="100" t="s">
        <v>1802</v>
      </c>
      <c r="V104" s="100" t="s">
        <v>1803</v>
      </c>
      <c r="W104" s="100" t="s">
        <v>682</v>
      </c>
      <c r="X104" s="100" t="s">
        <v>1804</v>
      </c>
      <c r="Y104" s="100" t="s">
        <v>4397</v>
      </c>
      <c r="Z104" s="100" t="s">
        <v>4398</v>
      </c>
      <c r="AA104" s="100" t="s">
        <v>1805</v>
      </c>
      <c r="AB104" s="100" t="s">
        <v>1806</v>
      </c>
      <c r="AC104" s="100" t="s">
        <v>682</v>
      </c>
      <c r="AD104" s="100" t="s">
        <v>682</v>
      </c>
      <c r="AE104" s="100" t="s">
        <v>43</v>
      </c>
      <c r="AF104" s="100" t="s">
        <v>41</v>
      </c>
      <c r="AG104" s="100" t="s">
        <v>42</v>
      </c>
      <c r="AH104" s="100" t="s">
        <v>1807</v>
      </c>
      <c r="AI104" s="100" t="s">
        <v>682</v>
      </c>
      <c r="AJ104" s="100" t="s">
        <v>682</v>
      </c>
      <c r="AK104" s="100" t="s">
        <v>682</v>
      </c>
    </row>
    <row r="105" spans="1:37">
      <c r="A105" s="100" t="s">
        <v>1808</v>
      </c>
      <c r="B105" s="100" t="s">
        <v>1809</v>
      </c>
      <c r="C105" s="100" t="s">
        <v>682</v>
      </c>
      <c r="D105" s="100" t="s">
        <v>97</v>
      </c>
      <c r="E105" s="100" t="s">
        <v>1810</v>
      </c>
      <c r="F105" s="100" t="s">
        <v>247</v>
      </c>
      <c r="G105" s="100" t="s">
        <v>261</v>
      </c>
      <c r="H105" s="100" t="s">
        <v>682</v>
      </c>
      <c r="I105" s="100" t="s">
        <v>4399</v>
      </c>
      <c r="J105" s="100" t="s">
        <v>3024</v>
      </c>
      <c r="K105" s="100" t="s">
        <v>1812</v>
      </c>
      <c r="L105" s="100" t="s">
        <v>682</v>
      </c>
      <c r="M105" s="100" t="s">
        <v>682</v>
      </c>
      <c r="N105" s="100" t="s">
        <v>682</v>
      </c>
      <c r="O105" s="100" t="s">
        <v>5339</v>
      </c>
      <c r="P105" s="100" t="s">
        <v>3979</v>
      </c>
      <c r="Q105" s="100" t="s">
        <v>1813</v>
      </c>
      <c r="R105" s="100" t="s">
        <v>5340</v>
      </c>
      <c r="S105" s="100" t="s">
        <v>5341</v>
      </c>
      <c r="T105" s="100" t="s">
        <v>4400</v>
      </c>
      <c r="U105" s="100" t="s">
        <v>1814</v>
      </c>
      <c r="V105" s="100" t="s">
        <v>1815</v>
      </c>
      <c r="W105" s="100" t="s">
        <v>682</v>
      </c>
      <c r="X105" s="100" t="s">
        <v>1816</v>
      </c>
      <c r="Y105" s="100" t="s">
        <v>4401</v>
      </c>
      <c r="Z105" s="100" t="s">
        <v>4402</v>
      </c>
      <c r="AA105" s="100" t="s">
        <v>1817</v>
      </c>
      <c r="AB105" s="100" t="s">
        <v>1818</v>
      </c>
      <c r="AC105" s="100" t="s">
        <v>682</v>
      </c>
      <c r="AD105" s="100" t="s">
        <v>682</v>
      </c>
      <c r="AE105" s="100" t="s">
        <v>43</v>
      </c>
      <c r="AF105" s="100" t="s">
        <v>41</v>
      </c>
      <c r="AG105" s="100" t="s">
        <v>42</v>
      </c>
      <c r="AH105" s="100" t="s">
        <v>1819</v>
      </c>
      <c r="AI105" s="100" t="s">
        <v>682</v>
      </c>
      <c r="AJ105" s="100" t="s">
        <v>682</v>
      </c>
      <c r="AK105" s="100" t="s">
        <v>682</v>
      </c>
    </row>
    <row r="106" spans="1:37">
      <c r="A106" s="100" t="s">
        <v>1820</v>
      </c>
      <c r="B106" s="100" t="s">
        <v>1821</v>
      </c>
      <c r="C106" s="100" t="s">
        <v>682</v>
      </c>
      <c r="D106" s="100" t="s">
        <v>97</v>
      </c>
      <c r="E106" s="100" t="s">
        <v>1823</v>
      </c>
      <c r="F106" s="100" t="s">
        <v>247</v>
      </c>
      <c r="G106" s="100" t="s">
        <v>262</v>
      </c>
      <c r="H106" s="100" t="s">
        <v>682</v>
      </c>
      <c r="I106" s="100" t="s">
        <v>4403</v>
      </c>
      <c r="J106" s="100" t="s">
        <v>3024</v>
      </c>
      <c r="K106" s="100" t="s">
        <v>1824</v>
      </c>
      <c r="L106" s="100" t="s">
        <v>682</v>
      </c>
      <c r="M106" s="100" t="s">
        <v>682</v>
      </c>
      <c r="N106" s="100" t="s">
        <v>682</v>
      </c>
      <c r="O106" s="100" t="s">
        <v>5342</v>
      </c>
      <c r="P106" s="100" t="s">
        <v>1825</v>
      </c>
      <c r="Q106" s="100" t="s">
        <v>1826</v>
      </c>
      <c r="R106" s="100" t="s">
        <v>5343</v>
      </c>
      <c r="S106" s="100" t="s">
        <v>5344</v>
      </c>
      <c r="T106" s="100" t="s">
        <v>4404</v>
      </c>
      <c r="U106" s="100" t="s">
        <v>1827</v>
      </c>
      <c r="V106" s="100" t="s">
        <v>1828</v>
      </c>
      <c r="W106" s="100" t="s">
        <v>682</v>
      </c>
      <c r="X106" s="100" t="s">
        <v>1829</v>
      </c>
      <c r="Y106" s="100" t="s">
        <v>4405</v>
      </c>
      <c r="Z106" s="100" t="s">
        <v>4406</v>
      </c>
      <c r="AA106" s="100" t="s">
        <v>1830</v>
      </c>
      <c r="AB106" s="100" t="s">
        <v>1831</v>
      </c>
      <c r="AC106" s="100" t="s">
        <v>682</v>
      </c>
      <c r="AD106" s="100" t="s">
        <v>682</v>
      </c>
      <c r="AE106" s="100" t="s">
        <v>43</v>
      </c>
      <c r="AF106" s="100" t="s">
        <v>41</v>
      </c>
      <c r="AG106" s="100" t="s">
        <v>42</v>
      </c>
      <c r="AH106" s="100" t="s">
        <v>1832</v>
      </c>
      <c r="AI106" s="100" t="s">
        <v>682</v>
      </c>
      <c r="AJ106" s="100" t="s">
        <v>682</v>
      </c>
      <c r="AK106" s="100" t="s">
        <v>682</v>
      </c>
    </row>
    <row r="107" spans="1:37">
      <c r="A107" s="100" t="s">
        <v>1833</v>
      </c>
      <c r="B107" s="100" t="s">
        <v>1834</v>
      </c>
      <c r="C107" s="100" t="s">
        <v>682</v>
      </c>
      <c r="D107" s="100" t="s">
        <v>97</v>
      </c>
      <c r="E107" s="100" t="s">
        <v>1835</v>
      </c>
      <c r="F107" s="100" t="s">
        <v>254</v>
      </c>
      <c r="G107" s="100" t="s">
        <v>273</v>
      </c>
      <c r="H107" s="100" t="s">
        <v>682</v>
      </c>
      <c r="I107" s="100" t="s">
        <v>4407</v>
      </c>
      <c r="J107" s="100" t="s">
        <v>3194</v>
      </c>
      <c r="K107" s="100" t="s">
        <v>1837</v>
      </c>
      <c r="L107" s="100" t="s">
        <v>682</v>
      </c>
      <c r="M107" s="100" t="s">
        <v>682</v>
      </c>
      <c r="N107" s="100" t="s">
        <v>682</v>
      </c>
      <c r="O107" s="100" t="s">
        <v>5345</v>
      </c>
      <c r="P107" s="100" t="s">
        <v>1838</v>
      </c>
      <c r="Q107" s="100" t="s">
        <v>1839</v>
      </c>
      <c r="R107" s="100" t="s">
        <v>5346</v>
      </c>
      <c r="S107" s="100" t="s">
        <v>5347</v>
      </c>
      <c r="T107" s="100" t="s">
        <v>4408</v>
      </c>
      <c r="U107" s="100" t="s">
        <v>1840</v>
      </c>
      <c r="V107" s="100" t="s">
        <v>1841</v>
      </c>
      <c r="W107" s="100" t="s">
        <v>682</v>
      </c>
      <c r="X107" s="100" t="s">
        <v>1842</v>
      </c>
      <c r="Y107" s="100" t="s">
        <v>4409</v>
      </c>
      <c r="Z107" s="100" t="s">
        <v>4410</v>
      </c>
      <c r="AA107" s="100" t="s">
        <v>1843</v>
      </c>
      <c r="AB107" s="100" t="s">
        <v>1844</v>
      </c>
      <c r="AC107" s="100" t="s">
        <v>682</v>
      </c>
      <c r="AD107" s="100" t="s">
        <v>682</v>
      </c>
      <c r="AE107" s="100" t="s">
        <v>43</v>
      </c>
      <c r="AF107" s="100" t="s">
        <v>41</v>
      </c>
      <c r="AG107" s="100" t="s">
        <v>42</v>
      </c>
      <c r="AH107" s="100" t="s">
        <v>1845</v>
      </c>
      <c r="AI107" s="100" t="s">
        <v>682</v>
      </c>
      <c r="AJ107" s="100" t="s">
        <v>682</v>
      </c>
      <c r="AK107" s="100" t="s">
        <v>682</v>
      </c>
    </row>
    <row r="108" spans="1:37">
      <c r="A108" s="100" t="s">
        <v>1846</v>
      </c>
      <c r="B108" s="100" t="s">
        <v>1847</v>
      </c>
      <c r="C108" s="100" t="s">
        <v>682</v>
      </c>
      <c r="D108" s="100" t="s">
        <v>97</v>
      </c>
      <c r="E108" s="100" t="s">
        <v>1848</v>
      </c>
      <c r="F108" s="100" t="s">
        <v>249</v>
      </c>
      <c r="G108" s="100" t="s">
        <v>260</v>
      </c>
      <c r="H108" s="100" t="s">
        <v>682</v>
      </c>
      <c r="I108" s="100" t="s">
        <v>4411</v>
      </c>
      <c r="J108" s="100" t="s">
        <v>3244</v>
      </c>
      <c r="K108" s="100" t="s">
        <v>1849</v>
      </c>
      <c r="L108" s="100" t="s">
        <v>682</v>
      </c>
      <c r="M108" s="100" t="s">
        <v>682</v>
      </c>
      <c r="N108" s="100" t="s">
        <v>682</v>
      </c>
      <c r="O108" s="100" t="s">
        <v>5348</v>
      </c>
      <c r="P108" s="100" t="s">
        <v>3980</v>
      </c>
      <c r="Q108" s="100" t="s">
        <v>1850</v>
      </c>
      <c r="R108" s="100" t="s">
        <v>5349</v>
      </c>
      <c r="S108" s="100" t="s">
        <v>5350</v>
      </c>
      <c r="T108" s="100" t="s">
        <v>4412</v>
      </c>
      <c r="U108" s="100" t="s">
        <v>1851</v>
      </c>
      <c r="V108" s="100" t="s">
        <v>1852</v>
      </c>
      <c r="W108" s="100" t="s">
        <v>682</v>
      </c>
      <c r="X108" s="100" t="s">
        <v>1853</v>
      </c>
      <c r="Y108" s="100" t="s">
        <v>4413</v>
      </c>
      <c r="Z108" s="100" t="s">
        <v>4414</v>
      </c>
      <c r="AA108" s="100" t="s">
        <v>1854</v>
      </c>
      <c r="AB108" s="100" t="s">
        <v>1855</v>
      </c>
      <c r="AC108" s="100" t="s">
        <v>682</v>
      </c>
      <c r="AD108" s="100" t="s">
        <v>682</v>
      </c>
      <c r="AE108" s="100" t="s">
        <v>43</v>
      </c>
      <c r="AF108" s="100" t="s">
        <v>41</v>
      </c>
      <c r="AG108" s="100" t="s">
        <v>42</v>
      </c>
      <c r="AH108" s="100" t="s">
        <v>1856</v>
      </c>
      <c r="AI108" s="100" t="s">
        <v>682</v>
      </c>
      <c r="AJ108" s="100" t="s">
        <v>682</v>
      </c>
      <c r="AK108" s="100" t="s">
        <v>682</v>
      </c>
    </row>
    <row r="109" spans="1:37">
      <c r="A109" s="100" t="s">
        <v>1857</v>
      </c>
      <c r="B109" s="100" t="s">
        <v>1858</v>
      </c>
      <c r="C109" s="100" t="s">
        <v>682</v>
      </c>
      <c r="D109" s="100" t="s">
        <v>97</v>
      </c>
      <c r="E109" s="100" t="s">
        <v>1859</v>
      </c>
      <c r="F109" s="100" t="s">
        <v>249</v>
      </c>
      <c r="G109" s="100" t="s">
        <v>278</v>
      </c>
      <c r="H109" s="100" t="s">
        <v>682</v>
      </c>
      <c r="I109" s="100" t="s">
        <v>4415</v>
      </c>
      <c r="J109" s="100" t="s">
        <v>2406</v>
      </c>
      <c r="K109" s="100" t="s">
        <v>1861</v>
      </c>
      <c r="L109" s="100" t="s">
        <v>682</v>
      </c>
      <c r="M109" s="100" t="s">
        <v>682</v>
      </c>
      <c r="N109" s="100" t="s">
        <v>682</v>
      </c>
      <c r="O109" s="100" t="s">
        <v>5351</v>
      </c>
      <c r="P109" s="100" t="s">
        <v>3981</v>
      </c>
      <c r="Q109" s="100" t="s">
        <v>1862</v>
      </c>
      <c r="R109" s="100" t="s">
        <v>5352</v>
      </c>
      <c r="S109" s="100" t="s">
        <v>5353</v>
      </c>
      <c r="T109" s="100" t="s">
        <v>4416</v>
      </c>
      <c r="U109" s="100" t="s">
        <v>1863</v>
      </c>
      <c r="V109" s="100" t="s">
        <v>1864</v>
      </c>
      <c r="W109" s="100" t="s">
        <v>682</v>
      </c>
      <c r="X109" s="100" t="s">
        <v>1865</v>
      </c>
      <c r="Y109" s="100" t="s">
        <v>4417</v>
      </c>
      <c r="Z109" s="100" t="s">
        <v>4418</v>
      </c>
      <c r="AA109" s="100" t="s">
        <v>1866</v>
      </c>
      <c r="AB109" s="100" t="s">
        <v>1867</v>
      </c>
      <c r="AC109" s="100" t="s">
        <v>682</v>
      </c>
      <c r="AD109" s="100" t="s">
        <v>682</v>
      </c>
      <c r="AE109" s="100" t="s">
        <v>43</v>
      </c>
      <c r="AF109" s="100" t="s">
        <v>41</v>
      </c>
      <c r="AG109" s="100" t="s">
        <v>42</v>
      </c>
      <c r="AH109" s="100" t="s">
        <v>1868</v>
      </c>
      <c r="AI109" s="100" t="s">
        <v>682</v>
      </c>
      <c r="AJ109" s="100" t="s">
        <v>682</v>
      </c>
      <c r="AK109" s="100" t="s">
        <v>682</v>
      </c>
    </row>
    <row r="110" spans="1:37">
      <c r="A110" s="100" t="s">
        <v>1869</v>
      </c>
      <c r="B110" s="100" t="s">
        <v>1870</v>
      </c>
      <c r="C110" s="100" t="s">
        <v>682</v>
      </c>
      <c r="D110" s="100" t="s">
        <v>97</v>
      </c>
      <c r="E110" s="100" t="s">
        <v>1871</v>
      </c>
      <c r="F110" s="100" t="s">
        <v>249</v>
      </c>
      <c r="G110" s="100" t="s">
        <v>264</v>
      </c>
      <c r="H110" s="100" t="s">
        <v>682</v>
      </c>
      <c r="I110" s="100" t="s">
        <v>4419</v>
      </c>
      <c r="J110" s="100" t="s">
        <v>2406</v>
      </c>
      <c r="K110" s="100" t="s">
        <v>1872</v>
      </c>
      <c r="L110" s="100" t="s">
        <v>682</v>
      </c>
      <c r="M110" s="100" t="s">
        <v>682</v>
      </c>
      <c r="N110" s="100" t="s">
        <v>682</v>
      </c>
      <c r="O110" s="100" t="s">
        <v>5354</v>
      </c>
      <c r="P110" s="100" t="s">
        <v>3982</v>
      </c>
      <c r="Q110" s="100" t="s">
        <v>1873</v>
      </c>
      <c r="R110" s="100" t="s">
        <v>5355</v>
      </c>
      <c r="S110" s="100" t="s">
        <v>5356</v>
      </c>
      <c r="T110" s="100" t="s">
        <v>4420</v>
      </c>
      <c r="U110" s="100" t="s">
        <v>1874</v>
      </c>
      <c r="V110" s="100" t="s">
        <v>1875</v>
      </c>
      <c r="W110" s="100" t="s">
        <v>682</v>
      </c>
      <c r="X110" s="100" t="s">
        <v>1876</v>
      </c>
      <c r="Y110" s="100" t="s">
        <v>4421</v>
      </c>
      <c r="Z110" s="100" t="s">
        <v>4422</v>
      </c>
      <c r="AA110" s="100" t="s">
        <v>1877</v>
      </c>
      <c r="AB110" s="100" t="s">
        <v>1878</v>
      </c>
      <c r="AC110" s="100" t="s">
        <v>682</v>
      </c>
      <c r="AD110" s="100" t="s">
        <v>682</v>
      </c>
      <c r="AE110" s="100" t="s">
        <v>43</v>
      </c>
      <c r="AF110" s="100" t="s">
        <v>41</v>
      </c>
      <c r="AG110" s="100" t="s">
        <v>42</v>
      </c>
      <c r="AH110" s="100" t="s">
        <v>1879</v>
      </c>
      <c r="AI110" s="100" t="s">
        <v>682</v>
      </c>
      <c r="AJ110" s="100" t="s">
        <v>682</v>
      </c>
      <c r="AK110" s="100" t="s">
        <v>682</v>
      </c>
    </row>
    <row r="111" spans="1:37">
      <c r="A111" s="100" t="s">
        <v>1880</v>
      </c>
      <c r="B111" s="100" t="s">
        <v>1881</v>
      </c>
      <c r="C111" s="100" t="s">
        <v>682</v>
      </c>
      <c r="D111" s="100" t="s">
        <v>97</v>
      </c>
      <c r="E111" s="100" t="s">
        <v>1882</v>
      </c>
      <c r="F111" s="100" t="s">
        <v>249</v>
      </c>
      <c r="G111" s="100" t="s">
        <v>279</v>
      </c>
      <c r="H111" s="100" t="s">
        <v>682</v>
      </c>
      <c r="I111" s="100" t="s">
        <v>4423</v>
      </c>
      <c r="J111" s="100" t="s">
        <v>2406</v>
      </c>
      <c r="K111" s="100" t="s">
        <v>1883</v>
      </c>
      <c r="L111" s="100" t="s">
        <v>682</v>
      </c>
      <c r="M111" s="100" t="s">
        <v>682</v>
      </c>
      <c r="N111" s="100" t="s">
        <v>682</v>
      </c>
      <c r="O111" s="100" t="s">
        <v>5357</v>
      </c>
      <c r="P111" s="100" t="s">
        <v>3983</v>
      </c>
      <c r="Q111" s="100" t="s">
        <v>1884</v>
      </c>
      <c r="R111" s="100" t="s">
        <v>5358</v>
      </c>
      <c r="S111" s="100" t="s">
        <v>5359</v>
      </c>
      <c r="T111" s="100" t="s">
        <v>4424</v>
      </c>
      <c r="U111" s="100" t="s">
        <v>1885</v>
      </c>
      <c r="V111" s="100" t="s">
        <v>1886</v>
      </c>
      <c r="W111" s="100" t="s">
        <v>682</v>
      </c>
      <c r="X111" s="100" t="s">
        <v>1887</v>
      </c>
      <c r="Y111" s="100" t="s">
        <v>4425</v>
      </c>
      <c r="Z111" s="100" t="s">
        <v>4426</v>
      </c>
      <c r="AA111" s="100" t="s">
        <v>1888</v>
      </c>
      <c r="AB111" s="100" t="s">
        <v>1889</v>
      </c>
      <c r="AC111" s="100" t="s">
        <v>682</v>
      </c>
      <c r="AD111" s="100" t="s">
        <v>682</v>
      </c>
      <c r="AE111" s="100" t="s">
        <v>43</v>
      </c>
      <c r="AF111" s="100" t="s">
        <v>41</v>
      </c>
      <c r="AG111" s="100" t="s">
        <v>42</v>
      </c>
      <c r="AH111" s="100" t="s">
        <v>1890</v>
      </c>
      <c r="AI111" s="100" t="s">
        <v>682</v>
      </c>
      <c r="AJ111" s="100" t="s">
        <v>682</v>
      </c>
      <c r="AK111" s="100" t="s">
        <v>682</v>
      </c>
    </row>
    <row r="112" spans="1:37">
      <c r="A112" s="100" t="s">
        <v>1891</v>
      </c>
      <c r="B112" s="100" t="s">
        <v>1892</v>
      </c>
      <c r="C112" s="100" t="s">
        <v>682</v>
      </c>
      <c r="D112" s="100" t="s">
        <v>97</v>
      </c>
      <c r="E112" s="100" t="s">
        <v>1893</v>
      </c>
      <c r="F112" s="100" t="s">
        <v>249</v>
      </c>
      <c r="G112" s="100" t="s">
        <v>280</v>
      </c>
      <c r="H112" s="100" t="s">
        <v>682</v>
      </c>
      <c r="I112" s="100" t="s">
        <v>4427</v>
      </c>
      <c r="J112" s="100" t="s">
        <v>2406</v>
      </c>
      <c r="K112" s="100" t="s">
        <v>1894</v>
      </c>
      <c r="L112" s="100" t="s">
        <v>682</v>
      </c>
      <c r="M112" s="100" t="s">
        <v>682</v>
      </c>
      <c r="N112" s="100" t="s">
        <v>682</v>
      </c>
      <c r="O112" s="100" t="s">
        <v>5360</v>
      </c>
      <c r="P112" s="100" t="s">
        <v>1895</v>
      </c>
      <c r="Q112" s="100" t="s">
        <v>1896</v>
      </c>
      <c r="R112" s="100" t="s">
        <v>5361</v>
      </c>
      <c r="S112" s="100" t="s">
        <v>5362</v>
      </c>
      <c r="T112" s="100" t="s">
        <v>4428</v>
      </c>
      <c r="U112" s="100" t="s">
        <v>1897</v>
      </c>
      <c r="V112" s="100" t="s">
        <v>1898</v>
      </c>
      <c r="W112" s="100" t="s">
        <v>682</v>
      </c>
      <c r="X112" s="100" t="s">
        <v>1899</v>
      </c>
      <c r="Y112" s="100" t="s">
        <v>4429</v>
      </c>
      <c r="Z112" s="100" t="s">
        <v>4430</v>
      </c>
      <c r="AA112" s="100" t="s">
        <v>1900</v>
      </c>
      <c r="AB112" s="100" t="s">
        <v>1901</v>
      </c>
      <c r="AC112" s="100" t="s">
        <v>682</v>
      </c>
      <c r="AD112" s="100" t="s">
        <v>682</v>
      </c>
      <c r="AE112" s="100" t="s">
        <v>43</v>
      </c>
      <c r="AF112" s="100" t="s">
        <v>41</v>
      </c>
      <c r="AG112" s="100" t="s">
        <v>42</v>
      </c>
      <c r="AH112" s="100" t="s">
        <v>1902</v>
      </c>
      <c r="AI112" s="100" t="s">
        <v>682</v>
      </c>
      <c r="AJ112" s="100" t="s">
        <v>682</v>
      </c>
      <c r="AK112" s="100" t="s">
        <v>682</v>
      </c>
    </row>
    <row r="113" spans="1:37">
      <c r="A113" s="100" t="s">
        <v>1903</v>
      </c>
      <c r="B113" s="100" t="s">
        <v>1904</v>
      </c>
      <c r="C113" s="100" t="s">
        <v>682</v>
      </c>
      <c r="D113" s="100" t="s">
        <v>97</v>
      </c>
      <c r="E113" s="100" t="s">
        <v>1905</v>
      </c>
      <c r="F113" s="100" t="s">
        <v>249</v>
      </c>
      <c r="G113" s="100" t="s">
        <v>267</v>
      </c>
      <c r="H113" s="100" t="s">
        <v>682</v>
      </c>
      <c r="I113" s="100" t="s">
        <v>4431</v>
      </c>
      <c r="J113" s="100" t="s">
        <v>2406</v>
      </c>
      <c r="K113" s="100" t="s">
        <v>1906</v>
      </c>
      <c r="L113" s="100" t="s">
        <v>682</v>
      </c>
      <c r="M113" s="100" t="s">
        <v>682</v>
      </c>
      <c r="N113" s="100" t="s">
        <v>682</v>
      </c>
      <c r="O113" s="100" t="s">
        <v>5363</v>
      </c>
      <c r="P113" s="100" t="s">
        <v>3984</v>
      </c>
      <c r="Q113" s="100" t="s">
        <v>1907</v>
      </c>
      <c r="R113" s="100" t="s">
        <v>5364</v>
      </c>
      <c r="S113" s="100" t="s">
        <v>5365</v>
      </c>
      <c r="T113" s="100" t="s">
        <v>4432</v>
      </c>
      <c r="U113" s="100" t="s">
        <v>1908</v>
      </c>
      <c r="V113" s="100" t="s">
        <v>1909</v>
      </c>
      <c r="W113" s="100" t="s">
        <v>682</v>
      </c>
      <c r="X113" s="100" t="s">
        <v>1910</v>
      </c>
      <c r="Y113" s="100" t="s">
        <v>4433</v>
      </c>
      <c r="Z113" s="100" t="s">
        <v>4434</v>
      </c>
      <c r="AA113" s="100" t="s">
        <v>1911</v>
      </c>
      <c r="AB113" s="100" t="s">
        <v>1912</v>
      </c>
      <c r="AC113" s="100" t="s">
        <v>682</v>
      </c>
      <c r="AD113" s="100" t="s">
        <v>682</v>
      </c>
      <c r="AE113" s="100" t="s">
        <v>43</v>
      </c>
      <c r="AF113" s="100" t="s">
        <v>41</v>
      </c>
      <c r="AG113" s="100" t="s">
        <v>42</v>
      </c>
      <c r="AH113" s="100" t="s">
        <v>1913</v>
      </c>
      <c r="AI113" s="100" t="s">
        <v>682</v>
      </c>
      <c r="AJ113" s="100" t="s">
        <v>682</v>
      </c>
      <c r="AK113" s="100" t="s">
        <v>682</v>
      </c>
    </row>
    <row r="114" spans="1:37">
      <c r="A114" s="100" t="s">
        <v>6625</v>
      </c>
      <c r="B114" s="100" t="s">
        <v>6626</v>
      </c>
      <c r="C114" s="100" t="s">
        <v>682</v>
      </c>
      <c r="D114" s="100" t="s">
        <v>97</v>
      </c>
      <c r="E114" s="100" t="s">
        <v>6627</v>
      </c>
      <c r="F114" s="100" t="s">
        <v>251</v>
      </c>
      <c r="G114" s="100" t="s">
        <v>285</v>
      </c>
      <c r="H114" s="100" t="s">
        <v>682</v>
      </c>
      <c r="I114" s="100" t="s">
        <v>6628</v>
      </c>
      <c r="J114" s="100" t="s">
        <v>3244</v>
      </c>
      <c r="K114" s="100" t="s">
        <v>1914</v>
      </c>
      <c r="L114" s="100" t="s">
        <v>682</v>
      </c>
      <c r="M114" s="100" t="s">
        <v>682</v>
      </c>
      <c r="N114" s="100" t="s">
        <v>682</v>
      </c>
      <c r="O114" s="100" t="s">
        <v>6629</v>
      </c>
      <c r="P114" s="100" t="s">
        <v>6630</v>
      </c>
      <c r="Q114" s="100" t="s">
        <v>6631</v>
      </c>
      <c r="R114" s="100" t="s">
        <v>6632</v>
      </c>
      <c r="S114" s="100" t="s">
        <v>6633</v>
      </c>
      <c r="T114" s="100" t="s">
        <v>6634</v>
      </c>
      <c r="U114" s="100" t="s">
        <v>6635</v>
      </c>
      <c r="V114" s="100" t="s">
        <v>6636</v>
      </c>
      <c r="W114" s="100" t="s">
        <v>682</v>
      </c>
      <c r="X114" s="100" t="s">
        <v>6637</v>
      </c>
      <c r="Y114" s="100" t="s">
        <v>6638</v>
      </c>
      <c r="Z114" s="100" t="s">
        <v>6639</v>
      </c>
      <c r="AA114" s="100" t="s">
        <v>6640</v>
      </c>
      <c r="AB114" s="100" t="s">
        <v>6641</v>
      </c>
      <c r="AC114" s="100" t="s">
        <v>682</v>
      </c>
      <c r="AD114" s="100" t="s">
        <v>682</v>
      </c>
      <c r="AE114" s="100" t="s">
        <v>43</v>
      </c>
      <c r="AF114" s="100" t="s">
        <v>41</v>
      </c>
      <c r="AG114" s="100" t="s">
        <v>42</v>
      </c>
      <c r="AH114" s="100" t="s">
        <v>1915</v>
      </c>
      <c r="AI114" s="100" t="s">
        <v>682</v>
      </c>
      <c r="AJ114" s="100" t="s">
        <v>682</v>
      </c>
      <c r="AK114" s="100" t="s">
        <v>682</v>
      </c>
    </row>
    <row r="115" spans="1:37">
      <c r="A115" s="100" t="s">
        <v>1916</v>
      </c>
      <c r="B115" s="100" t="s">
        <v>1917</v>
      </c>
      <c r="C115" s="100" t="s">
        <v>682</v>
      </c>
      <c r="D115" s="100" t="s">
        <v>97</v>
      </c>
      <c r="E115" s="100" t="s">
        <v>1918</v>
      </c>
      <c r="F115" s="100" t="s">
        <v>251</v>
      </c>
      <c r="G115" s="100" t="s">
        <v>284</v>
      </c>
      <c r="H115" s="100" t="s">
        <v>682</v>
      </c>
      <c r="I115" s="100" t="s">
        <v>4435</v>
      </c>
      <c r="J115" s="100" t="s">
        <v>3244</v>
      </c>
      <c r="K115" s="100" t="s">
        <v>1920</v>
      </c>
      <c r="L115" s="100" t="s">
        <v>682</v>
      </c>
      <c r="M115" s="100" t="s">
        <v>682</v>
      </c>
      <c r="N115" s="100" t="s">
        <v>682</v>
      </c>
      <c r="O115" s="100" t="s">
        <v>5366</v>
      </c>
      <c r="P115" s="100" t="s">
        <v>3985</v>
      </c>
      <c r="Q115" s="100" t="s">
        <v>1921</v>
      </c>
      <c r="R115" s="100" t="s">
        <v>5367</v>
      </c>
      <c r="S115" s="100" t="s">
        <v>5368</v>
      </c>
      <c r="T115" s="100" t="s">
        <v>4436</v>
      </c>
      <c r="U115" s="100" t="s">
        <v>1922</v>
      </c>
      <c r="V115" s="100" t="s">
        <v>1923</v>
      </c>
      <c r="W115" s="100" t="s">
        <v>682</v>
      </c>
      <c r="X115" s="100" t="s">
        <v>1924</v>
      </c>
      <c r="Y115" s="100" t="s">
        <v>4437</v>
      </c>
      <c r="Z115" s="100" t="s">
        <v>4438</v>
      </c>
      <c r="AA115" s="100" t="s">
        <v>1925</v>
      </c>
      <c r="AB115" s="100" t="s">
        <v>1926</v>
      </c>
      <c r="AC115" s="100" t="s">
        <v>682</v>
      </c>
      <c r="AD115" s="100" t="s">
        <v>682</v>
      </c>
      <c r="AE115" s="100" t="s">
        <v>43</v>
      </c>
      <c r="AF115" s="100" t="s">
        <v>41</v>
      </c>
      <c r="AG115" s="100" t="s">
        <v>42</v>
      </c>
      <c r="AH115" s="100" t="s">
        <v>1927</v>
      </c>
      <c r="AI115" s="100" t="s">
        <v>682</v>
      </c>
      <c r="AJ115" s="100" t="s">
        <v>682</v>
      </c>
      <c r="AK115" s="100" t="s">
        <v>682</v>
      </c>
    </row>
    <row r="116" spans="1:37">
      <c r="A116" s="100" t="s">
        <v>1928</v>
      </c>
      <c r="B116" s="100" t="s">
        <v>1929</v>
      </c>
      <c r="C116" s="100" t="s">
        <v>682</v>
      </c>
      <c r="D116" s="100" t="s">
        <v>97</v>
      </c>
      <c r="E116" s="100" t="s">
        <v>1930</v>
      </c>
      <c r="F116" s="100" t="s">
        <v>252</v>
      </c>
      <c r="G116" s="100" t="s">
        <v>278</v>
      </c>
      <c r="H116" s="100" t="s">
        <v>682</v>
      </c>
      <c r="I116" s="100" t="s">
        <v>4439</v>
      </c>
      <c r="J116" s="100" t="s">
        <v>2406</v>
      </c>
      <c r="K116" s="100" t="s">
        <v>1932</v>
      </c>
      <c r="L116" s="100" t="s">
        <v>682</v>
      </c>
      <c r="M116" s="100" t="s">
        <v>682</v>
      </c>
      <c r="N116" s="100" t="s">
        <v>682</v>
      </c>
      <c r="O116" s="100" t="s">
        <v>5369</v>
      </c>
      <c r="P116" s="100" t="s">
        <v>1933</v>
      </c>
      <c r="Q116" s="100" t="s">
        <v>1934</v>
      </c>
      <c r="R116" s="100" t="s">
        <v>5370</v>
      </c>
      <c r="S116" s="100" t="s">
        <v>5371</v>
      </c>
      <c r="T116" s="100" t="s">
        <v>4440</v>
      </c>
      <c r="U116" s="100" t="s">
        <v>1935</v>
      </c>
      <c r="V116" s="100" t="s">
        <v>1936</v>
      </c>
      <c r="W116" s="100" t="s">
        <v>682</v>
      </c>
      <c r="X116" s="100" t="s">
        <v>1937</v>
      </c>
      <c r="Y116" s="100" t="s">
        <v>4441</v>
      </c>
      <c r="Z116" s="100" t="s">
        <v>4442</v>
      </c>
      <c r="AA116" s="100" t="s">
        <v>1938</v>
      </c>
      <c r="AB116" s="100" t="s">
        <v>1939</v>
      </c>
      <c r="AC116" s="100" t="s">
        <v>682</v>
      </c>
      <c r="AD116" s="100" t="s">
        <v>682</v>
      </c>
      <c r="AE116" s="100" t="s">
        <v>43</v>
      </c>
      <c r="AF116" s="100" t="s">
        <v>41</v>
      </c>
      <c r="AG116" s="100" t="s">
        <v>42</v>
      </c>
      <c r="AH116" s="100" t="s">
        <v>1940</v>
      </c>
      <c r="AI116" s="100" t="s">
        <v>682</v>
      </c>
      <c r="AJ116" s="100" t="s">
        <v>682</v>
      </c>
      <c r="AK116" s="100" t="s">
        <v>682</v>
      </c>
    </row>
    <row r="117" spans="1:37">
      <c r="A117" s="100" t="s">
        <v>1941</v>
      </c>
      <c r="B117" s="100" t="s">
        <v>1942</v>
      </c>
      <c r="C117" s="100" t="s">
        <v>682</v>
      </c>
      <c r="D117" s="100" t="s">
        <v>97</v>
      </c>
      <c r="E117" s="100" t="s">
        <v>1943</v>
      </c>
      <c r="F117" s="100" t="s">
        <v>252</v>
      </c>
      <c r="G117" s="100" t="s">
        <v>264</v>
      </c>
      <c r="H117" s="100" t="s">
        <v>682</v>
      </c>
      <c r="I117" s="100" t="s">
        <v>4443</v>
      </c>
      <c r="J117" s="100" t="s">
        <v>2406</v>
      </c>
      <c r="K117" s="100" t="s">
        <v>1944</v>
      </c>
      <c r="L117" s="100" t="s">
        <v>682</v>
      </c>
      <c r="M117" s="100" t="s">
        <v>682</v>
      </c>
      <c r="N117" s="100" t="s">
        <v>682</v>
      </c>
      <c r="O117" s="100" t="s">
        <v>5372</v>
      </c>
      <c r="P117" s="100" t="s">
        <v>3986</v>
      </c>
      <c r="Q117" s="100" t="s">
        <v>1945</v>
      </c>
      <c r="R117" s="100" t="s">
        <v>5373</v>
      </c>
      <c r="S117" s="100" t="s">
        <v>5374</v>
      </c>
      <c r="T117" s="100" t="s">
        <v>4444</v>
      </c>
      <c r="U117" s="100" t="s">
        <v>1946</v>
      </c>
      <c r="V117" s="100" t="s">
        <v>1947</v>
      </c>
      <c r="W117" s="100" t="s">
        <v>682</v>
      </c>
      <c r="X117" s="100" t="s">
        <v>1948</v>
      </c>
      <c r="Y117" s="100" t="s">
        <v>4445</v>
      </c>
      <c r="Z117" s="100" t="s">
        <v>4446</v>
      </c>
      <c r="AA117" s="100" t="s">
        <v>1949</v>
      </c>
      <c r="AB117" s="100" t="s">
        <v>1950</v>
      </c>
      <c r="AC117" s="100" t="s">
        <v>682</v>
      </c>
      <c r="AD117" s="100" t="s">
        <v>682</v>
      </c>
      <c r="AE117" s="100" t="s">
        <v>43</v>
      </c>
      <c r="AF117" s="100" t="s">
        <v>41</v>
      </c>
      <c r="AG117" s="100" t="s">
        <v>42</v>
      </c>
      <c r="AH117" s="100" t="s">
        <v>1951</v>
      </c>
      <c r="AI117" s="100" t="s">
        <v>682</v>
      </c>
      <c r="AJ117" s="100" t="s">
        <v>682</v>
      </c>
      <c r="AK117" s="100" t="s">
        <v>682</v>
      </c>
    </row>
    <row r="118" spans="1:37">
      <c r="A118" s="100" t="s">
        <v>1952</v>
      </c>
      <c r="B118" s="100" t="s">
        <v>1953</v>
      </c>
      <c r="C118" s="100" t="s">
        <v>682</v>
      </c>
      <c r="D118" s="100" t="s">
        <v>97</v>
      </c>
      <c r="E118" s="100" t="s">
        <v>1954</v>
      </c>
      <c r="F118" s="100" t="s">
        <v>252</v>
      </c>
      <c r="G118" s="100" t="s">
        <v>290</v>
      </c>
      <c r="H118" s="100" t="s">
        <v>682</v>
      </c>
      <c r="I118" s="100" t="s">
        <v>4447</v>
      </c>
      <c r="J118" s="100" t="s">
        <v>2406</v>
      </c>
      <c r="K118" s="100" t="s">
        <v>1955</v>
      </c>
      <c r="L118" s="100" t="s">
        <v>682</v>
      </c>
      <c r="M118" s="100" t="s">
        <v>682</v>
      </c>
      <c r="N118" s="100" t="s">
        <v>682</v>
      </c>
      <c r="O118" s="100" t="s">
        <v>5375</v>
      </c>
      <c r="P118" s="100" t="s">
        <v>1956</v>
      </c>
      <c r="Q118" s="100" t="s">
        <v>1957</v>
      </c>
      <c r="R118" s="100" t="s">
        <v>5376</v>
      </c>
      <c r="S118" s="100" t="s">
        <v>5377</v>
      </c>
      <c r="T118" s="100" t="s">
        <v>4448</v>
      </c>
      <c r="U118" s="100" t="s">
        <v>1958</v>
      </c>
      <c r="V118" s="100" t="s">
        <v>1959</v>
      </c>
      <c r="W118" s="100" t="s">
        <v>682</v>
      </c>
      <c r="X118" s="100" t="s">
        <v>1960</v>
      </c>
      <c r="Y118" s="100" t="s">
        <v>4449</v>
      </c>
      <c r="Z118" s="100" t="s">
        <v>4450</v>
      </c>
      <c r="AA118" s="100" t="s">
        <v>1961</v>
      </c>
      <c r="AB118" s="100" t="s">
        <v>1962</v>
      </c>
      <c r="AC118" s="100" t="s">
        <v>682</v>
      </c>
      <c r="AD118" s="100" t="s">
        <v>682</v>
      </c>
      <c r="AE118" s="100" t="s">
        <v>43</v>
      </c>
      <c r="AF118" s="100" t="s">
        <v>41</v>
      </c>
      <c r="AG118" s="100" t="s">
        <v>42</v>
      </c>
      <c r="AH118" s="100" t="s">
        <v>1963</v>
      </c>
      <c r="AI118" s="100" t="s">
        <v>682</v>
      </c>
      <c r="AJ118" s="100" t="s">
        <v>682</v>
      </c>
      <c r="AK118" s="100" t="s">
        <v>682</v>
      </c>
    </row>
    <row r="119" spans="1:37">
      <c r="A119" s="100" t="s">
        <v>1964</v>
      </c>
      <c r="B119" s="100" t="s">
        <v>1965</v>
      </c>
      <c r="C119" s="100" t="s">
        <v>682</v>
      </c>
      <c r="D119" s="100" t="s">
        <v>97</v>
      </c>
      <c r="E119" s="100" t="s">
        <v>1966</v>
      </c>
      <c r="F119" s="100" t="s">
        <v>252</v>
      </c>
      <c r="G119" s="100" t="s">
        <v>267</v>
      </c>
      <c r="H119" s="100" t="s">
        <v>682</v>
      </c>
      <c r="I119" s="100" t="s">
        <v>4451</v>
      </c>
      <c r="J119" s="100" t="s">
        <v>2406</v>
      </c>
      <c r="K119" s="100" t="s">
        <v>1967</v>
      </c>
      <c r="L119" s="100" t="s">
        <v>682</v>
      </c>
      <c r="M119" s="100" t="s">
        <v>682</v>
      </c>
      <c r="N119" s="100" t="s">
        <v>682</v>
      </c>
      <c r="O119" s="100" t="s">
        <v>5378</v>
      </c>
      <c r="P119" s="100" t="s">
        <v>1968</v>
      </c>
      <c r="Q119" s="100" t="s">
        <v>1969</v>
      </c>
      <c r="R119" s="100" t="s">
        <v>5379</v>
      </c>
      <c r="S119" s="100" t="s">
        <v>5380</v>
      </c>
      <c r="T119" s="100" t="s">
        <v>4452</v>
      </c>
      <c r="U119" s="100" t="s">
        <v>1970</v>
      </c>
      <c r="V119" s="100" t="s">
        <v>1971</v>
      </c>
      <c r="W119" s="100" t="s">
        <v>682</v>
      </c>
      <c r="X119" s="100" t="s">
        <v>1972</v>
      </c>
      <c r="Y119" s="100" t="s">
        <v>4453</v>
      </c>
      <c r="Z119" s="100" t="s">
        <v>4454</v>
      </c>
      <c r="AA119" s="100" t="s">
        <v>1973</v>
      </c>
      <c r="AB119" s="100" t="s">
        <v>1974</v>
      </c>
      <c r="AC119" s="100" t="s">
        <v>682</v>
      </c>
      <c r="AD119" s="100" t="s">
        <v>682</v>
      </c>
      <c r="AE119" s="100" t="s">
        <v>43</v>
      </c>
      <c r="AF119" s="100" t="s">
        <v>41</v>
      </c>
      <c r="AG119" s="100" t="s">
        <v>42</v>
      </c>
      <c r="AH119" s="100" t="s">
        <v>1975</v>
      </c>
      <c r="AI119" s="100" t="s">
        <v>682</v>
      </c>
      <c r="AJ119" s="100" t="s">
        <v>682</v>
      </c>
      <c r="AK119" s="100" t="s">
        <v>682</v>
      </c>
    </row>
    <row r="120" spans="1:37">
      <c r="A120" s="100" t="s">
        <v>1976</v>
      </c>
      <c r="B120" s="100" t="s">
        <v>1977</v>
      </c>
      <c r="C120" s="100" t="s">
        <v>682</v>
      </c>
      <c r="D120" s="100" t="s">
        <v>97</v>
      </c>
      <c r="E120" s="100" t="s">
        <v>1978</v>
      </c>
      <c r="F120" s="100" t="s">
        <v>252</v>
      </c>
      <c r="G120" s="100" t="s">
        <v>291</v>
      </c>
      <c r="H120" s="100" t="s">
        <v>682</v>
      </c>
      <c r="I120" s="100" t="s">
        <v>4455</v>
      </c>
      <c r="J120" s="100" t="s">
        <v>2406</v>
      </c>
      <c r="K120" s="100" t="s">
        <v>1979</v>
      </c>
      <c r="L120" s="100" t="s">
        <v>682</v>
      </c>
      <c r="M120" s="100" t="s">
        <v>682</v>
      </c>
      <c r="N120" s="100" t="s">
        <v>682</v>
      </c>
      <c r="O120" s="100" t="s">
        <v>5381</v>
      </c>
      <c r="P120" s="100" t="s">
        <v>1980</v>
      </c>
      <c r="Q120" s="100" t="s">
        <v>1981</v>
      </c>
      <c r="R120" s="100" t="s">
        <v>5382</v>
      </c>
      <c r="S120" s="100" t="s">
        <v>5383</v>
      </c>
      <c r="T120" s="100" t="s">
        <v>4456</v>
      </c>
      <c r="U120" s="100" t="s">
        <v>1982</v>
      </c>
      <c r="V120" s="100" t="s">
        <v>1983</v>
      </c>
      <c r="W120" s="100" t="s">
        <v>682</v>
      </c>
      <c r="X120" s="100" t="s">
        <v>1984</v>
      </c>
      <c r="Y120" s="100" t="s">
        <v>4457</v>
      </c>
      <c r="Z120" s="100" t="s">
        <v>4458</v>
      </c>
      <c r="AA120" s="100" t="s">
        <v>1985</v>
      </c>
      <c r="AB120" s="100" t="s">
        <v>1986</v>
      </c>
      <c r="AC120" s="100" t="s">
        <v>682</v>
      </c>
      <c r="AD120" s="100" t="s">
        <v>682</v>
      </c>
      <c r="AE120" s="100" t="s">
        <v>43</v>
      </c>
      <c r="AF120" s="100" t="s">
        <v>41</v>
      </c>
      <c r="AG120" s="100" t="s">
        <v>42</v>
      </c>
      <c r="AH120" s="100" t="s">
        <v>1987</v>
      </c>
      <c r="AI120" s="100" t="s">
        <v>682</v>
      </c>
      <c r="AJ120" s="100" t="s">
        <v>682</v>
      </c>
      <c r="AK120" s="100" t="s">
        <v>682</v>
      </c>
    </row>
    <row r="121" spans="1:37">
      <c r="A121" s="100" t="s">
        <v>1988</v>
      </c>
      <c r="B121" s="100" t="s">
        <v>1989</v>
      </c>
      <c r="C121" s="100" t="s">
        <v>682</v>
      </c>
      <c r="D121" s="100" t="s">
        <v>106</v>
      </c>
      <c r="E121" s="100" t="s">
        <v>1990</v>
      </c>
      <c r="F121" s="100" t="s">
        <v>314</v>
      </c>
      <c r="G121" s="100" t="s">
        <v>320</v>
      </c>
      <c r="H121" s="100" t="s">
        <v>682</v>
      </c>
      <c r="I121" s="100" t="s">
        <v>4459</v>
      </c>
      <c r="J121" s="100" t="s">
        <v>3024</v>
      </c>
      <c r="K121" s="100" t="s">
        <v>1992</v>
      </c>
      <c r="L121" s="100" t="s">
        <v>682</v>
      </c>
      <c r="M121" s="100" t="s">
        <v>682</v>
      </c>
      <c r="N121" s="100" t="s">
        <v>682</v>
      </c>
      <c r="O121" s="100" t="s">
        <v>5384</v>
      </c>
      <c r="P121" s="100" t="s">
        <v>3987</v>
      </c>
      <c r="Q121" s="100" t="s">
        <v>1993</v>
      </c>
      <c r="R121" s="100" t="s">
        <v>5385</v>
      </c>
      <c r="S121" s="100" t="s">
        <v>5386</v>
      </c>
      <c r="T121" s="100" t="s">
        <v>4460</v>
      </c>
      <c r="U121" s="100" t="s">
        <v>1994</v>
      </c>
      <c r="V121" s="100" t="s">
        <v>1995</v>
      </c>
      <c r="W121" s="100" t="s">
        <v>682</v>
      </c>
      <c r="X121" s="100" t="s">
        <v>1996</v>
      </c>
      <c r="Y121" s="100" t="s">
        <v>4461</v>
      </c>
      <c r="Z121" s="100" t="s">
        <v>4462</v>
      </c>
      <c r="AA121" s="100" t="s">
        <v>1997</v>
      </c>
      <c r="AB121" s="100" t="s">
        <v>1998</v>
      </c>
      <c r="AC121" s="100" t="s">
        <v>682</v>
      </c>
      <c r="AD121" s="100" t="s">
        <v>682</v>
      </c>
      <c r="AE121" s="100" t="s">
        <v>43</v>
      </c>
      <c r="AF121" s="100" t="s">
        <v>46</v>
      </c>
      <c r="AG121" s="100" t="s">
        <v>42</v>
      </c>
      <c r="AH121" s="100" t="s">
        <v>1999</v>
      </c>
      <c r="AI121" s="100" t="s">
        <v>682</v>
      </c>
      <c r="AJ121" s="100" t="s">
        <v>682</v>
      </c>
      <c r="AK121" s="100" t="s">
        <v>682</v>
      </c>
    </row>
    <row r="122" spans="1:37">
      <c r="A122" s="100" t="s">
        <v>6642</v>
      </c>
      <c r="B122" s="100" t="s">
        <v>682</v>
      </c>
      <c r="C122" s="100" t="s">
        <v>682</v>
      </c>
      <c r="D122" s="100" t="s">
        <v>682</v>
      </c>
      <c r="E122" s="100" t="s">
        <v>682</v>
      </c>
      <c r="F122" s="100" t="s">
        <v>682</v>
      </c>
      <c r="G122" s="100" t="s">
        <v>682</v>
      </c>
      <c r="H122" s="100" t="s">
        <v>682</v>
      </c>
      <c r="I122" s="100" t="s">
        <v>682</v>
      </c>
      <c r="J122" s="100" t="s">
        <v>6424</v>
      </c>
      <c r="K122" s="100" t="s">
        <v>6643</v>
      </c>
      <c r="L122" s="100" t="s">
        <v>6644</v>
      </c>
      <c r="M122" s="100" t="s">
        <v>682</v>
      </c>
      <c r="N122" s="100" t="s">
        <v>682</v>
      </c>
      <c r="O122" s="100" t="s">
        <v>682</v>
      </c>
      <c r="P122" s="100" t="s">
        <v>682</v>
      </c>
      <c r="Q122" s="100" t="s">
        <v>6645</v>
      </c>
      <c r="R122" s="100" t="s">
        <v>6646</v>
      </c>
      <c r="S122" s="100" t="s">
        <v>6647</v>
      </c>
      <c r="T122" s="100" t="s">
        <v>6648</v>
      </c>
      <c r="U122" s="100" t="s">
        <v>6649</v>
      </c>
      <c r="V122" s="100" t="s">
        <v>6650</v>
      </c>
      <c r="W122" s="100" t="s">
        <v>6651</v>
      </c>
      <c r="X122" s="100" t="s">
        <v>682</v>
      </c>
      <c r="Y122" s="100" t="s">
        <v>682</v>
      </c>
      <c r="Z122" s="100" t="s">
        <v>682</v>
      </c>
      <c r="AA122" s="100" t="s">
        <v>6652</v>
      </c>
      <c r="AB122" s="100" t="s">
        <v>6653</v>
      </c>
      <c r="AC122" s="100" t="s">
        <v>6654</v>
      </c>
      <c r="AD122" s="100" t="s">
        <v>682</v>
      </c>
      <c r="AE122" s="100" t="s">
        <v>682</v>
      </c>
      <c r="AF122" s="100" t="s">
        <v>682</v>
      </c>
      <c r="AG122" s="100" t="s">
        <v>682</v>
      </c>
      <c r="AH122" s="100" t="s">
        <v>682</v>
      </c>
      <c r="AI122" s="100" t="s">
        <v>682</v>
      </c>
      <c r="AJ122" s="100" t="s">
        <v>682</v>
      </c>
      <c r="AK122" s="100" t="s">
        <v>682</v>
      </c>
    </row>
    <row r="123" spans="1:37">
      <c r="A123" s="100" t="s">
        <v>2000</v>
      </c>
      <c r="B123" s="100" t="s">
        <v>2001</v>
      </c>
      <c r="C123" s="100" t="s">
        <v>682</v>
      </c>
      <c r="D123" s="100" t="s">
        <v>951</v>
      </c>
      <c r="E123" s="100" t="s">
        <v>2002</v>
      </c>
      <c r="F123" s="100" t="s">
        <v>179</v>
      </c>
      <c r="G123" s="100" t="s">
        <v>545</v>
      </c>
      <c r="H123" s="100" t="s">
        <v>682</v>
      </c>
      <c r="I123" s="100" t="s">
        <v>4463</v>
      </c>
      <c r="J123" s="100" t="s">
        <v>953</v>
      </c>
      <c r="K123" s="100" t="s">
        <v>2004</v>
      </c>
      <c r="L123" s="100" t="s">
        <v>682</v>
      </c>
      <c r="M123" s="100" t="s">
        <v>682</v>
      </c>
      <c r="N123" s="100" t="s">
        <v>682</v>
      </c>
      <c r="O123" s="100" t="s">
        <v>5387</v>
      </c>
      <c r="P123" s="100" t="s">
        <v>2005</v>
      </c>
      <c r="Q123" s="100" t="s">
        <v>2006</v>
      </c>
      <c r="R123" s="100" t="s">
        <v>5388</v>
      </c>
      <c r="S123" s="100" t="s">
        <v>5389</v>
      </c>
      <c r="T123" s="100" t="s">
        <v>4464</v>
      </c>
      <c r="U123" s="100" t="s">
        <v>2007</v>
      </c>
      <c r="V123" s="100" t="s">
        <v>2008</v>
      </c>
      <c r="W123" s="100" t="s">
        <v>682</v>
      </c>
      <c r="X123" s="100" t="s">
        <v>2009</v>
      </c>
      <c r="Y123" s="100" t="s">
        <v>4465</v>
      </c>
      <c r="Z123" s="100" t="s">
        <v>4466</v>
      </c>
      <c r="AA123" s="100" t="s">
        <v>2010</v>
      </c>
      <c r="AB123" s="100" t="s">
        <v>2011</v>
      </c>
      <c r="AC123" s="100" t="s">
        <v>682</v>
      </c>
      <c r="AD123" s="100" t="s">
        <v>682</v>
      </c>
      <c r="AE123" s="100" t="s">
        <v>43</v>
      </c>
      <c r="AF123" s="100" t="s">
        <v>41</v>
      </c>
      <c r="AG123" s="100" t="s">
        <v>42</v>
      </c>
      <c r="AH123" s="100" t="s">
        <v>2012</v>
      </c>
      <c r="AI123" s="100" t="s">
        <v>682</v>
      </c>
      <c r="AJ123" s="100" t="s">
        <v>682</v>
      </c>
      <c r="AK123" s="100" t="s">
        <v>682</v>
      </c>
    </row>
    <row r="124" spans="1:37">
      <c r="A124" s="100" t="s">
        <v>2013</v>
      </c>
      <c r="B124" s="100" t="s">
        <v>2014</v>
      </c>
      <c r="C124" s="100" t="s">
        <v>682</v>
      </c>
      <c r="D124" s="100" t="s">
        <v>951</v>
      </c>
      <c r="E124" s="100" t="s">
        <v>2015</v>
      </c>
      <c r="F124" s="100" t="s">
        <v>178</v>
      </c>
      <c r="G124" s="100" t="s">
        <v>545</v>
      </c>
      <c r="H124" s="100" t="s">
        <v>682</v>
      </c>
      <c r="I124" s="100" t="s">
        <v>4467</v>
      </c>
      <c r="J124" s="100" t="s">
        <v>1024</v>
      </c>
      <c r="K124" s="100" t="s">
        <v>2017</v>
      </c>
      <c r="L124" s="100" t="s">
        <v>682</v>
      </c>
      <c r="M124" s="100" t="s">
        <v>682</v>
      </c>
      <c r="N124" s="100" t="s">
        <v>682</v>
      </c>
      <c r="O124" s="100" t="s">
        <v>5390</v>
      </c>
      <c r="P124" s="100" t="s">
        <v>3988</v>
      </c>
      <c r="Q124" s="100" t="s">
        <v>2018</v>
      </c>
      <c r="R124" s="100" t="s">
        <v>5391</v>
      </c>
      <c r="S124" s="100" t="s">
        <v>5392</v>
      </c>
      <c r="T124" s="100" t="s">
        <v>4468</v>
      </c>
      <c r="U124" s="100" t="s">
        <v>2019</v>
      </c>
      <c r="V124" s="100" t="s">
        <v>2020</v>
      </c>
      <c r="W124" s="100" t="s">
        <v>682</v>
      </c>
      <c r="X124" s="100" t="s">
        <v>2021</v>
      </c>
      <c r="Y124" s="100" t="s">
        <v>4469</v>
      </c>
      <c r="Z124" s="100" t="s">
        <v>4470</v>
      </c>
      <c r="AA124" s="100" t="s">
        <v>2022</v>
      </c>
      <c r="AB124" s="100" t="s">
        <v>2023</v>
      </c>
      <c r="AC124" s="100" t="s">
        <v>682</v>
      </c>
      <c r="AD124" s="100" t="s">
        <v>682</v>
      </c>
      <c r="AE124" s="100" t="s">
        <v>43</v>
      </c>
      <c r="AF124" s="100" t="s">
        <v>41</v>
      </c>
      <c r="AG124" s="100" t="s">
        <v>42</v>
      </c>
      <c r="AH124" s="100" t="s">
        <v>2024</v>
      </c>
      <c r="AI124" s="100" t="s">
        <v>682</v>
      </c>
      <c r="AJ124" s="100" t="s">
        <v>682</v>
      </c>
      <c r="AK124" s="100" t="s">
        <v>682</v>
      </c>
    </row>
    <row r="125" spans="1:37">
      <c r="A125" s="100" t="s">
        <v>2025</v>
      </c>
      <c r="B125" s="100" t="s">
        <v>2026</v>
      </c>
      <c r="C125" s="100" t="s">
        <v>682</v>
      </c>
      <c r="D125" s="100" t="s">
        <v>1138</v>
      </c>
      <c r="E125" s="100" t="s">
        <v>2027</v>
      </c>
      <c r="F125" s="100" t="s">
        <v>222</v>
      </c>
      <c r="G125" s="100" t="s">
        <v>397</v>
      </c>
      <c r="H125" s="100" t="s">
        <v>682</v>
      </c>
      <c r="I125" s="100" t="s">
        <v>4471</v>
      </c>
      <c r="J125" s="100" t="s">
        <v>1473</v>
      </c>
      <c r="K125" s="100" t="s">
        <v>2029</v>
      </c>
      <c r="L125" s="100" t="s">
        <v>682</v>
      </c>
      <c r="M125" s="100" t="s">
        <v>682</v>
      </c>
      <c r="N125" s="100" t="s">
        <v>682</v>
      </c>
      <c r="O125" s="100" t="s">
        <v>5393</v>
      </c>
      <c r="P125" s="100" t="s">
        <v>3989</v>
      </c>
      <c r="Q125" s="100" t="s">
        <v>2030</v>
      </c>
      <c r="R125" s="100" t="s">
        <v>5394</v>
      </c>
      <c r="S125" s="100" t="s">
        <v>5395</v>
      </c>
      <c r="T125" s="100" t="s">
        <v>4472</v>
      </c>
      <c r="U125" s="100" t="s">
        <v>2031</v>
      </c>
      <c r="V125" s="100" t="s">
        <v>2032</v>
      </c>
      <c r="W125" s="100" t="s">
        <v>682</v>
      </c>
      <c r="X125" s="100" t="s">
        <v>2033</v>
      </c>
      <c r="Y125" s="100" t="s">
        <v>4473</v>
      </c>
      <c r="Z125" s="100" t="s">
        <v>4474</v>
      </c>
      <c r="AA125" s="100" t="s">
        <v>2034</v>
      </c>
      <c r="AB125" s="100" t="s">
        <v>2035</v>
      </c>
      <c r="AC125" s="100" t="s">
        <v>682</v>
      </c>
      <c r="AD125" s="100" t="s">
        <v>682</v>
      </c>
      <c r="AE125" s="100" t="s">
        <v>43</v>
      </c>
      <c r="AF125" s="100" t="s">
        <v>41</v>
      </c>
      <c r="AG125" s="100" t="s">
        <v>63</v>
      </c>
      <c r="AH125" s="100" t="s">
        <v>2036</v>
      </c>
      <c r="AI125" s="100" t="s">
        <v>682</v>
      </c>
      <c r="AJ125" s="100" t="s">
        <v>682</v>
      </c>
      <c r="AK125" s="100" t="s">
        <v>682</v>
      </c>
    </row>
    <row r="126" spans="1:37">
      <c r="A126" s="100" t="s">
        <v>2037</v>
      </c>
      <c r="B126" s="100" t="s">
        <v>2038</v>
      </c>
      <c r="C126" s="100" t="s">
        <v>682</v>
      </c>
      <c r="D126" s="100" t="s">
        <v>1138</v>
      </c>
      <c r="E126" s="100" t="s">
        <v>2039</v>
      </c>
      <c r="F126" s="100" t="s">
        <v>222</v>
      </c>
      <c r="G126" s="100" t="s">
        <v>393</v>
      </c>
      <c r="H126" s="100" t="s">
        <v>682</v>
      </c>
      <c r="I126" s="100" t="s">
        <v>4475</v>
      </c>
      <c r="J126" s="100" t="s">
        <v>1498</v>
      </c>
      <c r="K126" s="100" t="s">
        <v>2041</v>
      </c>
      <c r="L126" s="100" t="s">
        <v>682</v>
      </c>
      <c r="M126" s="100" t="s">
        <v>682</v>
      </c>
      <c r="N126" s="100" t="s">
        <v>682</v>
      </c>
      <c r="O126" s="100" t="s">
        <v>5396</v>
      </c>
      <c r="P126" s="100" t="s">
        <v>3990</v>
      </c>
      <c r="Q126" s="100" t="s">
        <v>2042</v>
      </c>
      <c r="R126" s="100" t="s">
        <v>5397</v>
      </c>
      <c r="S126" s="100" t="s">
        <v>5398</v>
      </c>
      <c r="T126" s="100" t="s">
        <v>4476</v>
      </c>
      <c r="U126" s="100" t="s">
        <v>2043</v>
      </c>
      <c r="V126" s="100" t="s">
        <v>2044</v>
      </c>
      <c r="W126" s="100" t="s">
        <v>682</v>
      </c>
      <c r="X126" s="100" t="s">
        <v>2045</v>
      </c>
      <c r="Y126" s="100" t="s">
        <v>4477</v>
      </c>
      <c r="Z126" s="100" t="s">
        <v>4478</v>
      </c>
      <c r="AA126" s="100" t="s">
        <v>2046</v>
      </c>
      <c r="AB126" s="100" t="s">
        <v>2047</v>
      </c>
      <c r="AC126" s="100" t="s">
        <v>682</v>
      </c>
      <c r="AD126" s="100" t="s">
        <v>682</v>
      </c>
      <c r="AE126" s="100" t="s">
        <v>43</v>
      </c>
      <c r="AF126" s="100" t="s">
        <v>41</v>
      </c>
      <c r="AG126" s="100" t="s">
        <v>63</v>
      </c>
      <c r="AH126" s="100" t="s">
        <v>2048</v>
      </c>
      <c r="AI126" s="100" t="s">
        <v>682</v>
      </c>
      <c r="AJ126" s="100" t="s">
        <v>682</v>
      </c>
      <c r="AK126" s="100" t="s">
        <v>682</v>
      </c>
    </row>
    <row r="127" spans="1:37">
      <c r="A127" s="100" t="s">
        <v>2049</v>
      </c>
      <c r="B127" s="100" t="s">
        <v>2050</v>
      </c>
      <c r="C127" s="100" t="s">
        <v>682</v>
      </c>
      <c r="D127" s="100" t="s">
        <v>1138</v>
      </c>
      <c r="E127" s="100" t="s">
        <v>2051</v>
      </c>
      <c r="F127" s="100" t="s">
        <v>222</v>
      </c>
      <c r="G127" s="100" t="s">
        <v>651</v>
      </c>
      <c r="H127" s="100" t="s">
        <v>682</v>
      </c>
      <c r="I127" s="100" t="s">
        <v>4479</v>
      </c>
      <c r="J127" s="100" t="s">
        <v>953</v>
      </c>
      <c r="K127" s="100" t="s">
        <v>2052</v>
      </c>
      <c r="L127" s="100" t="s">
        <v>682</v>
      </c>
      <c r="M127" s="100" t="s">
        <v>682</v>
      </c>
      <c r="N127" s="100" t="s">
        <v>682</v>
      </c>
      <c r="O127" s="100" t="s">
        <v>5399</v>
      </c>
      <c r="P127" s="100" t="s">
        <v>3991</v>
      </c>
      <c r="Q127" s="100" t="s">
        <v>2053</v>
      </c>
      <c r="R127" s="100" t="s">
        <v>5400</v>
      </c>
      <c r="S127" s="100" t="s">
        <v>5401</v>
      </c>
      <c r="T127" s="100" t="s">
        <v>4480</v>
      </c>
      <c r="U127" s="100" t="s">
        <v>2054</v>
      </c>
      <c r="V127" s="100" t="s">
        <v>2055</v>
      </c>
      <c r="W127" s="100" t="s">
        <v>682</v>
      </c>
      <c r="X127" s="100" t="s">
        <v>2056</v>
      </c>
      <c r="Y127" s="100" t="s">
        <v>4481</v>
      </c>
      <c r="Z127" s="100" t="s">
        <v>4482</v>
      </c>
      <c r="AA127" s="100" t="s">
        <v>2057</v>
      </c>
      <c r="AB127" s="100" t="s">
        <v>2058</v>
      </c>
      <c r="AC127" s="100" t="s">
        <v>682</v>
      </c>
      <c r="AD127" s="100" t="s">
        <v>682</v>
      </c>
      <c r="AE127" s="100" t="s">
        <v>43</v>
      </c>
      <c r="AF127" s="100" t="s">
        <v>41</v>
      </c>
      <c r="AG127" s="100" t="s">
        <v>63</v>
      </c>
      <c r="AH127" s="100" t="s">
        <v>2059</v>
      </c>
      <c r="AI127" s="100" t="s">
        <v>682</v>
      </c>
      <c r="AJ127" s="100" t="s">
        <v>682</v>
      </c>
      <c r="AK127" s="100" t="s">
        <v>682</v>
      </c>
    </row>
    <row r="128" spans="1:37">
      <c r="A128" s="100" t="s">
        <v>2060</v>
      </c>
      <c r="B128" s="100" t="s">
        <v>2061</v>
      </c>
      <c r="C128" s="100" t="s">
        <v>682</v>
      </c>
      <c r="D128" s="100" t="s">
        <v>951</v>
      </c>
      <c r="E128" s="100" t="s">
        <v>2062</v>
      </c>
      <c r="F128" s="100" t="s">
        <v>175</v>
      </c>
      <c r="G128" s="100" t="s">
        <v>431</v>
      </c>
      <c r="H128" s="100" t="s">
        <v>682</v>
      </c>
      <c r="I128" s="100" t="s">
        <v>4483</v>
      </c>
      <c r="J128" s="100" t="s">
        <v>1498</v>
      </c>
      <c r="K128" s="100" t="s">
        <v>2064</v>
      </c>
      <c r="L128" s="100" t="s">
        <v>682</v>
      </c>
      <c r="M128" s="100" t="s">
        <v>682</v>
      </c>
      <c r="N128" s="100" t="s">
        <v>682</v>
      </c>
      <c r="O128" s="100" t="s">
        <v>5402</v>
      </c>
      <c r="P128" s="100" t="s">
        <v>3992</v>
      </c>
      <c r="Q128" s="100" t="s">
        <v>2065</v>
      </c>
      <c r="R128" s="100" t="s">
        <v>5403</v>
      </c>
      <c r="S128" s="100" t="s">
        <v>5404</v>
      </c>
      <c r="T128" s="100" t="s">
        <v>4484</v>
      </c>
      <c r="U128" s="100" t="s">
        <v>2066</v>
      </c>
      <c r="V128" s="100" t="s">
        <v>2067</v>
      </c>
      <c r="W128" s="100" t="s">
        <v>682</v>
      </c>
      <c r="X128" s="100" t="s">
        <v>2068</v>
      </c>
      <c r="Y128" s="100" t="s">
        <v>4485</v>
      </c>
      <c r="Z128" s="100" t="s">
        <v>4486</v>
      </c>
      <c r="AA128" s="100" t="s">
        <v>2069</v>
      </c>
      <c r="AB128" s="100" t="s">
        <v>2070</v>
      </c>
      <c r="AC128" s="100" t="s">
        <v>682</v>
      </c>
      <c r="AD128" s="100" t="s">
        <v>682</v>
      </c>
      <c r="AE128" s="100" t="s">
        <v>43</v>
      </c>
      <c r="AF128" s="100" t="s">
        <v>41</v>
      </c>
      <c r="AG128" s="100" t="s">
        <v>42</v>
      </c>
      <c r="AH128" s="100" t="s">
        <v>2071</v>
      </c>
      <c r="AI128" s="100" t="s">
        <v>682</v>
      </c>
      <c r="AJ128" s="100" t="s">
        <v>682</v>
      </c>
      <c r="AK128" s="100" t="s">
        <v>682</v>
      </c>
    </row>
    <row r="129" spans="1:37">
      <c r="A129" s="100" t="s">
        <v>6655</v>
      </c>
      <c r="B129" s="100" t="s">
        <v>6656</v>
      </c>
      <c r="C129" s="100" t="s">
        <v>682</v>
      </c>
      <c r="D129" s="100" t="s">
        <v>71</v>
      </c>
      <c r="E129" s="100" t="s">
        <v>6657</v>
      </c>
      <c r="F129" s="100" t="s">
        <v>174</v>
      </c>
      <c r="G129" s="100" t="s">
        <v>434</v>
      </c>
      <c r="H129" s="100" t="s">
        <v>682</v>
      </c>
      <c r="I129" s="100" t="s">
        <v>6658</v>
      </c>
      <c r="J129" s="100" t="s">
        <v>1860</v>
      </c>
      <c r="K129" s="100" t="s">
        <v>2072</v>
      </c>
      <c r="L129" s="100" t="s">
        <v>682</v>
      </c>
      <c r="M129" s="100" t="s">
        <v>682</v>
      </c>
      <c r="N129" s="100" t="s">
        <v>682</v>
      </c>
      <c r="O129" s="100" t="s">
        <v>6659</v>
      </c>
      <c r="P129" s="100" t="s">
        <v>6660</v>
      </c>
      <c r="Q129" s="100" t="s">
        <v>6661</v>
      </c>
      <c r="R129" s="100" t="s">
        <v>6662</v>
      </c>
      <c r="S129" s="100" t="s">
        <v>6663</v>
      </c>
      <c r="T129" s="100" t="s">
        <v>6664</v>
      </c>
      <c r="U129" s="100" t="s">
        <v>6665</v>
      </c>
      <c r="V129" s="100" t="s">
        <v>6666</v>
      </c>
      <c r="W129" s="100" t="s">
        <v>682</v>
      </c>
      <c r="X129" s="100" t="s">
        <v>6667</v>
      </c>
      <c r="Y129" s="100" t="s">
        <v>6668</v>
      </c>
      <c r="Z129" s="100" t="s">
        <v>6669</v>
      </c>
      <c r="AA129" s="100" t="s">
        <v>6670</v>
      </c>
      <c r="AB129" s="100" t="s">
        <v>6671</v>
      </c>
      <c r="AC129" s="100" t="s">
        <v>682</v>
      </c>
      <c r="AD129" s="100" t="s">
        <v>682</v>
      </c>
      <c r="AE129" s="100" t="s">
        <v>54</v>
      </c>
      <c r="AF129" s="100" t="s">
        <v>682</v>
      </c>
      <c r="AG129" s="100" t="s">
        <v>682</v>
      </c>
      <c r="AH129" s="100" t="s">
        <v>2073</v>
      </c>
      <c r="AI129" s="100" t="s">
        <v>682</v>
      </c>
      <c r="AJ129" s="100" t="s">
        <v>682</v>
      </c>
      <c r="AK129" s="100" t="s">
        <v>682</v>
      </c>
    </row>
    <row r="130" spans="1:37">
      <c r="A130" s="100" t="s">
        <v>2074</v>
      </c>
      <c r="B130" s="100" t="s">
        <v>2075</v>
      </c>
      <c r="C130" s="100" t="s">
        <v>682</v>
      </c>
      <c r="D130" s="100" t="s">
        <v>71</v>
      </c>
      <c r="E130" s="100" t="s">
        <v>2076</v>
      </c>
      <c r="F130" s="100" t="s">
        <v>174</v>
      </c>
      <c r="G130" s="100" t="s">
        <v>435</v>
      </c>
      <c r="H130" s="100" t="s">
        <v>682</v>
      </c>
      <c r="I130" s="100" t="s">
        <v>4487</v>
      </c>
      <c r="J130" s="100" t="s">
        <v>1860</v>
      </c>
      <c r="K130" s="100" t="s">
        <v>2078</v>
      </c>
      <c r="L130" s="100" t="s">
        <v>682</v>
      </c>
      <c r="M130" s="100" t="s">
        <v>682</v>
      </c>
      <c r="N130" s="100" t="s">
        <v>682</v>
      </c>
      <c r="O130" s="100" t="s">
        <v>5405</v>
      </c>
      <c r="P130" s="100" t="s">
        <v>3993</v>
      </c>
      <c r="Q130" s="100" t="s">
        <v>2079</v>
      </c>
      <c r="R130" s="100" t="s">
        <v>5406</v>
      </c>
      <c r="S130" s="100" t="s">
        <v>5407</v>
      </c>
      <c r="T130" s="100" t="s">
        <v>4488</v>
      </c>
      <c r="U130" s="100" t="s">
        <v>2080</v>
      </c>
      <c r="V130" s="100" t="s">
        <v>2081</v>
      </c>
      <c r="W130" s="100" t="s">
        <v>682</v>
      </c>
      <c r="X130" s="100" t="s">
        <v>2082</v>
      </c>
      <c r="Y130" s="100" t="s">
        <v>4489</v>
      </c>
      <c r="Z130" s="100" t="s">
        <v>4490</v>
      </c>
      <c r="AA130" s="100" t="s">
        <v>2083</v>
      </c>
      <c r="AB130" s="100" t="s">
        <v>2084</v>
      </c>
      <c r="AC130" s="100" t="s">
        <v>682</v>
      </c>
      <c r="AD130" s="100" t="s">
        <v>682</v>
      </c>
      <c r="AE130" s="100" t="s">
        <v>54</v>
      </c>
      <c r="AF130" s="100" t="s">
        <v>682</v>
      </c>
      <c r="AG130" s="100" t="s">
        <v>682</v>
      </c>
      <c r="AH130" s="100" t="s">
        <v>2085</v>
      </c>
      <c r="AI130" s="100" t="s">
        <v>682</v>
      </c>
      <c r="AJ130" s="100" t="s">
        <v>682</v>
      </c>
      <c r="AK130" s="100" t="s">
        <v>682</v>
      </c>
    </row>
    <row r="131" spans="1:37">
      <c r="A131" s="100" t="s">
        <v>2086</v>
      </c>
      <c r="B131" s="100" t="s">
        <v>2087</v>
      </c>
      <c r="C131" s="100" t="s">
        <v>682</v>
      </c>
      <c r="D131" s="100" t="s">
        <v>71</v>
      </c>
      <c r="E131" s="100" t="s">
        <v>2088</v>
      </c>
      <c r="F131" s="100" t="s">
        <v>174</v>
      </c>
      <c r="G131" s="100" t="s">
        <v>436</v>
      </c>
      <c r="H131" s="100" t="s">
        <v>682</v>
      </c>
      <c r="I131" s="100" t="s">
        <v>4491</v>
      </c>
      <c r="J131" s="100" t="s">
        <v>1860</v>
      </c>
      <c r="K131" s="100" t="s">
        <v>2089</v>
      </c>
      <c r="L131" s="100" t="s">
        <v>682</v>
      </c>
      <c r="M131" s="100" t="s">
        <v>682</v>
      </c>
      <c r="N131" s="100" t="s">
        <v>682</v>
      </c>
      <c r="O131" s="100" t="s">
        <v>5408</v>
      </c>
      <c r="P131" s="100" t="s">
        <v>3994</v>
      </c>
      <c r="Q131" s="100" t="s">
        <v>2090</v>
      </c>
      <c r="R131" s="100" t="s">
        <v>5409</v>
      </c>
      <c r="S131" s="100" t="s">
        <v>5410</v>
      </c>
      <c r="T131" s="100" t="s">
        <v>4492</v>
      </c>
      <c r="U131" s="100" t="s">
        <v>2091</v>
      </c>
      <c r="V131" s="100" t="s">
        <v>2092</v>
      </c>
      <c r="W131" s="100" t="s">
        <v>682</v>
      </c>
      <c r="X131" s="100" t="s">
        <v>2093</v>
      </c>
      <c r="Y131" s="100" t="s">
        <v>4493</v>
      </c>
      <c r="Z131" s="100" t="s">
        <v>4494</v>
      </c>
      <c r="AA131" s="100" t="s">
        <v>2094</v>
      </c>
      <c r="AB131" s="100" t="s">
        <v>2095</v>
      </c>
      <c r="AC131" s="100" t="s">
        <v>682</v>
      </c>
      <c r="AD131" s="100" t="s">
        <v>682</v>
      </c>
      <c r="AE131" s="100" t="s">
        <v>54</v>
      </c>
      <c r="AF131" s="100" t="s">
        <v>682</v>
      </c>
      <c r="AG131" s="100" t="s">
        <v>682</v>
      </c>
      <c r="AH131" s="100" t="s">
        <v>2096</v>
      </c>
      <c r="AI131" s="100" t="s">
        <v>682</v>
      </c>
      <c r="AJ131" s="100" t="s">
        <v>682</v>
      </c>
      <c r="AK131" s="100" t="s">
        <v>682</v>
      </c>
    </row>
    <row r="132" spans="1:37">
      <c r="A132" s="100" t="s">
        <v>2097</v>
      </c>
      <c r="B132" s="100" t="s">
        <v>2098</v>
      </c>
      <c r="C132" s="100" t="s">
        <v>682</v>
      </c>
      <c r="D132" s="100" t="s">
        <v>77</v>
      </c>
      <c r="E132" s="100" t="s">
        <v>2099</v>
      </c>
      <c r="F132" s="100" t="s">
        <v>236</v>
      </c>
      <c r="G132" s="100" t="s">
        <v>437</v>
      </c>
      <c r="H132" s="100" t="s">
        <v>2077</v>
      </c>
      <c r="I132" s="100" t="s">
        <v>4495</v>
      </c>
      <c r="J132" s="100" t="s">
        <v>1498</v>
      </c>
      <c r="K132" s="100" t="s">
        <v>2101</v>
      </c>
      <c r="L132" s="100" t="s">
        <v>682</v>
      </c>
      <c r="M132" s="100" t="s">
        <v>682</v>
      </c>
      <c r="N132" s="100" t="s">
        <v>682</v>
      </c>
      <c r="O132" s="100" t="s">
        <v>5411</v>
      </c>
      <c r="P132" s="100" t="s">
        <v>3995</v>
      </c>
      <c r="Q132" s="100" t="s">
        <v>2102</v>
      </c>
      <c r="R132" s="100" t="s">
        <v>5412</v>
      </c>
      <c r="S132" s="100" t="s">
        <v>5413</v>
      </c>
      <c r="T132" s="100" t="s">
        <v>4496</v>
      </c>
      <c r="U132" s="100" t="s">
        <v>2103</v>
      </c>
      <c r="V132" s="100" t="s">
        <v>2104</v>
      </c>
      <c r="W132" s="100" t="s">
        <v>682</v>
      </c>
      <c r="X132" s="100" t="s">
        <v>2105</v>
      </c>
      <c r="Y132" s="100" t="s">
        <v>4497</v>
      </c>
      <c r="Z132" s="100" t="s">
        <v>4498</v>
      </c>
      <c r="AA132" s="100" t="s">
        <v>2106</v>
      </c>
      <c r="AB132" s="100" t="s">
        <v>2107</v>
      </c>
      <c r="AC132" s="100" t="s">
        <v>682</v>
      </c>
      <c r="AD132" s="100" t="s">
        <v>682</v>
      </c>
      <c r="AE132" s="100" t="s">
        <v>43</v>
      </c>
      <c r="AF132" s="100" t="s">
        <v>46</v>
      </c>
      <c r="AG132" s="100" t="s">
        <v>63</v>
      </c>
      <c r="AH132" s="100" t="s">
        <v>2108</v>
      </c>
      <c r="AI132" s="100" t="s">
        <v>682</v>
      </c>
      <c r="AJ132" s="100" t="s">
        <v>682</v>
      </c>
      <c r="AK132" s="100" t="s">
        <v>682</v>
      </c>
    </row>
    <row r="133" spans="1:37">
      <c r="A133" s="100" t="s">
        <v>2109</v>
      </c>
      <c r="B133" s="100" t="s">
        <v>2110</v>
      </c>
      <c r="C133" s="100" t="s">
        <v>682</v>
      </c>
      <c r="D133" s="100" t="s">
        <v>2619</v>
      </c>
      <c r="E133" s="100" t="s">
        <v>2111</v>
      </c>
      <c r="F133" s="100" t="s">
        <v>226</v>
      </c>
      <c r="G133" s="100" t="s">
        <v>363</v>
      </c>
      <c r="H133" s="100" t="s">
        <v>682</v>
      </c>
      <c r="I133" s="100" t="s">
        <v>4499</v>
      </c>
      <c r="J133" s="100" t="s">
        <v>2826</v>
      </c>
      <c r="K133" s="100" t="s">
        <v>2113</v>
      </c>
      <c r="L133" s="100" t="s">
        <v>682</v>
      </c>
      <c r="M133" s="100" t="s">
        <v>682</v>
      </c>
      <c r="N133" s="100" t="s">
        <v>682</v>
      </c>
      <c r="O133" s="100" t="s">
        <v>5414</v>
      </c>
      <c r="P133" s="100" t="s">
        <v>3996</v>
      </c>
      <c r="Q133" s="100" t="s">
        <v>2114</v>
      </c>
      <c r="R133" s="100" t="s">
        <v>5415</v>
      </c>
      <c r="S133" s="100" t="s">
        <v>5416</v>
      </c>
      <c r="T133" s="100" t="s">
        <v>4500</v>
      </c>
      <c r="U133" s="100" t="s">
        <v>2115</v>
      </c>
      <c r="V133" s="100" t="s">
        <v>2116</v>
      </c>
      <c r="W133" s="100" t="s">
        <v>682</v>
      </c>
      <c r="X133" s="100" t="s">
        <v>2117</v>
      </c>
      <c r="Y133" s="100" t="s">
        <v>4501</v>
      </c>
      <c r="Z133" s="100" t="s">
        <v>4502</v>
      </c>
      <c r="AA133" s="100" t="s">
        <v>2118</v>
      </c>
      <c r="AB133" s="100" t="s">
        <v>2119</v>
      </c>
      <c r="AC133" s="100" t="s">
        <v>682</v>
      </c>
      <c r="AD133" s="100" t="s">
        <v>682</v>
      </c>
      <c r="AE133" s="100" t="s">
        <v>43</v>
      </c>
      <c r="AF133" s="100" t="s">
        <v>46</v>
      </c>
      <c r="AG133" s="100" t="s">
        <v>42</v>
      </c>
      <c r="AH133" s="100" t="s">
        <v>2120</v>
      </c>
      <c r="AI133" s="100" t="s">
        <v>682</v>
      </c>
      <c r="AJ133" s="100" t="s">
        <v>682</v>
      </c>
      <c r="AK133" s="100" t="s">
        <v>682</v>
      </c>
    </row>
    <row r="134" spans="1:37">
      <c r="A134" s="100" t="s">
        <v>2121</v>
      </c>
      <c r="B134" s="100" t="s">
        <v>2122</v>
      </c>
      <c r="C134" s="100" t="s">
        <v>682</v>
      </c>
      <c r="D134" s="100" t="s">
        <v>2619</v>
      </c>
      <c r="E134" s="100" t="s">
        <v>2123</v>
      </c>
      <c r="F134" s="100" t="s">
        <v>226</v>
      </c>
      <c r="G134" s="100" t="s">
        <v>367</v>
      </c>
      <c r="H134" s="100" t="s">
        <v>682</v>
      </c>
      <c r="I134" s="100" t="s">
        <v>4503</v>
      </c>
      <c r="J134" s="100" t="s">
        <v>1860</v>
      </c>
      <c r="K134" s="100" t="s">
        <v>2124</v>
      </c>
      <c r="L134" s="100" t="s">
        <v>682</v>
      </c>
      <c r="M134" s="100" t="s">
        <v>682</v>
      </c>
      <c r="N134" s="100" t="s">
        <v>682</v>
      </c>
      <c r="O134" s="100" t="s">
        <v>5417</v>
      </c>
      <c r="P134" s="100" t="s">
        <v>3997</v>
      </c>
      <c r="Q134" s="100" t="s">
        <v>2125</v>
      </c>
      <c r="R134" s="100" t="s">
        <v>5418</v>
      </c>
      <c r="S134" s="100" t="s">
        <v>5419</v>
      </c>
      <c r="T134" s="100" t="s">
        <v>4504</v>
      </c>
      <c r="U134" s="100" t="s">
        <v>2126</v>
      </c>
      <c r="V134" s="100" t="s">
        <v>2127</v>
      </c>
      <c r="W134" s="100" t="s">
        <v>682</v>
      </c>
      <c r="X134" s="100" t="s">
        <v>2128</v>
      </c>
      <c r="Y134" s="100" t="s">
        <v>4505</v>
      </c>
      <c r="Z134" s="100" t="s">
        <v>4506</v>
      </c>
      <c r="AA134" s="100" t="s">
        <v>2129</v>
      </c>
      <c r="AB134" s="100" t="s">
        <v>2130</v>
      </c>
      <c r="AC134" s="100" t="s">
        <v>682</v>
      </c>
      <c r="AD134" s="100" t="s">
        <v>682</v>
      </c>
      <c r="AE134" s="100" t="s">
        <v>43</v>
      </c>
      <c r="AF134" s="100" t="s">
        <v>46</v>
      </c>
      <c r="AG134" s="100" t="s">
        <v>42</v>
      </c>
      <c r="AH134" s="100" t="s">
        <v>2131</v>
      </c>
      <c r="AI134" s="100" t="s">
        <v>682</v>
      </c>
      <c r="AJ134" s="100" t="s">
        <v>682</v>
      </c>
      <c r="AK134" s="100" t="s">
        <v>682</v>
      </c>
    </row>
    <row r="135" spans="1:37">
      <c r="A135" s="100" t="s">
        <v>2132</v>
      </c>
      <c r="B135" s="100" t="s">
        <v>2133</v>
      </c>
      <c r="C135" s="100" t="s">
        <v>682</v>
      </c>
      <c r="D135" s="100" t="s">
        <v>2619</v>
      </c>
      <c r="E135" s="100" t="s">
        <v>2134</v>
      </c>
      <c r="F135" s="100" t="s">
        <v>231</v>
      </c>
      <c r="G135" s="100" t="s">
        <v>363</v>
      </c>
      <c r="H135" s="100" t="s">
        <v>682</v>
      </c>
      <c r="I135" s="100" t="s">
        <v>4507</v>
      </c>
      <c r="J135" s="100" t="s">
        <v>1024</v>
      </c>
      <c r="K135" s="100" t="s">
        <v>2135</v>
      </c>
      <c r="L135" s="100" t="s">
        <v>682</v>
      </c>
      <c r="M135" s="100" t="s">
        <v>682</v>
      </c>
      <c r="N135" s="100" t="s">
        <v>682</v>
      </c>
      <c r="O135" s="100" t="s">
        <v>5420</v>
      </c>
      <c r="P135" s="100" t="s">
        <v>3998</v>
      </c>
      <c r="Q135" s="100" t="s">
        <v>2136</v>
      </c>
      <c r="R135" s="100" t="s">
        <v>5421</v>
      </c>
      <c r="S135" s="100" t="s">
        <v>5422</v>
      </c>
      <c r="T135" s="100" t="s">
        <v>4508</v>
      </c>
      <c r="U135" s="100" t="s">
        <v>2137</v>
      </c>
      <c r="V135" s="100" t="s">
        <v>2138</v>
      </c>
      <c r="W135" s="100" t="s">
        <v>682</v>
      </c>
      <c r="X135" s="100" t="s">
        <v>2139</v>
      </c>
      <c r="Y135" s="100" t="s">
        <v>4509</v>
      </c>
      <c r="Z135" s="100" t="s">
        <v>4510</v>
      </c>
      <c r="AA135" s="100" t="s">
        <v>2140</v>
      </c>
      <c r="AB135" s="100" t="s">
        <v>2141</v>
      </c>
      <c r="AC135" s="100" t="s">
        <v>682</v>
      </c>
      <c r="AD135" s="100" t="s">
        <v>682</v>
      </c>
      <c r="AE135" s="100" t="s">
        <v>43</v>
      </c>
      <c r="AF135" s="100" t="s">
        <v>46</v>
      </c>
      <c r="AG135" s="100" t="s">
        <v>42</v>
      </c>
      <c r="AH135" s="100" t="s">
        <v>2142</v>
      </c>
      <c r="AI135" s="100" t="s">
        <v>682</v>
      </c>
      <c r="AJ135" s="100" t="s">
        <v>682</v>
      </c>
      <c r="AK135" s="100" t="s">
        <v>682</v>
      </c>
    </row>
    <row r="136" spans="1:37">
      <c r="A136" s="100" t="s">
        <v>6672</v>
      </c>
      <c r="B136" s="100" t="s">
        <v>6673</v>
      </c>
      <c r="C136" s="100" t="s">
        <v>682</v>
      </c>
      <c r="D136" s="100" t="s">
        <v>97</v>
      </c>
      <c r="E136" s="100" t="s">
        <v>6674</v>
      </c>
      <c r="F136" s="100" t="s">
        <v>247</v>
      </c>
      <c r="G136" s="100" t="s">
        <v>260</v>
      </c>
      <c r="H136" s="100" t="s">
        <v>682</v>
      </c>
      <c r="I136" s="100" t="s">
        <v>6675</v>
      </c>
      <c r="J136" s="100" t="s">
        <v>2826</v>
      </c>
      <c r="K136" s="100" t="s">
        <v>2143</v>
      </c>
      <c r="L136" s="100" t="s">
        <v>682</v>
      </c>
      <c r="M136" s="100" t="s">
        <v>682</v>
      </c>
      <c r="N136" s="100" t="s">
        <v>682</v>
      </c>
      <c r="O136" s="100" t="s">
        <v>6676</v>
      </c>
      <c r="P136" s="100" t="s">
        <v>6677</v>
      </c>
      <c r="Q136" s="100" t="s">
        <v>6678</v>
      </c>
      <c r="R136" s="100" t="s">
        <v>6679</v>
      </c>
      <c r="S136" s="100" t="s">
        <v>6680</v>
      </c>
      <c r="T136" s="100" t="s">
        <v>6681</v>
      </c>
      <c r="U136" s="100" t="s">
        <v>6682</v>
      </c>
      <c r="V136" s="100" t="s">
        <v>6683</v>
      </c>
      <c r="W136" s="100" t="s">
        <v>682</v>
      </c>
      <c r="X136" s="100" t="s">
        <v>6684</v>
      </c>
      <c r="Y136" s="100" t="s">
        <v>6685</v>
      </c>
      <c r="Z136" s="100" t="s">
        <v>6686</v>
      </c>
      <c r="AA136" s="100" t="s">
        <v>6687</v>
      </c>
      <c r="AB136" s="100" t="s">
        <v>6688</v>
      </c>
      <c r="AC136" s="100" t="s">
        <v>682</v>
      </c>
      <c r="AD136" s="100" t="s">
        <v>682</v>
      </c>
      <c r="AE136" s="100" t="s">
        <v>43</v>
      </c>
      <c r="AF136" s="100" t="s">
        <v>41</v>
      </c>
      <c r="AG136" s="100" t="s">
        <v>42</v>
      </c>
      <c r="AH136" s="100" t="s">
        <v>2144</v>
      </c>
      <c r="AI136" s="100" t="s">
        <v>682</v>
      </c>
      <c r="AJ136" s="100" t="s">
        <v>682</v>
      </c>
      <c r="AK136" s="100" t="s">
        <v>682</v>
      </c>
    </row>
    <row r="137" spans="1:37">
      <c r="A137" s="100" t="s">
        <v>2145</v>
      </c>
      <c r="B137" s="100" t="s">
        <v>2146</v>
      </c>
      <c r="C137" s="100" t="s">
        <v>682</v>
      </c>
      <c r="D137" s="100" t="s">
        <v>97</v>
      </c>
      <c r="E137" s="100" t="s">
        <v>2147</v>
      </c>
      <c r="F137" s="100" t="s">
        <v>247</v>
      </c>
      <c r="G137" s="100" t="s">
        <v>263</v>
      </c>
      <c r="H137" s="100" t="s">
        <v>682</v>
      </c>
      <c r="I137" s="100" t="s">
        <v>4511</v>
      </c>
      <c r="J137" s="100" t="s">
        <v>2826</v>
      </c>
      <c r="K137" s="100" t="s">
        <v>2148</v>
      </c>
      <c r="L137" s="100" t="s">
        <v>682</v>
      </c>
      <c r="M137" s="100" t="s">
        <v>682</v>
      </c>
      <c r="N137" s="100" t="s">
        <v>682</v>
      </c>
      <c r="O137" s="100" t="s">
        <v>5423</v>
      </c>
      <c r="P137" s="100" t="s">
        <v>3999</v>
      </c>
      <c r="Q137" s="100" t="s">
        <v>2149</v>
      </c>
      <c r="R137" s="100" t="s">
        <v>5424</v>
      </c>
      <c r="S137" s="100" t="s">
        <v>5425</v>
      </c>
      <c r="T137" s="100" t="s">
        <v>4512</v>
      </c>
      <c r="U137" s="100" t="s">
        <v>2150</v>
      </c>
      <c r="V137" s="100" t="s">
        <v>2151</v>
      </c>
      <c r="W137" s="100" t="s">
        <v>682</v>
      </c>
      <c r="X137" s="100" t="s">
        <v>2152</v>
      </c>
      <c r="Y137" s="100" t="s">
        <v>4513</v>
      </c>
      <c r="Z137" s="100" t="s">
        <v>4514</v>
      </c>
      <c r="AA137" s="100" t="s">
        <v>2153</v>
      </c>
      <c r="AB137" s="100" t="s">
        <v>2154</v>
      </c>
      <c r="AC137" s="100" t="s">
        <v>682</v>
      </c>
      <c r="AD137" s="100" t="s">
        <v>682</v>
      </c>
      <c r="AE137" s="100" t="s">
        <v>43</v>
      </c>
      <c r="AF137" s="100" t="s">
        <v>41</v>
      </c>
      <c r="AG137" s="100" t="s">
        <v>42</v>
      </c>
      <c r="AH137" s="100" t="s">
        <v>2155</v>
      </c>
      <c r="AI137" s="100" t="s">
        <v>682</v>
      </c>
      <c r="AJ137" s="100" t="s">
        <v>682</v>
      </c>
      <c r="AK137" s="100" t="s">
        <v>682</v>
      </c>
    </row>
    <row r="138" spans="1:37">
      <c r="A138" s="100" t="s">
        <v>2156</v>
      </c>
      <c r="B138" s="100" t="s">
        <v>2157</v>
      </c>
      <c r="C138" s="100" t="s">
        <v>682</v>
      </c>
      <c r="D138" s="100" t="s">
        <v>97</v>
      </c>
      <c r="E138" s="100" t="s">
        <v>2158</v>
      </c>
      <c r="F138" s="100" t="s">
        <v>247</v>
      </c>
      <c r="G138" s="100" t="s">
        <v>264</v>
      </c>
      <c r="H138" s="100" t="s">
        <v>682</v>
      </c>
      <c r="I138" s="100" t="s">
        <v>4515</v>
      </c>
      <c r="J138" s="100" t="s">
        <v>2826</v>
      </c>
      <c r="K138" s="100" t="s">
        <v>2160</v>
      </c>
      <c r="L138" s="100" t="s">
        <v>682</v>
      </c>
      <c r="M138" s="100" t="s">
        <v>682</v>
      </c>
      <c r="N138" s="100" t="s">
        <v>682</v>
      </c>
      <c r="O138" s="100" t="s">
        <v>5426</v>
      </c>
      <c r="P138" s="100" t="s">
        <v>4000</v>
      </c>
      <c r="Q138" s="100" t="s">
        <v>2161</v>
      </c>
      <c r="R138" s="100" t="s">
        <v>5427</v>
      </c>
      <c r="S138" s="100" t="s">
        <v>5428</v>
      </c>
      <c r="T138" s="100" t="s">
        <v>4516</v>
      </c>
      <c r="U138" s="100" t="s">
        <v>2162</v>
      </c>
      <c r="V138" s="100" t="s">
        <v>2163</v>
      </c>
      <c r="W138" s="100" t="s">
        <v>682</v>
      </c>
      <c r="X138" s="100" t="s">
        <v>2164</v>
      </c>
      <c r="Y138" s="100" t="s">
        <v>4517</v>
      </c>
      <c r="Z138" s="100" t="s">
        <v>4518</v>
      </c>
      <c r="AA138" s="100" t="s">
        <v>2165</v>
      </c>
      <c r="AB138" s="100" t="s">
        <v>2166</v>
      </c>
      <c r="AC138" s="100" t="s">
        <v>682</v>
      </c>
      <c r="AD138" s="100" t="s">
        <v>682</v>
      </c>
      <c r="AE138" s="100" t="s">
        <v>43</v>
      </c>
      <c r="AF138" s="100" t="s">
        <v>41</v>
      </c>
      <c r="AG138" s="100" t="s">
        <v>42</v>
      </c>
      <c r="AH138" s="100" t="s">
        <v>2167</v>
      </c>
      <c r="AI138" s="100" t="s">
        <v>682</v>
      </c>
      <c r="AJ138" s="100" t="s">
        <v>682</v>
      </c>
      <c r="AK138" s="100" t="s">
        <v>682</v>
      </c>
    </row>
    <row r="139" spans="1:37">
      <c r="A139" s="100" t="s">
        <v>2168</v>
      </c>
      <c r="B139" s="100" t="s">
        <v>2169</v>
      </c>
      <c r="C139" s="100" t="s">
        <v>682</v>
      </c>
      <c r="D139" s="100" t="s">
        <v>97</v>
      </c>
      <c r="E139" s="100" t="s">
        <v>2170</v>
      </c>
      <c r="F139" s="100" t="s">
        <v>247</v>
      </c>
      <c r="G139" s="100" t="s">
        <v>265</v>
      </c>
      <c r="H139" s="100" t="s">
        <v>682</v>
      </c>
      <c r="I139" s="100" t="s">
        <v>4519</v>
      </c>
      <c r="J139" s="100" t="s">
        <v>2826</v>
      </c>
      <c r="K139" s="100" t="s">
        <v>2171</v>
      </c>
      <c r="L139" s="100" t="s">
        <v>682</v>
      </c>
      <c r="M139" s="100" t="s">
        <v>682</v>
      </c>
      <c r="N139" s="100" t="s">
        <v>682</v>
      </c>
      <c r="O139" s="100" t="s">
        <v>5429</v>
      </c>
      <c r="P139" s="100" t="s">
        <v>4001</v>
      </c>
      <c r="Q139" s="100" t="s">
        <v>2172</v>
      </c>
      <c r="R139" s="100" t="s">
        <v>5430</v>
      </c>
      <c r="S139" s="100" t="s">
        <v>5431</v>
      </c>
      <c r="T139" s="100" t="s">
        <v>4520</v>
      </c>
      <c r="U139" s="100" t="s">
        <v>2173</v>
      </c>
      <c r="V139" s="100" t="s">
        <v>2174</v>
      </c>
      <c r="W139" s="100" t="s">
        <v>682</v>
      </c>
      <c r="X139" s="100" t="s">
        <v>2175</v>
      </c>
      <c r="Y139" s="100" t="s">
        <v>4521</v>
      </c>
      <c r="Z139" s="100" t="s">
        <v>4522</v>
      </c>
      <c r="AA139" s="100" t="s">
        <v>2176</v>
      </c>
      <c r="AB139" s="100" t="s">
        <v>2177</v>
      </c>
      <c r="AC139" s="100" t="s">
        <v>682</v>
      </c>
      <c r="AD139" s="100" t="s">
        <v>682</v>
      </c>
      <c r="AE139" s="100" t="s">
        <v>43</v>
      </c>
      <c r="AF139" s="100" t="s">
        <v>41</v>
      </c>
      <c r="AG139" s="100" t="s">
        <v>42</v>
      </c>
      <c r="AH139" s="100" t="s">
        <v>2178</v>
      </c>
      <c r="AI139" s="100" t="s">
        <v>682</v>
      </c>
      <c r="AJ139" s="100" t="s">
        <v>682</v>
      </c>
      <c r="AK139" s="100" t="s">
        <v>682</v>
      </c>
    </row>
    <row r="140" spans="1:37">
      <c r="A140" s="100" t="s">
        <v>2179</v>
      </c>
      <c r="B140" s="100" t="s">
        <v>2180</v>
      </c>
      <c r="C140" s="100" t="s">
        <v>682</v>
      </c>
      <c r="D140" s="100" t="s">
        <v>97</v>
      </c>
      <c r="E140" s="100" t="s">
        <v>2181</v>
      </c>
      <c r="F140" s="100" t="s">
        <v>247</v>
      </c>
      <c r="G140" s="100" t="s">
        <v>266</v>
      </c>
      <c r="H140" s="100" t="s">
        <v>682</v>
      </c>
      <c r="I140" s="100" t="s">
        <v>4523</v>
      </c>
      <c r="J140" s="100" t="s">
        <v>2826</v>
      </c>
      <c r="K140" s="100" t="s">
        <v>2183</v>
      </c>
      <c r="L140" s="100" t="s">
        <v>682</v>
      </c>
      <c r="M140" s="100" t="s">
        <v>682</v>
      </c>
      <c r="N140" s="100" t="s">
        <v>682</v>
      </c>
      <c r="O140" s="100" t="s">
        <v>5432</v>
      </c>
      <c r="P140" s="100" t="s">
        <v>4002</v>
      </c>
      <c r="Q140" s="100" t="s">
        <v>2184</v>
      </c>
      <c r="R140" s="100" t="s">
        <v>5433</v>
      </c>
      <c r="S140" s="100" t="s">
        <v>5434</v>
      </c>
      <c r="T140" s="100" t="s">
        <v>4524</v>
      </c>
      <c r="U140" s="100" t="s">
        <v>2185</v>
      </c>
      <c r="V140" s="100" t="s">
        <v>2186</v>
      </c>
      <c r="W140" s="100" t="s">
        <v>682</v>
      </c>
      <c r="X140" s="100" t="s">
        <v>2187</v>
      </c>
      <c r="Y140" s="100" t="s">
        <v>4525</v>
      </c>
      <c r="Z140" s="100" t="s">
        <v>4526</v>
      </c>
      <c r="AA140" s="100" t="s">
        <v>2188</v>
      </c>
      <c r="AB140" s="100" t="s">
        <v>2189</v>
      </c>
      <c r="AC140" s="100" t="s">
        <v>682</v>
      </c>
      <c r="AD140" s="100" t="s">
        <v>682</v>
      </c>
      <c r="AE140" s="100" t="s">
        <v>43</v>
      </c>
      <c r="AF140" s="100" t="s">
        <v>41</v>
      </c>
      <c r="AG140" s="100" t="s">
        <v>42</v>
      </c>
      <c r="AH140" s="100" t="s">
        <v>2190</v>
      </c>
      <c r="AI140" s="100" t="s">
        <v>682</v>
      </c>
      <c r="AJ140" s="100" t="s">
        <v>682</v>
      </c>
      <c r="AK140" s="100" t="s">
        <v>682</v>
      </c>
    </row>
    <row r="141" spans="1:37">
      <c r="A141" s="100" t="s">
        <v>2191</v>
      </c>
      <c r="B141" s="100" t="s">
        <v>2192</v>
      </c>
      <c r="C141" s="100" t="s">
        <v>682</v>
      </c>
      <c r="D141" s="100" t="s">
        <v>97</v>
      </c>
      <c r="E141" s="100" t="s">
        <v>2193</v>
      </c>
      <c r="F141" s="100" t="s">
        <v>247</v>
      </c>
      <c r="G141" s="100" t="s">
        <v>267</v>
      </c>
      <c r="H141" s="100" t="s">
        <v>682</v>
      </c>
      <c r="I141" s="100" t="s">
        <v>4527</v>
      </c>
      <c r="J141" s="100" t="s">
        <v>2826</v>
      </c>
      <c r="K141" s="100" t="s">
        <v>2194</v>
      </c>
      <c r="L141" s="100" t="s">
        <v>682</v>
      </c>
      <c r="M141" s="100" t="s">
        <v>682</v>
      </c>
      <c r="N141" s="100" t="s">
        <v>682</v>
      </c>
      <c r="O141" s="100" t="s">
        <v>5435</v>
      </c>
      <c r="P141" s="100" t="s">
        <v>4003</v>
      </c>
      <c r="Q141" s="100" t="s">
        <v>2195</v>
      </c>
      <c r="R141" s="100" t="s">
        <v>5436</v>
      </c>
      <c r="S141" s="100" t="s">
        <v>5437</v>
      </c>
      <c r="T141" s="100" t="s">
        <v>4528</v>
      </c>
      <c r="U141" s="100" t="s">
        <v>2196</v>
      </c>
      <c r="V141" s="100" t="s">
        <v>2197</v>
      </c>
      <c r="W141" s="100" t="s">
        <v>682</v>
      </c>
      <c r="X141" s="100" t="s">
        <v>2198</v>
      </c>
      <c r="Y141" s="100" t="s">
        <v>4529</v>
      </c>
      <c r="Z141" s="100" t="s">
        <v>4530</v>
      </c>
      <c r="AA141" s="100" t="s">
        <v>2199</v>
      </c>
      <c r="AB141" s="100" t="s">
        <v>2200</v>
      </c>
      <c r="AC141" s="100" t="s">
        <v>682</v>
      </c>
      <c r="AD141" s="100" t="s">
        <v>682</v>
      </c>
      <c r="AE141" s="100" t="s">
        <v>43</v>
      </c>
      <c r="AF141" s="100" t="s">
        <v>41</v>
      </c>
      <c r="AG141" s="100" t="s">
        <v>42</v>
      </c>
      <c r="AH141" s="100" t="s">
        <v>2201</v>
      </c>
      <c r="AI141" s="100" t="s">
        <v>682</v>
      </c>
      <c r="AJ141" s="100" t="s">
        <v>682</v>
      </c>
      <c r="AK141" s="100" t="s">
        <v>682</v>
      </c>
    </row>
    <row r="142" spans="1:37">
      <c r="A142" s="100" t="s">
        <v>2202</v>
      </c>
      <c r="B142" s="100" t="s">
        <v>2203</v>
      </c>
      <c r="C142" s="100" t="s">
        <v>682</v>
      </c>
      <c r="D142" s="100" t="s">
        <v>97</v>
      </c>
      <c r="E142" s="100" t="s">
        <v>2204</v>
      </c>
      <c r="F142" s="100" t="s">
        <v>254</v>
      </c>
      <c r="G142" s="100" t="s">
        <v>272</v>
      </c>
      <c r="H142" s="100" t="s">
        <v>682</v>
      </c>
      <c r="I142" s="100" t="s">
        <v>4531</v>
      </c>
      <c r="J142" s="100" t="s">
        <v>1498</v>
      </c>
      <c r="K142" s="100" t="s">
        <v>2206</v>
      </c>
      <c r="L142" s="100" t="s">
        <v>682</v>
      </c>
      <c r="M142" s="100" t="s">
        <v>682</v>
      </c>
      <c r="N142" s="100" t="s">
        <v>682</v>
      </c>
      <c r="O142" s="100" t="s">
        <v>5438</v>
      </c>
      <c r="P142" s="100" t="s">
        <v>4004</v>
      </c>
      <c r="Q142" s="100" t="s">
        <v>2207</v>
      </c>
      <c r="R142" s="100" t="s">
        <v>5439</v>
      </c>
      <c r="S142" s="100" t="s">
        <v>5440</v>
      </c>
      <c r="T142" s="100" t="s">
        <v>4532</v>
      </c>
      <c r="U142" s="100" t="s">
        <v>2208</v>
      </c>
      <c r="V142" s="100" t="s">
        <v>2209</v>
      </c>
      <c r="W142" s="100" t="s">
        <v>682</v>
      </c>
      <c r="X142" s="100" t="s">
        <v>2210</v>
      </c>
      <c r="Y142" s="100" t="s">
        <v>4533</v>
      </c>
      <c r="Z142" s="100" t="s">
        <v>4534</v>
      </c>
      <c r="AA142" s="100" t="s">
        <v>2211</v>
      </c>
      <c r="AB142" s="100" t="s">
        <v>2212</v>
      </c>
      <c r="AC142" s="100" t="s">
        <v>682</v>
      </c>
      <c r="AD142" s="100" t="s">
        <v>682</v>
      </c>
      <c r="AE142" s="100" t="s">
        <v>43</v>
      </c>
      <c r="AF142" s="100" t="s">
        <v>41</v>
      </c>
      <c r="AG142" s="100" t="s">
        <v>42</v>
      </c>
      <c r="AH142" s="100" t="s">
        <v>2213</v>
      </c>
      <c r="AI142" s="100" t="s">
        <v>682</v>
      </c>
      <c r="AJ142" s="100" t="s">
        <v>682</v>
      </c>
      <c r="AK142" s="100" t="s">
        <v>682</v>
      </c>
    </row>
    <row r="143" spans="1:37">
      <c r="A143" s="100" t="s">
        <v>6689</v>
      </c>
      <c r="B143" s="100" t="s">
        <v>6690</v>
      </c>
      <c r="C143" s="100" t="s">
        <v>682</v>
      </c>
      <c r="D143" s="100" t="s">
        <v>97</v>
      </c>
      <c r="E143" s="100" t="s">
        <v>6691</v>
      </c>
      <c r="F143" s="100" t="s">
        <v>251</v>
      </c>
      <c r="G143" s="100" t="s">
        <v>283</v>
      </c>
      <c r="H143" s="100" t="s">
        <v>682</v>
      </c>
      <c r="I143" s="100" t="s">
        <v>6692</v>
      </c>
      <c r="J143" s="100" t="s">
        <v>3389</v>
      </c>
      <c r="K143" s="100" t="s">
        <v>2214</v>
      </c>
      <c r="L143" s="100" t="s">
        <v>682</v>
      </c>
      <c r="M143" s="100" t="s">
        <v>682</v>
      </c>
      <c r="N143" s="100" t="s">
        <v>682</v>
      </c>
      <c r="O143" s="100" t="s">
        <v>6693</v>
      </c>
      <c r="P143" s="100" t="s">
        <v>6694</v>
      </c>
      <c r="Q143" s="100" t="s">
        <v>6695</v>
      </c>
      <c r="R143" s="100" t="s">
        <v>6696</v>
      </c>
      <c r="S143" s="100" t="s">
        <v>6697</v>
      </c>
      <c r="T143" s="100" t="s">
        <v>6698</v>
      </c>
      <c r="U143" s="100" t="s">
        <v>6699</v>
      </c>
      <c r="V143" s="100" t="s">
        <v>6700</v>
      </c>
      <c r="W143" s="100" t="s">
        <v>682</v>
      </c>
      <c r="X143" s="100" t="s">
        <v>6701</v>
      </c>
      <c r="Y143" s="100" t="s">
        <v>6702</v>
      </c>
      <c r="Z143" s="100" t="s">
        <v>6703</v>
      </c>
      <c r="AA143" s="100" t="s">
        <v>6704</v>
      </c>
      <c r="AB143" s="100" t="s">
        <v>6705</v>
      </c>
      <c r="AC143" s="100" t="s">
        <v>682</v>
      </c>
      <c r="AD143" s="100" t="s">
        <v>682</v>
      </c>
      <c r="AE143" s="100" t="s">
        <v>43</v>
      </c>
      <c r="AF143" s="100" t="s">
        <v>41</v>
      </c>
      <c r="AG143" s="100" t="s">
        <v>42</v>
      </c>
      <c r="AH143" s="100" t="s">
        <v>2215</v>
      </c>
      <c r="AI143" s="100" t="s">
        <v>682</v>
      </c>
      <c r="AJ143" s="100" t="s">
        <v>682</v>
      </c>
      <c r="AK143" s="100" t="s">
        <v>682</v>
      </c>
    </row>
    <row r="144" spans="1:37">
      <c r="A144" s="100" t="s">
        <v>2216</v>
      </c>
      <c r="B144" s="100" t="s">
        <v>2217</v>
      </c>
      <c r="C144" s="100" t="s">
        <v>682</v>
      </c>
      <c r="D144" s="100" t="s">
        <v>97</v>
      </c>
      <c r="E144" s="100" t="s">
        <v>2218</v>
      </c>
      <c r="F144" s="100" t="s">
        <v>253</v>
      </c>
      <c r="G144" s="100" t="s">
        <v>284</v>
      </c>
      <c r="H144" s="100" t="s">
        <v>682</v>
      </c>
      <c r="I144" s="100" t="s">
        <v>4535</v>
      </c>
      <c r="J144" s="100" t="s">
        <v>1024</v>
      </c>
      <c r="K144" s="100" t="s">
        <v>2220</v>
      </c>
      <c r="L144" s="100" t="s">
        <v>682</v>
      </c>
      <c r="M144" s="100" t="s">
        <v>682</v>
      </c>
      <c r="N144" s="100" t="s">
        <v>682</v>
      </c>
      <c r="O144" s="100" t="s">
        <v>5441</v>
      </c>
      <c r="P144" s="100" t="s">
        <v>4005</v>
      </c>
      <c r="Q144" s="100" t="s">
        <v>2221</v>
      </c>
      <c r="R144" s="100" t="s">
        <v>5442</v>
      </c>
      <c r="S144" s="100" t="s">
        <v>5443</v>
      </c>
      <c r="T144" s="100" t="s">
        <v>4536</v>
      </c>
      <c r="U144" s="100" t="s">
        <v>2222</v>
      </c>
      <c r="V144" s="100" t="s">
        <v>2223</v>
      </c>
      <c r="W144" s="100" t="s">
        <v>682</v>
      </c>
      <c r="X144" s="100" t="s">
        <v>2224</v>
      </c>
      <c r="Y144" s="100" t="s">
        <v>4537</v>
      </c>
      <c r="Z144" s="100" t="s">
        <v>4538</v>
      </c>
      <c r="AA144" s="100" t="s">
        <v>2225</v>
      </c>
      <c r="AB144" s="100" t="s">
        <v>2226</v>
      </c>
      <c r="AC144" s="100" t="s">
        <v>682</v>
      </c>
      <c r="AD144" s="100" t="s">
        <v>682</v>
      </c>
      <c r="AE144" s="100" t="s">
        <v>43</v>
      </c>
      <c r="AF144" s="100" t="s">
        <v>41</v>
      </c>
      <c r="AG144" s="100" t="s">
        <v>42</v>
      </c>
      <c r="AH144" s="100" t="s">
        <v>2227</v>
      </c>
      <c r="AI144" s="100" t="s">
        <v>682</v>
      </c>
      <c r="AJ144" s="100" t="s">
        <v>682</v>
      </c>
      <c r="AK144" s="100" t="s">
        <v>682</v>
      </c>
    </row>
    <row r="145" spans="1:37">
      <c r="A145" s="100" t="s">
        <v>2228</v>
      </c>
      <c r="B145" s="100" t="s">
        <v>2229</v>
      </c>
      <c r="C145" s="100" t="s">
        <v>682</v>
      </c>
      <c r="D145" s="100" t="s">
        <v>97</v>
      </c>
      <c r="E145" s="100" t="s">
        <v>2230</v>
      </c>
      <c r="F145" s="100" t="s">
        <v>253</v>
      </c>
      <c r="G145" s="100" t="s">
        <v>286</v>
      </c>
      <c r="H145" s="100" t="s">
        <v>682</v>
      </c>
      <c r="I145" s="100" t="s">
        <v>4539</v>
      </c>
      <c r="J145" s="100" t="s">
        <v>953</v>
      </c>
      <c r="K145" s="100" t="s">
        <v>2231</v>
      </c>
      <c r="L145" s="100" t="s">
        <v>682</v>
      </c>
      <c r="M145" s="100" t="s">
        <v>682</v>
      </c>
      <c r="N145" s="100" t="s">
        <v>682</v>
      </c>
      <c r="O145" s="100" t="s">
        <v>5444</v>
      </c>
      <c r="P145" s="100" t="s">
        <v>4006</v>
      </c>
      <c r="Q145" s="100" t="s">
        <v>2232</v>
      </c>
      <c r="R145" s="100" t="s">
        <v>5445</v>
      </c>
      <c r="S145" s="100" t="s">
        <v>5446</v>
      </c>
      <c r="T145" s="100" t="s">
        <v>4540</v>
      </c>
      <c r="U145" s="100" t="s">
        <v>2233</v>
      </c>
      <c r="V145" s="100" t="s">
        <v>2234</v>
      </c>
      <c r="W145" s="100" t="s">
        <v>682</v>
      </c>
      <c r="X145" s="100" t="s">
        <v>2235</v>
      </c>
      <c r="Y145" s="100" t="s">
        <v>4541</v>
      </c>
      <c r="Z145" s="100" t="s">
        <v>4542</v>
      </c>
      <c r="AA145" s="100" t="s">
        <v>2236</v>
      </c>
      <c r="AB145" s="100" t="s">
        <v>2237</v>
      </c>
      <c r="AC145" s="100" t="s">
        <v>682</v>
      </c>
      <c r="AD145" s="100" t="s">
        <v>682</v>
      </c>
      <c r="AE145" s="100" t="s">
        <v>43</v>
      </c>
      <c r="AF145" s="100" t="s">
        <v>41</v>
      </c>
      <c r="AG145" s="100" t="s">
        <v>42</v>
      </c>
      <c r="AH145" s="100" t="s">
        <v>2238</v>
      </c>
      <c r="AI145" s="100" t="s">
        <v>682</v>
      </c>
      <c r="AJ145" s="100" t="s">
        <v>682</v>
      </c>
      <c r="AK145" s="100" t="s">
        <v>682</v>
      </c>
    </row>
    <row r="146" spans="1:37">
      <c r="A146" s="100" t="s">
        <v>2239</v>
      </c>
      <c r="B146" s="100" t="s">
        <v>2240</v>
      </c>
      <c r="C146" s="100" t="s">
        <v>682</v>
      </c>
      <c r="D146" s="100" t="s">
        <v>106</v>
      </c>
      <c r="E146" s="100" t="s">
        <v>2241</v>
      </c>
      <c r="F146" s="100" t="s">
        <v>311</v>
      </c>
      <c r="G146" s="100" t="s">
        <v>320</v>
      </c>
      <c r="H146" s="100" t="s">
        <v>682</v>
      </c>
      <c r="I146" s="100" t="s">
        <v>4543</v>
      </c>
      <c r="J146" s="100" t="s">
        <v>1860</v>
      </c>
      <c r="K146" s="100" t="s">
        <v>2243</v>
      </c>
      <c r="L146" s="100" t="s">
        <v>682</v>
      </c>
      <c r="M146" s="100" t="s">
        <v>682</v>
      </c>
      <c r="N146" s="100" t="s">
        <v>682</v>
      </c>
      <c r="O146" s="100" t="s">
        <v>5447</v>
      </c>
      <c r="P146" s="100" t="s">
        <v>4007</v>
      </c>
      <c r="Q146" s="100" t="s">
        <v>2244</v>
      </c>
      <c r="R146" s="100" t="s">
        <v>5448</v>
      </c>
      <c r="S146" s="100" t="s">
        <v>5449</v>
      </c>
      <c r="T146" s="100" t="s">
        <v>4544</v>
      </c>
      <c r="U146" s="100" t="s">
        <v>2245</v>
      </c>
      <c r="V146" s="100" t="s">
        <v>2246</v>
      </c>
      <c r="W146" s="100" t="s">
        <v>682</v>
      </c>
      <c r="X146" s="100" t="s">
        <v>2247</v>
      </c>
      <c r="Y146" s="100" t="s">
        <v>4545</v>
      </c>
      <c r="Z146" s="100" t="s">
        <v>4546</v>
      </c>
      <c r="AA146" s="100" t="s">
        <v>2248</v>
      </c>
      <c r="AB146" s="100" t="s">
        <v>2249</v>
      </c>
      <c r="AC146" s="100" t="s">
        <v>682</v>
      </c>
      <c r="AD146" s="100" t="s">
        <v>682</v>
      </c>
      <c r="AE146" s="100" t="s">
        <v>43</v>
      </c>
      <c r="AF146" s="100" t="s">
        <v>46</v>
      </c>
      <c r="AG146" s="100" t="s">
        <v>42</v>
      </c>
      <c r="AH146" s="100" t="s">
        <v>2250</v>
      </c>
      <c r="AI146" s="100" t="s">
        <v>682</v>
      </c>
      <c r="AJ146" s="100" t="s">
        <v>682</v>
      </c>
      <c r="AK146" s="100" t="s">
        <v>682</v>
      </c>
    </row>
    <row r="147" spans="1:37">
      <c r="A147" s="100" t="s">
        <v>2251</v>
      </c>
      <c r="B147" s="100" t="s">
        <v>682</v>
      </c>
      <c r="C147" s="100" t="s">
        <v>682</v>
      </c>
      <c r="D147" s="100" t="s">
        <v>682</v>
      </c>
      <c r="E147" s="100" t="s">
        <v>682</v>
      </c>
      <c r="F147" s="100" t="s">
        <v>682</v>
      </c>
      <c r="G147" s="100" t="s">
        <v>682</v>
      </c>
      <c r="H147" s="100" t="s">
        <v>682</v>
      </c>
      <c r="I147" s="100" t="s">
        <v>682</v>
      </c>
      <c r="J147" s="100" t="s">
        <v>6424</v>
      </c>
      <c r="K147" s="100" t="s">
        <v>6706</v>
      </c>
      <c r="L147" s="100" t="s">
        <v>6707</v>
      </c>
      <c r="M147" s="100" t="s">
        <v>682</v>
      </c>
      <c r="N147" s="100" t="s">
        <v>682</v>
      </c>
      <c r="O147" s="100" t="s">
        <v>682</v>
      </c>
      <c r="P147" s="100" t="s">
        <v>682</v>
      </c>
      <c r="Q147" s="100" t="s">
        <v>2252</v>
      </c>
      <c r="R147" s="100" t="s">
        <v>6708</v>
      </c>
      <c r="S147" s="100" t="s">
        <v>6709</v>
      </c>
      <c r="T147" s="100" t="s">
        <v>6710</v>
      </c>
      <c r="U147" s="100" t="s">
        <v>2253</v>
      </c>
      <c r="V147" s="100" t="s">
        <v>2254</v>
      </c>
      <c r="W147" s="100" t="s">
        <v>6711</v>
      </c>
      <c r="X147" s="100" t="s">
        <v>682</v>
      </c>
      <c r="Y147" s="100" t="s">
        <v>682</v>
      </c>
      <c r="Z147" s="100" t="s">
        <v>682</v>
      </c>
      <c r="AA147" s="100" t="s">
        <v>2255</v>
      </c>
      <c r="AB147" s="100" t="s">
        <v>2256</v>
      </c>
      <c r="AC147" s="100" t="s">
        <v>6712</v>
      </c>
      <c r="AD147" s="100" t="s">
        <v>682</v>
      </c>
      <c r="AE147" s="100" t="s">
        <v>682</v>
      </c>
      <c r="AF147" s="100" t="s">
        <v>682</v>
      </c>
      <c r="AG147" s="100" t="s">
        <v>682</v>
      </c>
      <c r="AH147" s="100" t="s">
        <v>682</v>
      </c>
      <c r="AI147" s="100" t="s">
        <v>682</v>
      </c>
      <c r="AJ147" s="100" t="s">
        <v>682</v>
      </c>
      <c r="AK147" s="100" t="s">
        <v>682</v>
      </c>
    </row>
    <row r="148" spans="1:37">
      <c r="A148" s="100" t="s">
        <v>2257</v>
      </c>
      <c r="B148" s="100" t="s">
        <v>2258</v>
      </c>
      <c r="C148" s="100" t="s">
        <v>682</v>
      </c>
      <c r="D148" s="100" t="s">
        <v>75</v>
      </c>
      <c r="E148" s="100" t="s">
        <v>2259</v>
      </c>
      <c r="F148" s="100" t="s">
        <v>175</v>
      </c>
      <c r="G148" s="100" t="s">
        <v>184</v>
      </c>
      <c r="H148" s="100" t="s">
        <v>682</v>
      </c>
      <c r="I148" s="100" t="s">
        <v>4547</v>
      </c>
      <c r="J148" s="100" t="s">
        <v>1713</v>
      </c>
      <c r="K148" s="100" t="s">
        <v>2260</v>
      </c>
      <c r="L148" s="100" t="s">
        <v>682</v>
      </c>
      <c r="M148" s="100" t="s">
        <v>682</v>
      </c>
      <c r="N148" s="100" t="s">
        <v>682</v>
      </c>
      <c r="O148" s="100" t="s">
        <v>5450</v>
      </c>
      <c r="P148" s="100" t="s">
        <v>4008</v>
      </c>
      <c r="Q148" s="100" t="s">
        <v>2261</v>
      </c>
      <c r="R148" s="100" t="s">
        <v>5451</v>
      </c>
      <c r="S148" s="100" t="s">
        <v>5452</v>
      </c>
      <c r="T148" s="100" t="s">
        <v>4548</v>
      </c>
      <c r="U148" s="100" t="s">
        <v>2262</v>
      </c>
      <c r="V148" s="100" t="s">
        <v>2263</v>
      </c>
      <c r="W148" s="100" t="s">
        <v>682</v>
      </c>
      <c r="X148" s="100" t="s">
        <v>2264</v>
      </c>
      <c r="Y148" s="100" t="s">
        <v>4549</v>
      </c>
      <c r="Z148" s="100" t="s">
        <v>4550</v>
      </c>
      <c r="AA148" s="100" t="s">
        <v>2265</v>
      </c>
      <c r="AB148" s="100" t="s">
        <v>2266</v>
      </c>
      <c r="AC148" s="100" t="s">
        <v>682</v>
      </c>
      <c r="AD148" s="100" t="s">
        <v>682</v>
      </c>
      <c r="AE148" s="100" t="s">
        <v>54</v>
      </c>
      <c r="AF148" s="100" t="s">
        <v>682</v>
      </c>
      <c r="AG148" s="100" t="s">
        <v>682</v>
      </c>
      <c r="AH148" s="100" t="s">
        <v>2267</v>
      </c>
      <c r="AI148" s="100" t="s">
        <v>682</v>
      </c>
      <c r="AJ148" s="100" t="s">
        <v>682</v>
      </c>
      <c r="AK148" s="100" t="s">
        <v>682</v>
      </c>
    </row>
    <row r="149" spans="1:37">
      <c r="A149" s="100" t="s">
        <v>2268</v>
      </c>
      <c r="B149" s="100" t="s">
        <v>2269</v>
      </c>
      <c r="C149" s="100" t="s">
        <v>682</v>
      </c>
      <c r="D149" s="100" t="s">
        <v>78</v>
      </c>
      <c r="E149" s="100" t="s">
        <v>2270</v>
      </c>
      <c r="F149" s="100" t="s">
        <v>236</v>
      </c>
      <c r="G149" s="100" t="s">
        <v>445</v>
      </c>
      <c r="H149" s="100" t="s">
        <v>2077</v>
      </c>
      <c r="I149" s="100" t="s">
        <v>4551</v>
      </c>
      <c r="J149" s="100" t="s">
        <v>2100</v>
      </c>
      <c r="K149" s="100" t="s">
        <v>2272</v>
      </c>
      <c r="L149" s="100" t="s">
        <v>682</v>
      </c>
      <c r="M149" s="100" t="s">
        <v>682</v>
      </c>
      <c r="N149" s="100" t="s">
        <v>682</v>
      </c>
      <c r="O149" s="100" t="s">
        <v>5453</v>
      </c>
      <c r="P149" s="100" t="s">
        <v>4009</v>
      </c>
      <c r="Q149" s="100" t="s">
        <v>2273</v>
      </c>
      <c r="R149" s="100" t="s">
        <v>5454</v>
      </c>
      <c r="S149" s="100" t="s">
        <v>5455</v>
      </c>
      <c r="T149" s="100" t="s">
        <v>4552</v>
      </c>
      <c r="U149" s="100" t="s">
        <v>2274</v>
      </c>
      <c r="V149" s="100" t="s">
        <v>2275</v>
      </c>
      <c r="W149" s="100" t="s">
        <v>682</v>
      </c>
      <c r="X149" s="100" t="s">
        <v>2276</v>
      </c>
      <c r="Y149" s="100" t="s">
        <v>4553</v>
      </c>
      <c r="Z149" s="100" t="s">
        <v>4554</v>
      </c>
      <c r="AA149" s="100" t="s">
        <v>2277</v>
      </c>
      <c r="AB149" s="100" t="s">
        <v>2278</v>
      </c>
      <c r="AC149" s="100" t="s">
        <v>682</v>
      </c>
      <c r="AD149" s="100" t="s">
        <v>682</v>
      </c>
      <c r="AE149" s="100" t="s">
        <v>54</v>
      </c>
      <c r="AF149" s="100" t="s">
        <v>682</v>
      </c>
      <c r="AG149" s="100" t="s">
        <v>682</v>
      </c>
      <c r="AH149" s="100" t="s">
        <v>2279</v>
      </c>
      <c r="AI149" s="100" t="s">
        <v>682</v>
      </c>
      <c r="AJ149" s="100" t="s">
        <v>682</v>
      </c>
      <c r="AK149" s="100" t="s">
        <v>682</v>
      </c>
    </row>
    <row r="150" spans="1:37">
      <c r="A150" s="100" t="s">
        <v>6713</v>
      </c>
      <c r="B150" s="100" t="s">
        <v>6714</v>
      </c>
      <c r="C150" s="100" t="s">
        <v>682</v>
      </c>
      <c r="D150" s="100" t="s">
        <v>77</v>
      </c>
      <c r="E150" s="100" t="s">
        <v>6715</v>
      </c>
      <c r="F150" s="100" t="s">
        <v>237</v>
      </c>
      <c r="G150" s="100" t="s">
        <v>437</v>
      </c>
      <c r="H150" s="100" t="s">
        <v>2285</v>
      </c>
      <c r="I150" s="100" t="s">
        <v>6716</v>
      </c>
      <c r="J150" s="100" t="s">
        <v>2100</v>
      </c>
      <c r="K150" s="100" t="s">
        <v>2280</v>
      </c>
      <c r="L150" s="100" t="s">
        <v>682</v>
      </c>
      <c r="M150" s="100" t="s">
        <v>682</v>
      </c>
      <c r="N150" s="100" t="s">
        <v>682</v>
      </c>
      <c r="O150" s="100" t="s">
        <v>6717</v>
      </c>
      <c r="P150" s="100" t="s">
        <v>6718</v>
      </c>
      <c r="Q150" s="100" t="s">
        <v>6719</v>
      </c>
      <c r="R150" s="100" t="s">
        <v>6720</v>
      </c>
      <c r="S150" s="100" t="s">
        <v>6721</v>
      </c>
      <c r="T150" s="100" t="s">
        <v>6722</v>
      </c>
      <c r="U150" s="100" t="s">
        <v>6723</v>
      </c>
      <c r="V150" s="100" t="s">
        <v>6724</v>
      </c>
      <c r="W150" s="100" t="s">
        <v>682</v>
      </c>
      <c r="X150" s="100" t="s">
        <v>6725</v>
      </c>
      <c r="Y150" s="100" t="s">
        <v>6726</v>
      </c>
      <c r="Z150" s="100" t="s">
        <v>6727</v>
      </c>
      <c r="AA150" s="100" t="s">
        <v>6728</v>
      </c>
      <c r="AB150" s="100" t="s">
        <v>6729</v>
      </c>
      <c r="AC150" s="100" t="s">
        <v>682</v>
      </c>
      <c r="AD150" s="100" t="s">
        <v>682</v>
      </c>
      <c r="AE150" s="100" t="s">
        <v>43</v>
      </c>
      <c r="AF150" s="100" t="s">
        <v>46</v>
      </c>
      <c r="AG150" s="100" t="s">
        <v>63</v>
      </c>
      <c r="AH150" s="100" t="s">
        <v>2281</v>
      </c>
      <c r="AI150" s="100" t="s">
        <v>682</v>
      </c>
      <c r="AJ150" s="100" t="s">
        <v>682</v>
      </c>
      <c r="AK150" s="100" t="s">
        <v>682</v>
      </c>
    </row>
    <row r="151" spans="1:37">
      <c r="A151" s="100" t="s">
        <v>2282</v>
      </c>
      <c r="B151" s="100" t="s">
        <v>2283</v>
      </c>
      <c r="C151" s="100" t="s">
        <v>682</v>
      </c>
      <c r="D151" s="100" t="s">
        <v>78</v>
      </c>
      <c r="E151" s="100" t="s">
        <v>2284</v>
      </c>
      <c r="F151" s="100" t="s">
        <v>237</v>
      </c>
      <c r="G151" s="100" t="s">
        <v>445</v>
      </c>
      <c r="H151" s="100" t="s">
        <v>2285</v>
      </c>
      <c r="I151" s="100" t="s">
        <v>4555</v>
      </c>
      <c r="J151" s="100" t="s">
        <v>1713</v>
      </c>
      <c r="K151" s="100" t="s">
        <v>2286</v>
      </c>
      <c r="L151" s="100" t="s">
        <v>682</v>
      </c>
      <c r="M151" s="100" t="s">
        <v>682</v>
      </c>
      <c r="N151" s="100" t="s">
        <v>682</v>
      </c>
      <c r="O151" s="100" t="s">
        <v>5456</v>
      </c>
      <c r="P151" s="100" t="s">
        <v>4010</v>
      </c>
      <c r="Q151" s="100" t="s">
        <v>2287</v>
      </c>
      <c r="R151" s="100" t="s">
        <v>5457</v>
      </c>
      <c r="S151" s="100" t="s">
        <v>5458</v>
      </c>
      <c r="T151" s="100" t="s">
        <v>4556</v>
      </c>
      <c r="U151" s="100" t="s">
        <v>2288</v>
      </c>
      <c r="V151" s="100" t="s">
        <v>2289</v>
      </c>
      <c r="W151" s="100" t="s">
        <v>682</v>
      </c>
      <c r="X151" s="100" t="s">
        <v>2290</v>
      </c>
      <c r="Y151" s="100" t="s">
        <v>4557</v>
      </c>
      <c r="Z151" s="100" t="s">
        <v>4558</v>
      </c>
      <c r="AA151" s="100" t="s">
        <v>2291</v>
      </c>
      <c r="AB151" s="100" t="s">
        <v>2292</v>
      </c>
      <c r="AC151" s="100" t="s">
        <v>682</v>
      </c>
      <c r="AD151" s="100" t="s">
        <v>682</v>
      </c>
      <c r="AE151" s="100" t="s">
        <v>54</v>
      </c>
      <c r="AF151" s="100" t="s">
        <v>682</v>
      </c>
      <c r="AG151" s="100" t="s">
        <v>682</v>
      </c>
      <c r="AH151" s="100" t="s">
        <v>2293</v>
      </c>
      <c r="AI151" s="100" t="s">
        <v>682</v>
      </c>
      <c r="AJ151" s="100" t="s">
        <v>682</v>
      </c>
      <c r="AK151" s="100" t="s">
        <v>682</v>
      </c>
    </row>
    <row r="152" spans="1:37">
      <c r="A152" s="100" t="s">
        <v>2294</v>
      </c>
      <c r="B152" s="100" t="s">
        <v>2295</v>
      </c>
      <c r="C152" s="100" t="s">
        <v>682</v>
      </c>
      <c r="D152" s="100" t="s">
        <v>2619</v>
      </c>
      <c r="E152" s="100" t="s">
        <v>2296</v>
      </c>
      <c r="F152" s="100" t="s">
        <v>226</v>
      </c>
      <c r="G152" s="100" t="s">
        <v>368</v>
      </c>
      <c r="H152" s="100" t="s">
        <v>682</v>
      </c>
      <c r="I152" s="100" t="s">
        <v>4559</v>
      </c>
      <c r="J152" s="100" t="s">
        <v>2851</v>
      </c>
      <c r="K152" s="100" t="s">
        <v>2298</v>
      </c>
      <c r="L152" s="100" t="s">
        <v>682</v>
      </c>
      <c r="M152" s="100" t="s">
        <v>682</v>
      </c>
      <c r="N152" s="100" t="s">
        <v>682</v>
      </c>
      <c r="O152" s="100" t="s">
        <v>5459</v>
      </c>
      <c r="P152" s="100" t="s">
        <v>4011</v>
      </c>
      <c r="Q152" s="100" t="s">
        <v>2299</v>
      </c>
      <c r="R152" s="100" t="s">
        <v>5460</v>
      </c>
      <c r="S152" s="100" t="s">
        <v>5461</v>
      </c>
      <c r="T152" s="100" t="s">
        <v>4560</v>
      </c>
      <c r="U152" s="100" t="s">
        <v>2300</v>
      </c>
      <c r="V152" s="100" t="s">
        <v>2301</v>
      </c>
      <c r="W152" s="100" t="s">
        <v>682</v>
      </c>
      <c r="X152" s="100" t="s">
        <v>2302</v>
      </c>
      <c r="Y152" s="100" t="s">
        <v>4561</v>
      </c>
      <c r="Z152" s="100" t="s">
        <v>4562</v>
      </c>
      <c r="AA152" s="100" t="s">
        <v>2303</v>
      </c>
      <c r="AB152" s="100" t="s">
        <v>2304</v>
      </c>
      <c r="AC152" s="100" t="s">
        <v>682</v>
      </c>
      <c r="AD152" s="100" t="s">
        <v>682</v>
      </c>
      <c r="AE152" s="100" t="s">
        <v>43</v>
      </c>
      <c r="AF152" s="100" t="s">
        <v>46</v>
      </c>
      <c r="AG152" s="100" t="s">
        <v>42</v>
      </c>
      <c r="AH152" s="100" t="s">
        <v>2305</v>
      </c>
      <c r="AI152" s="100" t="s">
        <v>682</v>
      </c>
      <c r="AJ152" s="100" t="s">
        <v>682</v>
      </c>
      <c r="AK152" s="100" t="s">
        <v>682</v>
      </c>
    </row>
    <row r="153" spans="1:37">
      <c r="A153" s="100" t="s">
        <v>2306</v>
      </c>
      <c r="B153" s="100" t="s">
        <v>2307</v>
      </c>
      <c r="C153" s="100" t="s">
        <v>682</v>
      </c>
      <c r="D153" s="100" t="s">
        <v>2619</v>
      </c>
      <c r="E153" s="100" t="s">
        <v>2308</v>
      </c>
      <c r="F153" s="100" t="s">
        <v>231</v>
      </c>
      <c r="G153" s="100" t="s">
        <v>367</v>
      </c>
      <c r="H153" s="100" t="s">
        <v>682</v>
      </c>
      <c r="I153" s="100" t="s">
        <v>4563</v>
      </c>
      <c r="J153" s="100" t="s">
        <v>2100</v>
      </c>
      <c r="K153" s="100" t="s">
        <v>2309</v>
      </c>
      <c r="L153" s="100" t="s">
        <v>682</v>
      </c>
      <c r="M153" s="100" t="s">
        <v>682</v>
      </c>
      <c r="N153" s="100" t="s">
        <v>682</v>
      </c>
      <c r="O153" s="100" t="s">
        <v>5462</v>
      </c>
      <c r="P153" s="100" t="s">
        <v>4012</v>
      </c>
      <c r="Q153" s="100" t="s">
        <v>2310</v>
      </c>
      <c r="R153" s="100" t="s">
        <v>5463</v>
      </c>
      <c r="S153" s="100" t="s">
        <v>5464</v>
      </c>
      <c r="T153" s="100" t="s">
        <v>4564</v>
      </c>
      <c r="U153" s="100" t="s">
        <v>2311</v>
      </c>
      <c r="V153" s="100" t="s">
        <v>2312</v>
      </c>
      <c r="W153" s="100" t="s">
        <v>682</v>
      </c>
      <c r="X153" s="100" t="s">
        <v>2313</v>
      </c>
      <c r="Y153" s="100" t="s">
        <v>4565</v>
      </c>
      <c r="Z153" s="100" t="s">
        <v>4566</v>
      </c>
      <c r="AA153" s="100" t="s">
        <v>2314</v>
      </c>
      <c r="AB153" s="100" t="s">
        <v>2315</v>
      </c>
      <c r="AC153" s="100" t="s">
        <v>682</v>
      </c>
      <c r="AD153" s="100" t="s">
        <v>682</v>
      </c>
      <c r="AE153" s="100" t="s">
        <v>43</v>
      </c>
      <c r="AF153" s="100" t="s">
        <v>46</v>
      </c>
      <c r="AG153" s="100" t="s">
        <v>42</v>
      </c>
      <c r="AH153" s="100" t="s">
        <v>2316</v>
      </c>
      <c r="AI153" s="100" t="s">
        <v>682</v>
      </c>
      <c r="AJ153" s="100" t="s">
        <v>682</v>
      </c>
      <c r="AK153" s="100" t="s">
        <v>682</v>
      </c>
    </row>
    <row r="154" spans="1:37">
      <c r="A154" s="100" t="s">
        <v>2317</v>
      </c>
      <c r="B154" s="100" t="s">
        <v>682</v>
      </c>
      <c r="C154" s="100" t="s">
        <v>682</v>
      </c>
      <c r="D154" s="100" t="s">
        <v>682</v>
      </c>
      <c r="E154" s="100" t="s">
        <v>682</v>
      </c>
      <c r="F154" s="100" t="s">
        <v>682</v>
      </c>
      <c r="G154" s="100" t="s">
        <v>682</v>
      </c>
      <c r="H154" s="100" t="s">
        <v>682</v>
      </c>
      <c r="I154" s="100" t="s">
        <v>682</v>
      </c>
      <c r="J154" s="100" t="s">
        <v>6424</v>
      </c>
      <c r="K154" s="100" t="s">
        <v>6730</v>
      </c>
      <c r="L154" s="100" t="s">
        <v>6731</v>
      </c>
      <c r="M154" s="100" t="s">
        <v>682</v>
      </c>
      <c r="N154" s="100" t="s">
        <v>682</v>
      </c>
      <c r="O154" s="100" t="s">
        <v>682</v>
      </c>
      <c r="P154" s="100" t="s">
        <v>682</v>
      </c>
      <c r="Q154" s="100" t="s">
        <v>2318</v>
      </c>
      <c r="R154" s="100" t="s">
        <v>6732</v>
      </c>
      <c r="S154" s="100" t="s">
        <v>6733</v>
      </c>
      <c r="T154" s="100" t="s">
        <v>6734</v>
      </c>
      <c r="U154" s="100" t="s">
        <v>2319</v>
      </c>
      <c r="V154" s="100" t="s">
        <v>2320</v>
      </c>
      <c r="W154" s="100" t="s">
        <v>6735</v>
      </c>
      <c r="X154" s="100" t="s">
        <v>682</v>
      </c>
      <c r="Y154" s="100" t="s">
        <v>682</v>
      </c>
      <c r="Z154" s="100" t="s">
        <v>682</v>
      </c>
      <c r="AA154" s="100" t="s">
        <v>2321</v>
      </c>
      <c r="AB154" s="100" t="s">
        <v>2322</v>
      </c>
      <c r="AC154" s="100" t="s">
        <v>6736</v>
      </c>
      <c r="AD154" s="100" t="s">
        <v>682</v>
      </c>
      <c r="AE154" s="100" t="s">
        <v>682</v>
      </c>
      <c r="AF154" s="100" t="s">
        <v>682</v>
      </c>
      <c r="AG154" s="100" t="s">
        <v>682</v>
      </c>
      <c r="AH154" s="100" t="s">
        <v>682</v>
      </c>
      <c r="AI154" s="100" t="s">
        <v>682</v>
      </c>
      <c r="AJ154" s="100" t="s">
        <v>682</v>
      </c>
      <c r="AK154" s="100" t="s">
        <v>682</v>
      </c>
    </row>
    <row r="155" spans="1:37">
      <c r="A155" s="100" t="s">
        <v>2323</v>
      </c>
      <c r="B155" s="100" t="s">
        <v>2324</v>
      </c>
      <c r="C155" s="100" t="s">
        <v>682</v>
      </c>
      <c r="D155" s="100" t="s">
        <v>65</v>
      </c>
      <c r="E155" s="100" t="s">
        <v>2325</v>
      </c>
      <c r="F155" s="100" t="s">
        <v>221</v>
      </c>
      <c r="G155" s="100" t="s">
        <v>184</v>
      </c>
      <c r="H155" s="100" t="s">
        <v>682</v>
      </c>
      <c r="I155" s="100" t="s">
        <v>4567</v>
      </c>
      <c r="J155" s="100" t="s">
        <v>1395</v>
      </c>
      <c r="K155" s="100" t="s">
        <v>2326</v>
      </c>
      <c r="L155" s="100" t="s">
        <v>682</v>
      </c>
      <c r="M155" s="100" t="s">
        <v>682</v>
      </c>
      <c r="N155" s="100" t="s">
        <v>682</v>
      </c>
      <c r="O155" s="100" t="s">
        <v>5465</v>
      </c>
      <c r="P155" s="100" t="s">
        <v>4013</v>
      </c>
      <c r="Q155" s="100" t="s">
        <v>2327</v>
      </c>
      <c r="R155" s="100" t="s">
        <v>5466</v>
      </c>
      <c r="S155" s="100" t="s">
        <v>5467</v>
      </c>
      <c r="T155" s="100" t="s">
        <v>4568</v>
      </c>
      <c r="U155" s="100" t="s">
        <v>2328</v>
      </c>
      <c r="V155" s="100" t="s">
        <v>2329</v>
      </c>
      <c r="W155" s="100" t="s">
        <v>682</v>
      </c>
      <c r="X155" s="100" t="s">
        <v>2330</v>
      </c>
      <c r="Y155" s="100" t="s">
        <v>4569</v>
      </c>
      <c r="Z155" s="100" t="s">
        <v>4570</v>
      </c>
      <c r="AA155" s="100" t="s">
        <v>2331</v>
      </c>
      <c r="AB155" s="100" t="s">
        <v>2332</v>
      </c>
      <c r="AC155" s="100" t="s">
        <v>682</v>
      </c>
      <c r="AD155" s="100" t="s">
        <v>682</v>
      </c>
      <c r="AE155" s="100" t="s">
        <v>54</v>
      </c>
      <c r="AF155" s="100" t="s">
        <v>682</v>
      </c>
      <c r="AG155" s="100" t="s">
        <v>682</v>
      </c>
      <c r="AH155" s="100" t="s">
        <v>2333</v>
      </c>
      <c r="AI155" s="100" t="s">
        <v>682</v>
      </c>
      <c r="AJ155" s="100" t="s">
        <v>682</v>
      </c>
      <c r="AK155" s="100" t="s">
        <v>682</v>
      </c>
    </row>
    <row r="156" spans="1:37">
      <c r="A156" s="100" t="s">
        <v>2334</v>
      </c>
      <c r="B156" s="100" t="s">
        <v>2335</v>
      </c>
      <c r="C156" s="100" t="s">
        <v>682</v>
      </c>
      <c r="D156" s="100" t="s">
        <v>38</v>
      </c>
      <c r="E156" s="100" t="s">
        <v>2336</v>
      </c>
      <c r="F156" s="100" t="s">
        <v>154</v>
      </c>
      <c r="G156" s="100" t="s">
        <v>463</v>
      </c>
      <c r="H156" s="100" t="s">
        <v>1560</v>
      </c>
      <c r="I156" s="100" t="s">
        <v>4571</v>
      </c>
      <c r="J156" s="100" t="s">
        <v>1569</v>
      </c>
      <c r="K156" s="100" t="s">
        <v>2338</v>
      </c>
      <c r="L156" s="100" t="s">
        <v>682</v>
      </c>
      <c r="M156" s="100" t="s">
        <v>682</v>
      </c>
      <c r="N156" s="100" t="s">
        <v>682</v>
      </c>
      <c r="O156" s="100" t="s">
        <v>5468</v>
      </c>
      <c r="P156" s="100" t="s">
        <v>4014</v>
      </c>
      <c r="Q156" s="100" t="s">
        <v>2339</v>
      </c>
      <c r="R156" s="100" t="s">
        <v>5469</v>
      </c>
      <c r="S156" s="100" t="s">
        <v>5470</v>
      </c>
      <c r="T156" s="100" t="s">
        <v>4572</v>
      </c>
      <c r="U156" s="100" t="s">
        <v>2340</v>
      </c>
      <c r="V156" s="100" t="s">
        <v>2341</v>
      </c>
      <c r="W156" s="100" t="s">
        <v>682</v>
      </c>
      <c r="X156" s="100" t="s">
        <v>2342</v>
      </c>
      <c r="Y156" s="100" t="s">
        <v>4573</v>
      </c>
      <c r="Z156" s="100" t="s">
        <v>4574</v>
      </c>
      <c r="AA156" s="100" t="s">
        <v>2343</v>
      </c>
      <c r="AB156" s="100" t="s">
        <v>2344</v>
      </c>
      <c r="AC156" s="100" t="s">
        <v>682</v>
      </c>
      <c r="AD156" s="100" t="s">
        <v>682</v>
      </c>
      <c r="AE156" s="100" t="s">
        <v>54</v>
      </c>
      <c r="AF156" s="100" t="s">
        <v>682</v>
      </c>
      <c r="AG156" s="100" t="s">
        <v>682</v>
      </c>
      <c r="AH156" s="100" t="s">
        <v>2345</v>
      </c>
      <c r="AI156" s="100" t="s">
        <v>682</v>
      </c>
      <c r="AJ156" s="100" t="s">
        <v>682</v>
      </c>
      <c r="AK156" s="100" t="s">
        <v>682</v>
      </c>
    </row>
    <row r="157" spans="1:37">
      <c r="A157" s="100" t="s">
        <v>6737</v>
      </c>
      <c r="B157" s="100" t="s">
        <v>6738</v>
      </c>
      <c r="C157" s="100" t="s">
        <v>682</v>
      </c>
      <c r="D157" s="100" t="s">
        <v>77</v>
      </c>
      <c r="E157" s="100" t="s">
        <v>6739</v>
      </c>
      <c r="F157" s="100" t="s">
        <v>232</v>
      </c>
      <c r="G157" s="100" t="s">
        <v>437</v>
      </c>
      <c r="H157" s="100" t="s">
        <v>2003</v>
      </c>
      <c r="I157" s="100" t="s">
        <v>6740</v>
      </c>
      <c r="J157" s="100" t="s">
        <v>2219</v>
      </c>
      <c r="K157" s="100" t="s">
        <v>2346</v>
      </c>
      <c r="L157" s="100" t="s">
        <v>682</v>
      </c>
      <c r="M157" s="100" t="s">
        <v>682</v>
      </c>
      <c r="N157" s="100" t="s">
        <v>682</v>
      </c>
      <c r="O157" s="100" t="s">
        <v>6741</v>
      </c>
      <c r="P157" s="100" t="s">
        <v>6742</v>
      </c>
      <c r="Q157" s="100" t="s">
        <v>6743</v>
      </c>
      <c r="R157" s="100" t="s">
        <v>6744</v>
      </c>
      <c r="S157" s="100" t="s">
        <v>6745</v>
      </c>
      <c r="T157" s="100" t="s">
        <v>6746</v>
      </c>
      <c r="U157" s="100" t="s">
        <v>6747</v>
      </c>
      <c r="V157" s="100" t="s">
        <v>6748</v>
      </c>
      <c r="W157" s="100" t="s">
        <v>682</v>
      </c>
      <c r="X157" s="100" t="s">
        <v>6749</v>
      </c>
      <c r="Y157" s="100" t="s">
        <v>6750</v>
      </c>
      <c r="Z157" s="100" t="s">
        <v>6751</v>
      </c>
      <c r="AA157" s="100" t="s">
        <v>6752</v>
      </c>
      <c r="AB157" s="100" t="s">
        <v>6753</v>
      </c>
      <c r="AC157" s="100" t="s">
        <v>682</v>
      </c>
      <c r="AD157" s="100" t="s">
        <v>682</v>
      </c>
      <c r="AE157" s="100" t="s">
        <v>43</v>
      </c>
      <c r="AF157" s="100" t="s">
        <v>46</v>
      </c>
      <c r="AG157" s="100" t="s">
        <v>63</v>
      </c>
      <c r="AH157" s="100" t="s">
        <v>2347</v>
      </c>
      <c r="AI157" s="100" t="s">
        <v>682</v>
      </c>
      <c r="AJ157" s="100" t="s">
        <v>682</v>
      </c>
      <c r="AK157" s="100" t="s">
        <v>682</v>
      </c>
    </row>
    <row r="158" spans="1:37">
      <c r="A158" s="100" t="s">
        <v>2348</v>
      </c>
      <c r="B158" s="100" t="s">
        <v>2349</v>
      </c>
      <c r="C158" s="100" t="s">
        <v>682</v>
      </c>
      <c r="D158" s="100" t="s">
        <v>78</v>
      </c>
      <c r="E158" s="100" t="s">
        <v>2350</v>
      </c>
      <c r="F158" s="100" t="s">
        <v>232</v>
      </c>
      <c r="G158" s="100" t="s">
        <v>445</v>
      </c>
      <c r="H158" s="100" t="s">
        <v>2003</v>
      </c>
      <c r="I158" s="100" t="s">
        <v>4575</v>
      </c>
      <c r="J158" s="100" t="s">
        <v>2242</v>
      </c>
      <c r="K158" s="100" t="s">
        <v>2351</v>
      </c>
      <c r="L158" s="100" t="s">
        <v>682</v>
      </c>
      <c r="M158" s="100" t="s">
        <v>682</v>
      </c>
      <c r="N158" s="100" t="s">
        <v>682</v>
      </c>
      <c r="O158" s="100" t="s">
        <v>5471</v>
      </c>
      <c r="P158" s="100" t="s">
        <v>4015</v>
      </c>
      <c r="Q158" s="100" t="s">
        <v>2352</v>
      </c>
      <c r="R158" s="100" t="s">
        <v>5472</v>
      </c>
      <c r="S158" s="100" t="s">
        <v>5473</v>
      </c>
      <c r="T158" s="100" t="s">
        <v>4576</v>
      </c>
      <c r="U158" s="100" t="s">
        <v>2353</v>
      </c>
      <c r="V158" s="100" t="s">
        <v>2354</v>
      </c>
      <c r="W158" s="100" t="s">
        <v>682</v>
      </c>
      <c r="X158" s="100" t="s">
        <v>2355</v>
      </c>
      <c r="Y158" s="100" t="s">
        <v>4577</v>
      </c>
      <c r="Z158" s="100" t="s">
        <v>4578</v>
      </c>
      <c r="AA158" s="100" t="s">
        <v>2356</v>
      </c>
      <c r="AB158" s="100" t="s">
        <v>2357</v>
      </c>
      <c r="AC158" s="100" t="s">
        <v>682</v>
      </c>
      <c r="AD158" s="100" t="s">
        <v>682</v>
      </c>
      <c r="AE158" s="100" t="s">
        <v>54</v>
      </c>
      <c r="AF158" s="100" t="s">
        <v>682</v>
      </c>
      <c r="AG158" s="100" t="s">
        <v>682</v>
      </c>
      <c r="AH158" s="100" t="s">
        <v>2358</v>
      </c>
      <c r="AI158" s="100" t="s">
        <v>682</v>
      </c>
      <c r="AJ158" s="100" t="s">
        <v>682</v>
      </c>
      <c r="AK158" s="100" t="s">
        <v>682</v>
      </c>
    </row>
    <row r="159" spans="1:37">
      <c r="A159" s="100" t="s">
        <v>2359</v>
      </c>
      <c r="B159" s="100" t="s">
        <v>2360</v>
      </c>
      <c r="C159" s="100" t="s">
        <v>682</v>
      </c>
      <c r="D159" s="100" t="s">
        <v>78</v>
      </c>
      <c r="E159" s="100" t="s">
        <v>2361</v>
      </c>
      <c r="F159" s="100" t="s">
        <v>237</v>
      </c>
      <c r="G159" s="100" t="s">
        <v>439</v>
      </c>
      <c r="H159" s="100" t="s">
        <v>2285</v>
      </c>
      <c r="I159" s="100" t="s">
        <v>4579</v>
      </c>
      <c r="J159" s="100" t="s">
        <v>2297</v>
      </c>
      <c r="K159" s="100" t="s">
        <v>2362</v>
      </c>
      <c r="L159" s="100" t="s">
        <v>682</v>
      </c>
      <c r="M159" s="100" t="s">
        <v>682</v>
      </c>
      <c r="N159" s="100" t="s">
        <v>682</v>
      </c>
      <c r="O159" s="100" t="s">
        <v>5474</v>
      </c>
      <c r="P159" s="100" t="s">
        <v>4016</v>
      </c>
      <c r="Q159" s="100" t="s">
        <v>2363</v>
      </c>
      <c r="R159" s="100" t="s">
        <v>5475</v>
      </c>
      <c r="S159" s="100" t="s">
        <v>5476</v>
      </c>
      <c r="T159" s="100" t="s">
        <v>4580</v>
      </c>
      <c r="U159" s="100" t="s">
        <v>2364</v>
      </c>
      <c r="V159" s="100" t="s">
        <v>2365</v>
      </c>
      <c r="W159" s="100" t="s">
        <v>682</v>
      </c>
      <c r="X159" s="100" t="s">
        <v>2366</v>
      </c>
      <c r="Y159" s="100" t="s">
        <v>4581</v>
      </c>
      <c r="Z159" s="100" t="s">
        <v>4582</v>
      </c>
      <c r="AA159" s="100" t="s">
        <v>2367</v>
      </c>
      <c r="AB159" s="100" t="s">
        <v>2368</v>
      </c>
      <c r="AC159" s="100" t="s">
        <v>682</v>
      </c>
      <c r="AD159" s="100" t="s">
        <v>682</v>
      </c>
      <c r="AE159" s="100" t="s">
        <v>43</v>
      </c>
      <c r="AF159" s="100" t="s">
        <v>46</v>
      </c>
      <c r="AG159" s="100" t="s">
        <v>42</v>
      </c>
      <c r="AH159" s="100" t="s">
        <v>2369</v>
      </c>
      <c r="AI159" s="100" t="s">
        <v>682</v>
      </c>
      <c r="AJ159" s="100" t="s">
        <v>682</v>
      </c>
      <c r="AK159" s="100" t="s">
        <v>682</v>
      </c>
    </row>
    <row r="160" spans="1:37">
      <c r="A160" s="100" t="s">
        <v>2370</v>
      </c>
      <c r="B160" s="100" t="s">
        <v>2371</v>
      </c>
      <c r="C160" s="100" t="s">
        <v>682</v>
      </c>
      <c r="D160" s="100" t="s">
        <v>89</v>
      </c>
      <c r="E160" s="100" t="s">
        <v>2372</v>
      </c>
      <c r="F160" s="100" t="s">
        <v>298</v>
      </c>
      <c r="G160" s="100" t="s">
        <v>496</v>
      </c>
      <c r="H160" s="100" t="s">
        <v>682</v>
      </c>
      <c r="I160" s="100" t="s">
        <v>4583</v>
      </c>
      <c r="J160" s="100" t="s">
        <v>2219</v>
      </c>
      <c r="K160" s="100" t="s">
        <v>2373</v>
      </c>
      <c r="L160" s="100" t="s">
        <v>682</v>
      </c>
      <c r="M160" s="100" t="s">
        <v>682</v>
      </c>
      <c r="N160" s="100" t="s">
        <v>682</v>
      </c>
      <c r="O160" s="100" t="s">
        <v>5477</v>
      </c>
      <c r="P160" s="100" t="s">
        <v>4017</v>
      </c>
      <c r="Q160" s="100" t="s">
        <v>2374</v>
      </c>
      <c r="R160" s="100" t="s">
        <v>5478</v>
      </c>
      <c r="S160" s="100" t="s">
        <v>5479</v>
      </c>
      <c r="T160" s="100" t="s">
        <v>4584</v>
      </c>
      <c r="U160" s="100" t="s">
        <v>2375</v>
      </c>
      <c r="V160" s="100" t="s">
        <v>2376</v>
      </c>
      <c r="W160" s="100" t="s">
        <v>682</v>
      </c>
      <c r="X160" s="100" t="s">
        <v>2377</v>
      </c>
      <c r="Y160" s="100" t="s">
        <v>4585</v>
      </c>
      <c r="Z160" s="100" t="s">
        <v>4586</v>
      </c>
      <c r="AA160" s="100" t="s">
        <v>2378</v>
      </c>
      <c r="AB160" s="100" t="s">
        <v>2379</v>
      </c>
      <c r="AC160" s="100" t="s">
        <v>682</v>
      </c>
      <c r="AD160" s="100" t="s">
        <v>682</v>
      </c>
      <c r="AE160" s="100" t="s">
        <v>54</v>
      </c>
      <c r="AF160" s="100" t="s">
        <v>682</v>
      </c>
      <c r="AG160" s="100" t="s">
        <v>682</v>
      </c>
      <c r="AH160" s="100" t="s">
        <v>2380</v>
      </c>
      <c r="AI160" s="100" t="s">
        <v>682</v>
      </c>
      <c r="AJ160" s="100" t="s">
        <v>682</v>
      </c>
      <c r="AK160" s="100" t="s">
        <v>682</v>
      </c>
    </row>
    <row r="161" spans="1:37">
      <c r="A161" s="100" t="s">
        <v>2381</v>
      </c>
      <c r="B161" s="100" t="s">
        <v>2382</v>
      </c>
      <c r="C161" s="100" t="s">
        <v>682</v>
      </c>
      <c r="D161" s="100" t="s">
        <v>2619</v>
      </c>
      <c r="E161" s="100" t="s">
        <v>2383</v>
      </c>
      <c r="F161" s="100" t="s">
        <v>226</v>
      </c>
      <c r="G161" s="100" t="s">
        <v>376</v>
      </c>
      <c r="H161" s="100" t="s">
        <v>682</v>
      </c>
      <c r="I161" s="100" t="s">
        <v>4587</v>
      </c>
      <c r="J161" s="100" t="s">
        <v>2874</v>
      </c>
      <c r="K161" s="100" t="s">
        <v>2384</v>
      </c>
      <c r="L161" s="100" t="s">
        <v>682</v>
      </c>
      <c r="M161" s="100" t="s">
        <v>682</v>
      </c>
      <c r="N161" s="100" t="s">
        <v>682</v>
      </c>
      <c r="O161" s="100" t="s">
        <v>5480</v>
      </c>
      <c r="P161" s="100" t="s">
        <v>4018</v>
      </c>
      <c r="Q161" s="100" t="s">
        <v>2385</v>
      </c>
      <c r="R161" s="100" t="s">
        <v>5481</v>
      </c>
      <c r="S161" s="100" t="s">
        <v>5482</v>
      </c>
      <c r="T161" s="100" t="s">
        <v>4588</v>
      </c>
      <c r="U161" s="100" t="s">
        <v>2386</v>
      </c>
      <c r="V161" s="100" t="s">
        <v>2387</v>
      </c>
      <c r="W161" s="100" t="s">
        <v>682</v>
      </c>
      <c r="X161" s="100" t="s">
        <v>2388</v>
      </c>
      <c r="Y161" s="100" t="s">
        <v>4589</v>
      </c>
      <c r="Z161" s="100" t="s">
        <v>4590</v>
      </c>
      <c r="AA161" s="100" t="s">
        <v>2389</v>
      </c>
      <c r="AB161" s="100" t="s">
        <v>2390</v>
      </c>
      <c r="AC161" s="100" t="s">
        <v>682</v>
      </c>
      <c r="AD161" s="100" t="s">
        <v>682</v>
      </c>
      <c r="AE161" s="100" t="s">
        <v>43</v>
      </c>
      <c r="AF161" s="100" t="s">
        <v>46</v>
      </c>
      <c r="AG161" s="100" t="s">
        <v>42</v>
      </c>
      <c r="AH161" s="100" t="s">
        <v>2391</v>
      </c>
      <c r="AI161" s="100" t="s">
        <v>682</v>
      </c>
      <c r="AJ161" s="100" t="s">
        <v>682</v>
      </c>
      <c r="AK161" s="100" t="s">
        <v>682</v>
      </c>
    </row>
    <row r="162" spans="1:37">
      <c r="A162" s="100" t="s">
        <v>2392</v>
      </c>
      <c r="B162" s="100" t="s">
        <v>2393</v>
      </c>
      <c r="C162" s="100" t="s">
        <v>682</v>
      </c>
      <c r="D162" s="100" t="s">
        <v>2619</v>
      </c>
      <c r="E162" s="100" t="s">
        <v>2394</v>
      </c>
      <c r="F162" s="100" t="s">
        <v>231</v>
      </c>
      <c r="G162" s="100" t="s">
        <v>368</v>
      </c>
      <c r="H162" s="100" t="s">
        <v>682</v>
      </c>
      <c r="I162" s="100" t="s">
        <v>4591</v>
      </c>
      <c r="J162" s="100" t="s">
        <v>1395</v>
      </c>
      <c r="K162" s="100" t="s">
        <v>2395</v>
      </c>
      <c r="L162" s="100" t="s">
        <v>682</v>
      </c>
      <c r="M162" s="100" t="s">
        <v>682</v>
      </c>
      <c r="N162" s="100" t="s">
        <v>682</v>
      </c>
      <c r="O162" s="100" t="s">
        <v>5483</v>
      </c>
      <c r="P162" s="100" t="s">
        <v>4019</v>
      </c>
      <c r="Q162" s="100" t="s">
        <v>2396</v>
      </c>
      <c r="R162" s="100" t="s">
        <v>5484</v>
      </c>
      <c r="S162" s="100" t="s">
        <v>5485</v>
      </c>
      <c r="T162" s="100" t="s">
        <v>4592</v>
      </c>
      <c r="U162" s="100" t="s">
        <v>2397</v>
      </c>
      <c r="V162" s="100" t="s">
        <v>2398</v>
      </c>
      <c r="W162" s="100" t="s">
        <v>682</v>
      </c>
      <c r="X162" s="100" t="s">
        <v>2399</v>
      </c>
      <c r="Y162" s="100" t="s">
        <v>4593</v>
      </c>
      <c r="Z162" s="100" t="s">
        <v>4594</v>
      </c>
      <c r="AA162" s="100" t="s">
        <v>2400</v>
      </c>
      <c r="AB162" s="100" t="s">
        <v>2401</v>
      </c>
      <c r="AC162" s="100" t="s">
        <v>682</v>
      </c>
      <c r="AD162" s="100" t="s">
        <v>682</v>
      </c>
      <c r="AE162" s="100" t="s">
        <v>43</v>
      </c>
      <c r="AF162" s="100" t="s">
        <v>46</v>
      </c>
      <c r="AG162" s="100" t="s">
        <v>42</v>
      </c>
      <c r="AH162" s="100" t="s">
        <v>2402</v>
      </c>
      <c r="AI162" s="100" t="s">
        <v>682</v>
      </c>
      <c r="AJ162" s="100" t="s">
        <v>682</v>
      </c>
      <c r="AK162" s="100" t="s">
        <v>682</v>
      </c>
    </row>
    <row r="163" spans="1:37">
      <c r="A163" s="100" t="s">
        <v>2403</v>
      </c>
      <c r="B163" s="100" t="s">
        <v>2404</v>
      </c>
      <c r="C163" s="100" t="s">
        <v>682</v>
      </c>
      <c r="D163" s="100" t="s">
        <v>2619</v>
      </c>
      <c r="E163" s="100" t="s">
        <v>2405</v>
      </c>
      <c r="F163" s="100" t="s">
        <v>231</v>
      </c>
      <c r="G163" s="100" t="s">
        <v>376</v>
      </c>
      <c r="H163" s="100" t="s">
        <v>682</v>
      </c>
      <c r="I163" s="100" t="s">
        <v>4595</v>
      </c>
      <c r="J163" s="100" t="s">
        <v>2242</v>
      </c>
      <c r="K163" s="100" t="s">
        <v>2407</v>
      </c>
      <c r="L163" s="100" t="s">
        <v>682</v>
      </c>
      <c r="M163" s="100" t="s">
        <v>682</v>
      </c>
      <c r="N163" s="100" t="s">
        <v>682</v>
      </c>
      <c r="O163" s="100" t="s">
        <v>5486</v>
      </c>
      <c r="P163" s="100" t="s">
        <v>4020</v>
      </c>
      <c r="Q163" s="100" t="s">
        <v>2408</v>
      </c>
      <c r="R163" s="100" t="s">
        <v>5487</v>
      </c>
      <c r="S163" s="100" t="s">
        <v>5488</v>
      </c>
      <c r="T163" s="100" t="s">
        <v>4596</v>
      </c>
      <c r="U163" s="100" t="s">
        <v>2409</v>
      </c>
      <c r="V163" s="100" t="s">
        <v>2410</v>
      </c>
      <c r="W163" s="100" t="s">
        <v>682</v>
      </c>
      <c r="X163" s="100" t="s">
        <v>2411</v>
      </c>
      <c r="Y163" s="100" t="s">
        <v>4597</v>
      </c>
      <c r="Z163" s="100" t="s">
        <v>4598</v>
      </c>
      <c r="AA163" s="100" t="s">
        <v>2412</v>
      </c>
      <c r="AB163" s="100" t="s">
        <v>2413</v>
      </c>
      <c r="AC163" s="100" t="s">
        <v>682</v>
      </c>
      <c r="AD163" s="100" t="s">
        <v>682</v>
      </c>
      <c r="AE163" s="100" t="s">
        <v>43</v>
      </c>
      <c r="AF163" s="100" t="s">
        <v>46</v>
      </c>
      <c r="AG163" s="100" t="s">
        <v>42</v>
      </c>
      <c r="AH163" s="100" t="s">
        <v>2414</v>
      </c>
      <c r="AI163" s="100" t="s">
        <v>682</v>
      </c>
      <c r="AJ163" s="100" t="s">
        <v>682</v>
      </c>
      <c r="AK163" s="100" t="s">
        <v>682</v>
      </c>
    </row>
    <row r="164" spans="1:37">
      <c r="A164" s="100" t="s">
        <v>6754</v>
      </c>
      <c r="B164" s="100" t="s">
        <v>6755</v>
      </c>
      <c r="C164" s="100" t="s">
        <v>682</v>
      </c>
      <c r="D164" s="100" t="s">
        <v>2619</v>
      </c>
      <c r="E164" s="100" t="s">
        <v>6756</v>
      </c>
      <c r="F164" s="100" t="s">
        <v>228</v>
      </c>
      <c r="G164" s="100" t="s">
        <v>363</v>
      </c>
      <c r="H164" s="100" t="s">
        <v>682</v>
      </c>
      <c r="I164" s="100" t="s">
        <v>6757</v>
      </c>
      <c r="J164" s="100" t="s">
        <v>2242</v>
      </c>
      <c r="K164" s="100" t="s">
        <v>2415</v>
      </c>
      <c r="L164" s="100" t="s">
        <v>682</v>
      </c>
      <c r="M164" s="100" t="s">
        <v>682</v>
      </c>
      <c r="N164" s="100" t="s">
        <v>682</v>
      </c>
      <c r="O164" s="100" t="s">
        <v>6758</v>
      </c>
      <c r="P164" s="100" t="s">
        <v>6759</v>
      </c>
      <c r="Q164" s="100" t="s">
        <v>6760</v>
      </c>
      <c r="R164" s="100" t="s">
        <v>6761</v>
      </c>
      <c r="S164" s="100" t="s">
        <v>6762</v>
      </c>
      <c r="T164" s="100" t="s">
        <v>6763</v>
      </c>
      <c r="U164" s="100" t="s">
        <v>6764</v>
      </c>
      <c r="V164" s="100" t="s">
        <v>6765</v>
      </c>
      <c r="W164" s="100" t="s">
        <v>682</v>
      </c>
      <c r="X164" s="100" t="s">
        <v>6766</v>
      </c>
      <c r="Y164" s="100" t="s">
        <v>6767</v>
      </c>
      <c r="Z164" s="100" t="s">
        <v>6768</v>
      </c>
      <c r="AA164" s="100" t="s">
        <v>6769</v>
      </c>
      <c r="AB164" s="100" t="s">
        <v>6770</v>
      </c>
      <c r="AC164" s="100" t="s">
        <v>682</v>
      </c>
      <c r="AD164" s="100" t="s">
        <v>682</v>
      </c>
      <c r="AE164" s="100" t="s">
        <v>43</v>
      </c>
      <c r="AF164" s="100" t="s">
        <v>46</v>
      </c>
      <c r="AG164" s="100" t="s">
        <v>42</v>
      </c>
      <c r="AH164" s="100" t="s">
        <v>2416</v>
      </c>
      <c r="AI164" s="100" t="s">
        <v>682</v>
      </c>
      <c r="AJ164" s="100" t="s">
        <v>682</v>
      </c>
      <c r="AK164" s="100" t="s">
        <v>682</v>
      </c>
    </row>
    <row r="165" spans="1:37">
      <c r="A165" s="100" t="s">
        <v>2417</v>
      </c>
      <c r="B165" s="100" t="s">
        <v>2418</v>
      </c>
      <c r="C165" s="100" t="s">
        <v>682</v>
      </c>
      <c r="D165" s="100" t="s">
        <v>2619</v>
      </c>
      <c r="E165" s="100" t="s">
        <v>2419</v>
      </c>
      <c r="F165" s="100" t="s">
        <v>228</v>
      </c>
      <c r="G165" s="100" t="s">
        <v>367</v>
      </c>
      <c r="H165" s="100" t="s">
        <v>682</v>
      </c>
      <c r="I165" s="100" t="s">
        <v>4599</v>
      </c>
      <c r="J165" s="100" t="s">
        <v>2943</v>
      </c>
      <c r="K165" s="100" t="s">
        <v>2420</v>
      </c>
      <c r="L165" s="100" t="s">
        <v>682</v>
      </c>
      <c r="M165" s="100" t="s">
        <v>682</v>
      </c>
      <c r="N165" s="100" t="s">
        <v>682</v>
      </c>
      <c r="O165" s="100" t="s">
        <v>5489</v>
      </c>
      <c r="P165" s="100" t="s">
        <v>4021</v>
      </c>
      <c r="Q165" s="100" t="s">
        <v>2421</v>
      </c>
      <c r="R165" s="100" t="s">
        <v>5490</v>
      </c>
      <c r="S165" s="100" t="s">
        <v>5491</v>
      </c>
      <c r="T165" s="100" t="s">
        <v>4600</v>
      </c>
      <c r="U165" s="100" t="s">
        <v>2422</v>
      </c>
      <c r="V165" s="100" t="s">
        <v>2423</v>
      </c>
      <c r="W165" s="100" t="s">
        <v>682</v>
      </c>
      <c r="X165" s="100" t="s">
        <v>2424</v>
      </c>
      <c r="Y165" s="100" t="s">
        <v>4601</v>
      </c>
      <c r="Z165" s="100" t="s">
        <v>4602</v>
      </c>
      <c r="AA165" s="100" t="s">
        <v>2425</v>
      </c>
      <c r="AB165" s="100" t="s">
        <v>2426</v>
      </c>
      <c r="AC165" s="100" t="s">
        <v>682</v>
      </c>
      <c r="AD165" s="100" t="s">
        <v>682</v>
      </c>
      <c r="AE165" s="100" t="s">
        <v>43</v>
      </c>
      <c r="AF165" s="100" t="s">
        <v>46</v>
      </c>
      <c r="AG165" s="100" t="s">
        <v>42</v>
      </c>
      <c r="AH165" s="100" t="s">
        <v>2427</v>
      </c>
      <c r="AI165" s="100" t="s">
        <v>682</v>
      </c>
      <c r="AJ165" s="100" t="s">
        <v>682</v>
      </c>
      <c r="AK165" s="100" t="s">
        <v>682</v>
      </c>
    </row>
    <row r="166" spans="1:37">
      <c r="A166" s="100" t="s">
        <v>2428</v>
      </c>
      <c r="B166" s="100" t="s">
        <v>2429</v>
      </c>
      <c r="C166" s="100" t="s">
        <v>682</v>
      </c>
      <c r="D166" s="100" t="s">
        <v>97</v>
      </c>
      <c r="E166" s="100" t="s">
        <v>2430</v>
      </c>
      <c r="F166" s="100" t="s">
        <v>254</v>
      </c>
      <c r="G166" s="100" t="s">
        <v>274</v>
      </c>
      <c r="H166" s="100" t="s">
        <v>682</v>
      </c>
      <c r="I166" s="100" t="s">
        <v>4603</v>
      </c>
      <c r="J166" s="100" t="s">
        <v>2219</v>
      </c>
      <c r="K166" s="100" t="s">
        <v>2431</v>
      </c>
      <c r="L166" s="100" t="s">
        <v>682</v>
      </c>
      <c r="M166" s="100" t="s">
        <v>682</v>
      </c>
      <c r="N166" s="100" t="s">
        <v>682</v>
      </c>
      <c r="O166" s="100" t="s">
        <v>5492</v>
      </c>
      <c r="P166" s="100" t="s">
        <v>2432</v>
      </c>
      <c r="Q166" s="100" t="s">
        <v>2433</v>
      </c>
      <c r="R166" s="100" t="s">
        <v>5493</v>
      </c>
      <c r="S166" s="100" t="s">
        <v>5494</v>
      </c>
      <c r="T166" s="100" t="s">
        <v>4604</v>
      </c>
      <c r="U166" s="100" t="s">
        <v>2434</v>
      </c>
      <c r="V166" s="100" t="s">
        <v>2435</v>
      </c>
      <c r="W166" s="100" t="s">
        <v>682</v>
      </c>
      <c r="X166" s="100" t="s">
        <v>2436</v>
      </c>
      <c r="Y166" s="100" t="s">
        <v>4605</v>
      </c>
      <c r="Z166" s="100" t="s">
        <v>4606</v>
      </c>
      <c r="AA166" s="100" t="s">
        <v>2437</v>
      </c>
      <c r="AB166" s="100" t="s">
        <v>2438</v>
      </c>
      <c r="AC166" s="100" t="s">
        <v>682</v>
      </c>
      <c r="AD166" s="100" t="s">
        <v>682</v>
      </c>
      <c r="AE166" s="100" t="s">
        <v>43</v>
      </c>
      <c r="AF166" s="100" t="s">
        <v>41</v>
      </c>
      <c r="AG166" s="100" t="s">
        <v>42</v>
      </c>
      <c r="AH166" s="100" t="s">
        <v>2439</v>
      </c>
      <c r="AI166" s="100" t="s">
        <v>682</v>
      </c>
      <c r="AJ166" s="100" t="s">
        <v>682</v>
      </c>
      <c r="AK166" s="100" t="s">
        <v>682</v>
      </c>
    </row>
    <row r="167" spans="1:37">
      <c r="A167" s="100" t="s">
        <v>2440</v>
      </c>
      <c r="B167" s="100" t="s">
        <v>2441</v>
      </c>
      <c r="C167" s="100" t="s">
        <v>682</v>
      </c>
      <c r="D167" s="100" t="s">
        <v>97</v>
      </c>
      <c r="E167" s="100" t="s">
        <v>2442</v>
      </c>
      <c r="F167" s="100" t="s">
        <v>253</v>
      </c>
      <c r="G167" s="100" t="s">
        <v>292</v>
      </c>
      <c r="H167" s="100" t="s">
        <v>682</v>
      </c>
      <c r="I167" s="100" t="s">
        <v>4607</v>
      </c>
      <c r="J167" s="100" t="s">
        <v>1395</v>
      </c>
      <c r="K167" s="100" t="s">
        <v>2443</v>
      </c>
      <c r="L167" s="100" t="s">
        <v>682</v>
      </c>
      <c r="M167" s="100" t="s">
        <v>682</v>
      </c>
      <c r="N167" s="100" t="s">
        <v>682</v>
      </c>
      <c r="O167" s="100" t="s">
        <v>5495</v>
      </c>
      <c r="P167" s="100" t="s">
        <v>2444</v>
      </c>
      <c r="Q167" s="100" t="s">
        <v>2445</v>
      </c>
      <c r="R167" s="100" t="s">
        <v>5496</v>
      </c>
      <c r="S167" s="100" t="s">
        <v>5497</v>
      </c>
      <c r="T167" s="100" t="s">
        <v>4608</v>
      </c>
      <c r="U167" s="100" t="s">
        <v>2446</v>
      </c>
      <c r="V167" s="100" t="s">
        <v>2447</v>
      </c>
      <c r="W167" s="100" t="s">
        <v>682</v>
      </c>
      <c r="X167" s="100" t="s">
        <v>2448</v>
      </c>
      <c r="Y167" s="100" t="s">
        <v>4609</v>
      </c>
      <c r="Z167" s="100" t="s">
        <v>4610</v>
      </c>
      <c r="AA167" s="100" t="s">
        <v>2449</v>
      </c>
      <c r="AB167" s="100" t="s">
        <v>2450</v>
      </c>
      <c r="AC167" s="100" t="s">
        <v>682</v>
      </c>
      <c r="AD167" s="100" t="s">
        <v>682</v>
      </c>
      <c r="AE167" s="100" t="s">
        <v>43</v>
      </c>
      <c r="AF167" s="100" t="s">
        <v>41</v>
      </c>
      <c r="AG167" s="100" t="s">
        <v>42</v>
      </c>
      <c r="AH167" s="100" t="s">
        <v>2451</v>
      </c>
      <c r="AI167" s="100" t="s">
        <v>682</v>
      </c>
      <c r="AJ167" s="100" t="s">
        <v>682</v>
      </c>
      <c r="AK167" s="100" t="s">
        <v>682</v>
      </c>
    </row>
    <row r="168" spans="1:37">
      <c r="A168" s="100" t="s">
        <v>2452</v>
      </c>
      <c r="B168" s="100" t="s">
        <v>2453</v>
      </c>
      <c r="C168" s="100" t="s">
        <v>682</v>
      </c>
      <c r="D168" s="100" t="s">
        <v>106</v>
      </c>
      <c r="E168" s="100" t="s">
        <v>2454</v>
      </c>
      <c r="F168" s="100" t="s">
        <v>308</v>
      </c>
      <c r="G168" s="100" t="s">
        <v>320</v>
      </c>
      <c r="H168" s="100" t="s">
        <v>682</v>
      </c>
      <c r="I168" s="100" t="s">
        <v>4611</v>
      </c>
      <c r="J168" s="100" t="s">
        <v>2219</v>
      </c>
      <c r="K168" s="100" t="s">
        <v>2455</v>
      </c>
      <c r="L168" s="100" t="s">
        <v>682</v>
      </c>
      <c r="M168" s="100" t="s">
        <v>682</v>
      </c>
      <c r="N168" s="100" t="s">
        <v>682</v>
      </c>
      <c r="O168" s="100" t="s">
        <v>5498</v>
      </c>
      <c r="P168" s="100" t="s">
        <v>2456</v>
      </c>
      <c r="Q168" s="100" t="s">
        <v>2457</v>
      </c>
      <c r="R168" s="100" t="s">
        <v>5499</v>
      </c>
      <c r="S168" s="100" t="s">
        <v>5500</v>
      </c>
      <c r="T168" s="100" t="s">
        <v>4612</v>
      </c>
      <c r="U168" s="100" t="s">
        <v>2458</v>
      </c>
      <c r="V168" s="100" t="s">
        <v>2459</v>
      </c>
      <c r="W168" s="100" t="s">
        <v>682</v>
      </c>
      <c r="X168" s="100" t="s">
        <v>2460</v>
      </c>
      <c r="Y168" s="100" t="s">
        <v>4613</v>
      </c>
      <c r="Z168" s="100" t="s">
        <v>4614</v>
      </c>
      <c r="AA168" s="100" t="s">
        <v>2461</v>
      </c>
      <c r="AB168" s="100" t="s">
        <v>2462</v>
      </c>
      <c r="AC168" s="100" t="s">
        <v>682</v>
      </c>
      <c r="AD168" s="100" t="s">
        <v>682</v>
      </c>
      <c r="AE168" s="100" t="s">
        <v>43</v>
      </c>
      <c r="AF168" s="100" t="s">
        <v>46</v>
      </c>
      <c r="AG168" s="100" t="s">
        <v>42</v>
      </c>
      <c r="AH168" s="100" t="s">
        <v>2463</v>
      </c>
      <c r="AI168" s="100" t="s">
        <v>682</v>
      </c>
      <c r="AJ168" s="100" t="s">
        <v>682</v>
      </c>
      <c r="AK168" s="100" t="s">
        <v>682</v>
      </c>
    </row>
    <row r="169" spans="1:37">
      <c r="A169" s="100" t="s">
        <v>2464</v>
      </c>
      <c r="B169" s="100" t="s">
        <v>2465</v>
      </c>
      <c r="C169" s="100" t="s">
        <v>682</v>
      </c>
      <c r="D169" s="100" t="s">
        <v>106</v>
      </c>
      <c r="E169" s="100" t="s">
        <v>2466</v>
      </c>
      <c r="F169" s="100" t="s">
        <v>313</v>
      </c>
      <c r="G169" s="100" t="s">
        <v>320</v>
      </c>
      <c r="H169" s="100" t="s">
        <v>682</v>
      </c>
      <c r="I169" s="100" t="s">
        <v>4615</v>
      </c>
      <c r="J169" s="100" t="s">
        <v>2297</v>
      </c>
      <c r="K169" s="100" t="s">
        <v>2467</v>
      </c>
      <c r="L169" s="100" t="s">
        <v>682</v>
      </c>
      <c r="M169" s="100" t="s">
        <v>682</v>
      </c>
      <c r="N169" s="100" t="s">
        <v>682</v>
      </c>
      <c r="O169" s="100" t="s">
        <v>5501</v>
      </c>
      <c r="P169" s="100" t="s">
        <v>2468</v>
      </c>
      <c r="Q169" s="100" t="s">
        <v>2469</v>
      </c>
      <c r="R169" s="100" t="s">
        <v>5502</v>
      </c>
      <c r="S169" s="100" t="s">
        <v>5503</v>
      </c>
      <c r="T169" s="100" t="s">
        <v>4616</v>
      </c>
      <c r="U169" s="100" t="s">
        <v>2470</v>
      </c>
      <c r="V169" s="100" t="s">
        <v>2471</v>
      </c>
      <c r="W169" s="100" t="s">
        <v>682</v>
      </c>
      <c r="X169" s="100" t="s">
        <v>2472</v>
      </c>
      <c r="Y169" s="100" t="s">
        <v>4617</v>
      </c>
      <c r="Z169" s="100" t="s">
        <v>4618</v>
      </c>
      <c r="AA169" s="100" t="s">
        <v>2473</v>
      </c>
      <c r="AB169" s="100" t="s">
        <v>2474</v>
      </c>
      <c r="AC169" s="100" t="s">
        <v>682</v>
      </c>
      <c r="AD169" s="100" t="s">
        <v>682</v>
      </c>
      <c r="AE169" s="100" t="s">
        <v>43</v>
      </c>
      <c r="AF169" s="100" t="s">
        <v>41</v>
      </c>
      <c r="AG169" s="100" t="s">
        <v>42</v>
      </c>
      <c r="AH169" s="100" t="s">
        <v>2475</v>
      </c>
      <c r="AI169" s="100" t="s">
        <v>682</v>
      </c>
      <c r="AJ169" s="100" t="s">
        <v>682</v>
      </c>
      <c r="AK169" s="100" t="s">
        <v>682</v>
      </c>
    </row>
    <row r="170" spans="1:37">
      <c r="A170" s="100" t="s">
        <v>6771</v>
      </c>
      <c r="B170" s="100" t="s">
        <v>6772</v>
      </c>
      <c r="C170" s="100" t="s">
        <v>682</v>
      </c>
      <c r="D170" s="100" t="s">
        <v>106</v>
      </c>
      <c r="E170" s="100" t="s">
        <v>6773</v>
      </c>
      <c r="F170" s="100" t="s">
        <v>316</v>
      </c>
      <c r="G170" s="100" t="s">
        <v>320</v>
      </c>
      <c r="H170" s="100" t="s">
        <v>682</v>
      </c>
      <c r="I170" s="100" t="s">
        <v>6774</v>
      </c>
      <c r="J170" s="100" t="s">
        <v>1395</v>
      </c>
      <c r="K170" s="100" t="s">
        <v>6775</v>
      </c>
      <c r="L170" s="100" t="s">
        <v>682</v>
      </c>
      <c r="M170" s="100" t="s">
        <v>682</v>
      </c>
      <c r="N170" s="100" t="s">
        <v>682</v>
      </c>
      <c r="O170" s="100" t="s">
        <v>6776</v>
      </c>
      <c r="P170" s="100" t="s">
        <v>6777</v>
      </c>
      <c r="Q170" s="100" t="s">
        <v>6778</v>
      </c>
      <c r="R170" s="100" t="s">
        <v>6779</v>
      </c>
      <c r="S170" s="100" t="s">
        <v>6780</v>
      </c>
      <c r="T170" s="100" t="s">
        <v>6781</v>
      </c>
      <c r="U170" s="100" t="s">
        <v>6782</v>
      </c>
      <c r="V170" s="100" t="s">
        <v>6783</v>
      </c>
      <c r="W170" s="100" t="s">
        <v>682</v>
      </c>
      <c r="X170" s="100" t="s">
        <v>6784</v>
      </c>
      <c r="Y170" s="100" t="s">
        <v>6785</v>
      </c>
      <c r="Z170" s="100" t="s">
        <v>6786</v>
      </c>
      <c r="AA170" s="100" t="s">
        <v>6787</v>
      </c>
      <c r="AB170" s="100" t="s">
        <v>6788</v>
      </c>
      <c r="AC170" s="100" t="s">
        <v>682</v>
      </c>
      <c r="AD170" s="100" t="s">
        <v>682</v>
      </c>
      <c r="AE170" s="100" t="s">
        <v>43</v>
      </c>
      <c r="AF170" s="100" t="s">
        <v>46</v>
      </c>
      <c r="AG170" s="100" t="s">
        <v>42</v>
      </c>
      <c r="AH170" s="100" t="s">
        <v>6789</v>
      </c>
      <c r="AI170" s="100" t="s">
        <v>682</v>
      </c>
      <c r="AJ170" s="100" t="s">
        <v>682</v>
      </c>
      <c r="AK170" s="100" t="s">
        <v>682</v>
      </c>
    </row>
    <row r="171" spans="1:37">
      <c r="A171" s="100" t="s">
        <v>2476</v>
      </c>
      <c r="B171" s="100" t="s">
        <v>682</v>
      </c>
      <c r="C171" s="100" t="s">
        <v>682</v>
      </c>
      <c r="D171" s="100" t="s">
        <v>682</v>
      </c>
      <c r="E171" s="100" t="s">
        <v>682</v>
      </c>
      <c r="F171" s="100" t="s">
        <v>682</v>
      </c>
      <c r="G171" s="100" t="s">
        <v>682</v>
      </c>
      <c r="H171" s="100" t="s">
        <v>682</v>
      </c>
      <c r="I171" s="100" t="s">
        <v>682</v>
      </c>
      <c r="J171" s="100" t="s">
        <v>6424</v>
      </c>
      <c r="K171" s="100" t="s">
        <v>6790</v>
      </c>
      <c r="L171" s="100" t="s">
        <v>6791</v>
      </c>
      <c r="M171" s="100" t="s">
        <v>682</v>
      </c>
      <c r="N171" s="100" t="s">
        <v>682</v>
      </c>
      <c r="O171" s="100" t="s">
        <v>682</v>
      </c>
      <c r="P171" s="100" t="s">
        <v>682</v>
      </c>
      <c r="Q171" s="100" t="s">
        <v>2478</v>
      </c>
      <c r="R171" s="100" t="s">
        <v>6792</v>
      </c>
      <c r="S171" s="100" t="s">
        <v>6793</v>
      </c>
      <c r="T171" s="100" t="s">
        <v>6794</v>
      </c>
      <c r="U171" s="100" t="s">
        <v>2479</v>
      </c>
      <c r="V171" s="100" t="s">
        <v>2480</v>
      </c>
      <c r="W171" s="100" t="s">
        <v>6795</v>
      </c>
      <c r="X171" s="100" t="s">
        <v>682</v>
      </c>
      <c r="Y171" s="100" t="s">
        <v>682</v>
      </c>
      <c r="Z171" s="100" t="s">
        <v>682</v>
      </c>
      <c r="AA171" s="100" t="s">
        <v>2481</v>
      </c>
      <c r="AB171" s="100" t="s">
        <v>2482</v>
      </c>
      <c r="AC171" s="100" t="s">
        <v>6796</v>
      </c>
      <c r="AD171" s="100" t="s">
        <v>682</v>
      </c>
      <c r="AE171" s="100" t="s">
        <v>682</v>
      </c>
      <c r="AF171" s="100" t="s">
        <v>682</v>
      </c>
      <c r="AG171" s="100" t="s">
        <v>682</v>
      </c>
      <c r="AH171" s="100" t="s">
        <v>682</v>
      </c>
      <c r="AI171" s="100" t="s">
        <v>682</v>
      </c>
      <c r="AJ171" s="100" t="s">
        <v>682</v>
      </c>
      <c r="AK171" s="100" t="s">
        <v>682</v>
      </c>
    </row>
    <row r="172" spans="1:37">
      <c r="A172" s="100" t="s">
        <v>2483</v>
      </c>
      <c r="B172" s="100" t="s">
        <v>2484</v>
      </c>
      <c r="C172" s="100" t="s">
        <v>682</v>
      </c>
      <c r="D172" s="100" t="s">
        <v>59</v>
      </c>
      <c r="E172" s="100" t="s">
        <v>2485</v>
      </c>
      <c r="F172" s="100" t="s">
        <v>178</v>
      </c>
      <c r="G172" s="100" t="s">
        <v>557</v>
      </c>
      <c r="H172" s="100" t="s">
        <v>1110</v>
      </c>
      <c r="I172" s="100" t="s">
        <v>4619</v>
      </c>
      <c r="J172" s="100" t="s">
        <v>1111</v>
      </c>
      <c r="K172" s="100" t="s">
        <v>2486</v>
      </c>
      <c r="L172" s="100" t="s">
        <v>682</v>
      </c>
      <c r="M172" s="100" t="s">
        <v>682</v>
      </c>
      <c r="N172" s="100" t="s">
        <v>682</v>
      </c>
      <c r="O172" s="100" t="s">
        <v>5504</v>
      </c>
      <c r="P172" s="100" t="s">
        <v>2487</v>
      </c>
      <c r="Q172" s="100" t="s">
        <v>2488</v>
      </c>
      <c r="R172" s="100" t="s">
        <v>5505</v>
      </c>
      <c r="S172" s="100" t="s">
        <v>5506</v>
      </c>
      <c r="T172" s="100" t="s">
        <v>4620</v>
      </c>
      <c r="U172" s="100" t="s">
        <v>2489</v>
      </c>
      <c r="V172" s="100" t="s">
        <v>2490</v>
      </c>
      <c r="W172" s="100" t="s">
        <v>682</v>
      </c>
      <c r="X172" s="100" t="s">
        <v>2491</v>
      </c>
      <c r="Y172" s="100" t="s">
        <v>4621</v>
      </c>
      <c r="Z172" s="100" t="s">
        <v>4622</v>
      </c>
      <c r="AA172" s="100" t="s">
        <v>2492</v>
      </c>
      <c r="AB172" s="100" t="s">
        <v>2493</v>
      </c>
      <c r="AC172" s="100" t="s">
        <v>682</v>
      </c>
      <c r="AD172" s="100" t="s">
        <v>682</v>
      </c>
      <c r="AE172" s="100" t="s">
        <v>43</v>
      </c>
      <c r="AF172" s="100" t="s">
        <v>41</v>
      </c>
      <c r="AG172" s="100" t="s">
        <v>42</v>
      </c>
      <c r="AH172" s="100" t="s">
        <v>2494</v>
      </c>
      <c r="AI172" s="100" t="s">
        <v>682</v>
      </c>
      <c r="AJ172" s="100" t="s">
        <v>682</v>
      </c>
      <c r="AK172" s="100" t="s">
        <v>682</v>
      </c>
    </row>
    <row r="173" spans="1:37">
      <c r="A173" s="100" t="s">
        <v>2495</v>
      </c>
      <c r="B173" s="100" t="s">
        <v>2496</v>
      </c>
      <c r="C173" s="100" t="s">
        <v>682</v>
      </c>
      <c r="D173" s="100" t="s">
        <v>97</v>
      </c>
      <c r="E173" s="100" t="s">
        <v>2497</v>
      </c>
      <c r="F173" s="100" t="s">
        <v>253</v>
      </c>
      <c r="G173" s="100" t="s">
        <v>294</v>
      </c>
      <c r="H173" s="100" t="s">
        <v>682</v>
      </c>
      <c r="I173" s="100" t="s">
        <v>4623</v>
      </c>
      <c r="J173" s="100" t="s">
        <v>1111</v>
      </c>
      <c r="K173" s="100" t="s">
        <v>2498</v>
      </c>
      <c r="L173" s="100" t="s">
        <v>682</v>
      </c>
      <c r="M173" s="100" t="s">
        <v>682</v>
      </c>
      <c r="N173" s="100" t="s">
        <v>682</v>
      </c>
      <c r="O173" s="100" t="s">
        <v>5507</v>
      </c>
      <c r="P173" s="100" t="s">
        <v>2499</v>
      </c>
      <c r="Q173" s="100" t="s">
        <v>2500</v>
      </c>
      <c r="R173" s="100" t="s">
        <v>5508</v>
      </c>
      <c r="S173" s="100" t="s">
        <v>5509</v>
      </c>
      <c r="T173" s="100" t="s">
        <v>4624</v>
      </c>
      <c r="U173" s="100" t="s">
        <v>2501</v>
      </c>
      <c r="V173" s="100" t="s">
        <v>2502</v>
      </c>
      <c r="W173" s="100" t="s">
        <v>682</v>
      </c>
      <c r="X173" s="100" t="s">
        <v>2503</v>
      </c>
      <c r="Y173" s="100" t="s">
        <v>4625</v>
      </c>
      <c r="Z173" s="100" t="s">
        <v>4626</v>
      </c>
      <c r="AA173" s="100" t="s">
        <v>2504</v>
      </c>
      <c r="AB173" s="100" t="s">
        <v>2505</v>
      </c>
      <c r="AC173" s="100" t="s">
        <v>682</v>
      </c>
      <c r="AD173" s="100" t="s">
        <v>682</v>
      </c>
      <c r="AE173" s="100" t="s">
        <v>43</v>
      </c>
      <c r="AF173" s="100" t="s">
        <v>41</v>
      </c>
      <c r="AG173" s="100" t="s">
        <v>42</v>
      </c>
      <c r="AH173" s="100" t="s">
        <v>2506</v>
      </c>
      <c r="AI173" s="100" t="s">
        <v>682</v>
      </c>
      <c r="AJ173" s="100" t="s">
        <v>682</v>
      </c>
      <c r="AK173" s="100" t="s">
        <v>682</v>
      </c>
    </row>
    <row r="174" spans="1:37">
      <c r="A174" s="100" t="s">
        <v>2507</v>
      </c>
      <c r="B174" s="100" t="s">
        <v>2508</v>
      </c>
      <c r="C174" s="100" t="s">
        <v>682</v>
      </c>
      <c r="D174" s="100" t="s">
        <v>951</v>
      </c>
      <c r="E174" s="100" t="s">
        <v>2509</v>
      </c>
      <c r="F174" s="100" t="s">
        <v>174</v>
      </c>
      <c r="G174" s="100" t="s">
        <v>431</v>
      </c>
      <c r="H174" s="100" t="s">
        <v>682</v>
      </c>
      <c r="I174" s="100" t="s">
        <v>4627</v>
      </c>
      <c r="J174" s="100" t="s">
        <v>1811</v>
      </c>
      <c r="K174" s="100" t="s">
        <v>2510</v>
      </c>
      <c r="L174" s="100" t="s">
        <v>682</v>
      </c>
      <c r="M174" s="100" t="s">
        <v>682</v>
      </c>
      <c r="N174" s="100" t="s">
        <v>682</v>
      </c>
      <c r="O174" s="100" t="s">
        <v>5510</v>
      </c>
      <c r="P174" s="100" t="s">
        <v>2511</v>
      </c>
      <c r="Q174" s="100" t="s">
        <v>2512</v>
      </c>
      <c r="R174" s="100" t="s">
        <v>5511</v>
      </c>
      <c r="S174" s="100" t="s">
        <v>5512</v>
      </c>
      <c r="T174" s="100" t="s">
        <v>4628</v>
      </c>
      <c r="U174" s="100" t="s">
        <v>2513</v>
      </c>
      <c r="V174" s="100" t="s">
        <v>2514</v>
      </c>
      <c r="W174" s="100" t="s">
        <v>682</v>
      </c>
      <c r="X174" s="100" t="s">
        <v>2515</v>
      </c>
      <c r="Y174" s="100" t="s">
        <v>4629</v>
      </c>
      <c r="Z174" s="100" t="s">
        <v>4630</v>
      </c>
      <c r="AA174" s="100" t="s">
        <v>2516</v>
      </c>
      <c r="AB174" s="100" t="s">
        <v>2517</v>
      </c>
      <c r="AC174" s="100" t="s">
        <v>682</v>
      </c>
      <c r="AD174" s="100" t="s">
        <v>682</v>
      </c>
      <c r="AE174" s="100" t="s">
        <v>43</v>
      </c>
      <c r="AF174" s="100" t="s">
        <v>46</v>
      </c>
      <c r="AG174" s="100" t="s">
        <v>42</v>
      </c>
      <c r="AH174" s="100" t="s">
        <v>2518</v>
      </c>
      <c r="AI174" s="100" t="s">
        <v>682</v>
      </c>
      <c r="AJ174" s="100" t="s">
        <v>682</v>
      </c>
      <c r="AK174" s="100" t="s">
        <v>682</v>
      </c>
    </row>
    <row r="175" spans="1:37">
      <c r="A175" s="100" t="s">
        <v>2519</v>
      </c>
      <c r="B175" s="100" t="s">
        <v>2520</v>
      </c>
      <c r="C175" s="100" t="s">
        <v>682</v>
      </c>
      <c r="D175" s="100" t="s">
        <v>1822</v>
      </c>
      <c r="E175" s="100" t="s">
        <v>2521</v>
      </c>
      <c r="F175" s="100" t="s">
        <v>175</v>
      </c>
      <c r="G175" s="100" t="s">
        <v>73</v>
      </c>
      <c r="H175" s="100" t="s">
        <v>682</v>
      </c>
      <c r="I175" s="100" t="s">
        <v>4631</v>
      </c>
      <c r="J175" s="100" t="s">
        <v>1111</v>
      </c>
      <c r="K175" s="100" t="s">
        <v>2522</v>
      </c>
      <c r="L175" s="100" t="s">
        <v>682</v>
      </c>
      <c r="M175" s="100" t="s">
        <v>682</v>
      </c>
      <c r="N175" s="100" t="s">
        <v>682</v>
      </c>
      <c r="O175" s="100" t="s">
        <v>5513</v>
      </c>
      <c r="P175" s="100" t="s">
        <v>2523</v>
      </c>
      <c r="Q175" s="100" t="s">
        <v>2524</v>
      </c>
      <c r="R175" s="100" t="s">
        <v>5514</v>
      </c>
      <c r="S175" s="100" t="s">
        <v>5515</v>
      </c>
      <c r="T175" s="100" t="s">
        <v>4632</v>
      </c>
      <c r="U175" s="100" t="s">
        <v>2525</v>
      </c>
      <c r="V175" s="100" t="s">
        <v>2526</v>
      </c>
      <c r="W175" s="100" t="s">
        <v>682</v>
      </c>
      <c r="X175" s="100" t="s">
        <v>2527</v>
      </c>
      <c r="Y175" s="100" t="s">
        <v>4633</v>
      </c>
      <c r="Z175" s="100" t="s">
        <v>4634</v>
      </c>
      <c r="AA175" s="100" t="s">
        <v>2528</v>
      </c>
      <c r="AB175" s="100" t="s">
        <v>2529</v>
      </c>
      <c r="AC175" s="100" t="s">
        <v>682</v>
      </c>
      <c r="AD175" s="100" t="s">
        <v>682</v>
      </c>
      <c r="AE175" s="100" t="s">
        <v>43</v>
      </c>
      <c r="AF175" s="100" t="s">
        <v>46</v>
      </c>
      <c r="AG175" s="100" t="s">
        <v>42</v>
      </c>
      <c r="AH175" s="100" t="s">
        <v>2530</v>
      </c>
      <c r="AI175" s="100" t="s">
        <v>682</v>
      </c>
      <c r="AJ175" s="100" t="s">
        <v>682</v>
      </c>
      <c r="AK175" s="100" t="s">
        <v>682</v>
      </c>
    </row>
    <row r="176" spans="1:37">
      <c r="A176" s="100" t="s">
        <v>2531</v>
      </c>
      <c r="B176" s="100" t="s">
        <v>2532</v>
      </c>
      <c r="C176" s="100" t="s">
        <v>682</v>
      </c>
      <c r="D176" s="100" t="s">
        <v>78</v>
      </c>
      <c r="E176" s="100" t="s">
        <v>2533</v>
      </c>
      <c r="F176" s="100" t="s">
        <v>236</v>
      </c>
      <c r="G176" s="100" t="s">
        <v>439</v>
      </c>
      <c r="H176" s="100" t="s">
        <v>2077</v>
      </c>
      <c r="I176" s="100" t="s">
        <v>4635</v>
      </c>
      <c r="J176" s="100" t="s">
        <v>1111</v>
      </c>
      <c r="K176" s="100" t="s">
        <v>2534</v>
      </c>
      <c r="L176" s="100" t="s">
        <v>682</v>
      </c>
      <c r="M176" s="100" t="s">
        <v>682</v>
      </c>
      <c r="N176" s="100" t="s">
        <v>682</v>
      </c>
      <c r="O176" s="100" t="s">
        <v>5516</v>
      </c>
      <c r="P176" s="100" t="s">
        <v>2535</v>
      </c>
      <c r="Q176" s="100" t="s">
        <v>2536</v>
      </c>
      <c r="R176" s="100" t="s">
        <v>5517</v>
      </c>
      <c r="S176" s="100" t="s">
        <v>5518</v>
      </c>
      <c r="T176" s="100" t="s">
        <v>4636</v>
      </c>
      <c r="U176" s="100" t="s">
        <v>2537</v>
      </c>
      <c r="V176" s="100" t="s">
        <v>2538</v>
      </c>
      <c r="W176" s="100" t="s">
        <v>682</v>
      </c>
      <c r="X176" s="100" t="s">
        <v>2539</v>
      </c>
      <c r="Y176" s="100" t="s">
        <v>4637</v>
      </c>
      <c r="Z176" s="100" t="s">
        <v>4638</v>
      </c>
      <c r="AA176" s="100" t="s">
        <v>2540</v>
      </c>
      <c r="AB176" s="100" t="s">
        <v>2541</v>
      </c>
      <c r="AC176" s="100" t="s">
        <v>682</v>
      </c>
      <c r="AD176" s="100" t="s">
        <v>682</v>
      </c>
      <c r="AE176" s="100" t="s">
        <v>43</v>
      </c>
      <c r="AF176" s="100" t="s">
        <v>46</v>
      </c>
      <c r="AG176" s="100" t="s">
        <v>42</v>
      </c>
      <c r="AH176" s="100" t="s">
        <v>2542</v>
      </c>
      <c r="AI176" s="100" t="s">
        <v>682</v>
      </c>
      <c r="AJ176" s="100" t="s">
        <v>682</v>
      </c>
      <c r="AK176" s="100" t="s">
        <v>682</v>
      </c>
    </row>
    <row r="177" spans="1:37">
      <c r="A177" s="100" t="s">
        <v>2543</v>
      </c>
      <c r="B177" s="100" t="s">
        <v>2544</v>
      </c>
      <c r="C177" s="100" t="s">
        <v>682</v>
      </c>
      <c r="D177" s="100" t="s">
        <v>77</v>
      </c>
      <c r="E177" s="100" t="s">
        <v>2545</v>
      </c>
      <c r="F177" s="100" t="s">
        <v>234</v>
      </c>
      <c r="G177" s="100" t="s">
        <v>437</v>
      </c>
      <c r="H177" s="100" t="s">
        <v>2003</v>
      </c>
      <c r="I177" s="100" t="s">
        <v>4639</v>
      </c>
      <c r="J177" s="100" t="s">
        <v>1111</v>
      </c>
      <c r="K177" s="100" t="s">
        <v>2546</v>
      </c>
      <c r="L177" s="100" t="s">
        <v>682</v>
      </c>
      <c r="M177" s="100" t="s">
        <v>682</v>
      </c>
      <c r="N177" s="100" t="s">
        <v>682</v>
      </c>
      <c r="O177" s="100" t="s">
        <v>5519</v>
      </c>
      <c r="P177" s="100" t="s">
        <v>2547</v>
      </c>
      <c r="Q177" s="100" t="s">
        <v>2548</v>
      </c>
      <c r="R177" s="100" t="s">
        <v>5520</v>
      </c>
      <c r="S177" s="100" t="s">
        <v>5521</v>
      </c>
      <c r="T177" s="100" t="s">
        <v>4640</v>
      </c>
      <c r="U177" s="100" t="s">
        <v>2549</v>
      </c>
      <c r="V177" s="100" t="s">
        <v>2550</v>
      </c>
      <c r="W177" s="100" t="s">
        <v>682</v>
      </c>
      <c r="X177" s="100" t="s">
        <v>2551</v>
      </c>
      <c r="Y177" s="100" t="s">
        <v>4641</v>
      </c>
      <c r="Z177" s="100" t="s">
        <v>4642</v>
      </c>
      <c r="AA177" s="100" t="s">
        <v>2552</v>
      </c>
      <c r="AB177" s="100" t="s">
        <v>2553</v>
      </c>
      <c r="AC177" s="100" t="s">
        <v>682</v>
      </c>
      <c r="AD177" s="100" t="s">
        <v>682</v>
      </c>
      <c r="AE177" s="100" t="s">
        <v>43</v>
      </c>
      <c r="AF177" s="100" t="s">
        <v>46</v>
      </c>
      <c r="AG177" s="100" t="s">
        <v>63</v>
      </c>
      <c r="AH177" s="100" t="s">
        <v>2554</v>
      </c>
      <c r="AI177" s="100" t="s">
        <v>682</v>
      </c>
      <c r="AJ177" s="100" t="s">
        <v>682</v>
      </c>
      <c r="AK177" s="100" t="s">
        <v>682</v>
      </c>
    </row>
    <row r="178" spans="1:37">
      <c r="A178" s="100" t="s">
        <v>2555</v>
      </c>
      <c r="B178" s="100" t="s">
        <v>2556</v>
      </c>
      <c r="C178" s="100" t="s">
        <v>682</v>
      </c>
      <c r="D178" s="100" t="s">
        <v>78</v>
      </c>
      <c r="E178" s="100" t="s">
        <v>2557</v>
      </c>
      <c r="F178" s="100" t="s">
        <v>232</v>
      </c>
      <c r="G178" s="100" t="s">
        <v>439</v>
      </c>
      <c r="H178" s="100" t="s">
        <v>2003</v>
      </c>
      <c r="I178" s="100" t="s">
        <v>4643</v>
      </c>
      <c r="J178" s="100" t="s">
        <v>686</v>
      </c>
      <c r="K178" s="100" t="s">
        <v>2558</v>
      </c>
      <c r="L178" s="100" t="s">
        <v>682</v>
      </c>
      <c r="M178" s="100" t="s">
        <v>682</v>
      </c>
      <c r="N178" s="100" t="s">
        <v>682</v>
      </c>
      <c r="O178" s="100" t="s">
        <v>5522</v>
      </c>
      <c r="P178" s="100" t="s">
        <v>2559</v>
      </c>
      <c r="Q178" s="100" t="s">
        <v>2560</v>
      </c>
      <c r="R178" s="100" t="s">
        <v>5523</v>
      </c>
      <c r="S178" s="100" t="s">
        <v>5524</v>
      </c>
      <c r="T178" s="100" t="s">
        <v>4644</v>
      </c>
      <c r="U178" s="100" t="s">
        <v>2561</v>
      </c>
      <c r="V178" s="100" t="s">
        <v>2562</v>
      </c>
      <c r="W178" s="100" t="s">
        <v>682</v>
      </c>
      <c r="X178" s="100" t="s">
        <v>2563</v>
      </c>
      <c r="Y178" s="100" t="s">
        <v>4645</v>
      </c>
      <c r="Z178" s="100" t="s">
        <v>4646</v>
      </c>
      <c r="AA178" s="100" t="s">
        <v>2564</v>
      </c>
      <c r="AB178" s="100" t="s">
        <v>2565</v>
      </c>
      <c r="AC178" s="100" t="s">
        <v>682</v>
      </c>
      <c r="AD178" s="100" t="s">
        <v>682</v>
      </c>
      <c r="AE178" s="100" t="s">
        <v>43</v>
      </c>
      <c r="AF178" s="100" t="s">
        <v>46</v>
      </c>
      <c r="AG178" s="100" t="s">
        <v>42</v>
      </c>
      <c r="AH178" s="100" t="s">
        <v>2566</v>
      </c>
      <c r="AI178" s="100" t="s">
        <v>682</v>
      </c>
      <c r="AJ178" s="100" t="s">
        <v>682</v>
      </c>
      <c r="AK178" s="100" t="s">
        <v>682</v>
      </c>
    </row>
    <row r="179" spans="1:37">
      <c r="A179" s="100" t="s">
        <v>2567</v>
      </c>
      <c r="B179" s="100" t="s">
        <v>2568</v>
      </c>
      <c r="C179" s="100" t="s">
        <v>682</v>
      </c>
      <c r="D179" s="100" t="s">
        <v>78</v>
      </c>
      <c r="E179" s="100" t="s">
        <v>2569</v>
      </c>
      <c r="F179" s="100" t="s">
        <v>237</v>
      </c>
      <c r="G179" s="100" t="s">
        <v>440</v>
      </c>
      <c r="H179" s="100" t="s">
        <v>2285</v>
      </c>
      <c r="I179" s="100" t="s">
        <v>4647</v>
      </c>
      <c r="J179" s="100" t="s">
        <v>1811</v>
      </c>
      <c r="K179" s="100" t="s">
        <v>2570</v>
      </c>
      <c r="L179" s="100" t="s">
        <v>682</v>
      </c>
      <c r="M179" s="100" t="s">
        <v>682</v>
      </c>
      <c r="N179" s="100" t="s">
        <v>682</v>
      </c>
      <c r="O179" s="100" t="s">
        <v>5525</v>
      </c>
      <c r="P179" s="100" t="s">
        <v>2571</v>
      </c>
      <c r="Q179" s="100" t="s">
        <v>2572</v>
      </c>
      <c r="R179" s="100" t="s">
        <v>5526</v>
      </c>
      <c r="S179" s="100" t="s">
        <v>5527</v>
      </c>
      <c r="T179" s="100" t="s">
        <v>4648</v>
      </c>
      <c r="U179" s="100" t="s">
        <v>2573</v>
      </c>
      <c r="V179" s="100" t="s">
        <v>2574</v>
      </c>
      <c r="W179" s="100" t="s">
        <v>682</v>
      </c>
      <c r="X179" s="100" t="s">
        <v>2575</v>
      </c>
      <c r="Y179" s="100" t="s">
        <v>4649</v>
      </c>
      <c r="Z179" s="100" t="s">
        <v>4650</v>
      </c>
      <c r="AA179" s="100" t="s">
        <v>2576</v>
      </c>
      <c r="AB179" s="100" t="s">
        <v>2577</v>
      </c>
      <c r="AC179" s="100" t="s">
        <v>682</v>
      </c>
      <c r="AD179" s="100" t="s">
        <v>682</v>
      </c>
      <c r="AE179" s="100" t="s">
        <v>54</v>
      </c>
      <c r="AF179" s="100" t="s">
        <v>682</v>
      </c>
      <c r="AG179" s="100" t="s">
        <v>682</v>
      </c>
      <c r="AH179" s="100" t="s">
        <v>2578</v>
      </c>
      <c r="AI179" s="100" t="s">
        <v>682</v>
      </c>
      <c r="AJ179" s="100" t="s">
        <v>682</v>
      </c>
      <c r="AK179" s="100" t="s">
        <v>682</v>
      </c>
    </row>
    <row r="180" spans="1:37">
      <c r="A180" s="100" t="s">
        <v>2579</v>
      </c>
      <c r="B180" s="100" t="s">
        <v>2580</v>
      </c>
      <c r="C180" s="100" t="s">
        <v>682</v>
      </c>
      <c r="D180" s="100" t="s">
        <v>78</v>
      </c>
      <c r="E180" s="100" t="s">
        <v>2581</v>
      </c>
      <c r="F180" s="100" t="s">
        <v>237</v>
      </c>
      <c r="G180" s="100" t="s">
        <v>184</v>
      </c>
      <c r="H180" s="100" t="s">
        <v>2285</v>
      </c>
      <c r="I180" s="100" t="s">
        <v>4651</v>
      </c>
      <c r="J180" s="100" t="s">
        <v>2337</v>
      </c>
      <c r="K180" s="100" t="s">
        <v>2582</v>
      </c>
      <c r="L180" s="100" t="s">
        <v>682</v>
      </c>
      <c r="M180" s="100" t="s">
        <v>682</v>
      </c>
      <c r="N180" s="100" t="s">
        <v>682</v>
      </c>
      <c r="O180" s="100" t="s">
        <v>5528</v>
      </c>
      <c r="P180" s="100" t="s">
        <v>2583</v>
      </c>
      <c r="Q180" s="100" t="s">
        <v>2584</v>
      </c>
      <c r="R180" s="100" t="s">
        <v>5529</v>
      </c>
      <c r="S180" s="100" t="s">
        <v>5530</v>
      </c>
      <c r="T180" s="100" t="s">
        <v>4652</v>
      </c>
      <c r="U180" s="100" t="s">
        <v>2585</v>
      </c>
      <c r="V180" s="100" t="s">
        <v>2586</v>
      </c>
      <c r="W180" s="100" t="s">
        <v>682</v>
      </c>
      <c r="X180" s="100" t="s">
        <v>2587</v>
      </c>
      <c r="Y180" s="100" t="s">
        <v>4653</v>
      </c>
      <c r="Z180" s="100" t="s">
        <v>4654</v>
      </c>
      <c r="AA180" s="100" t="s">
        <v>2588</v>
      </c>
      <c r="AB180" s="100" t="s">
        <v>2589</v>
      </c>
      <c r="AC180" s="100" t="s">
        <v>682</v>
      </c>
      <c r="AD180" s="100" t="s">
        <v>682</v>
      </c>
      <c r="AE180" s="100" t="s">
        <v>54</v>
      </c>
      <c r="AF180" s="100" t="s">
        <v>682</v>
      </c>
      <c r="AG180" s="100" t="s">
        <v>682</v>
      </c>
      <c r="AH180" s="100" t="s">
        <v>2590</v>
      </c>
      <c r="AI180" s="100" t="s">
        <v>682</v>
      </c>
      <c r="AJ180" s="100" t="s">
        <v>682</v>
      </c>
      <c r="AK180" s="100" t="s">
        <v>682</v>
      </c>
    </row>
    <row r="181" spans="1:37">
      <c r="A181" s="100" t="s">
        <v>2591</v>
      </c>
      <c r="B181" s="100" t="s">
        <v>2592</v>
      </c>
      <c r="C181" s="100" t="s">
        <v>682</v>
      </c>
      <c r="D181" s="100" t="s">
        <v>2619</v>
      </c>
      <c r="E181" s="100" t="s">
        <v>2593</v>
      </c>
      <c r="F181" s="100" t="s">
        <v>228</v>
      </c>
      <c r="G181" s="100" t="s">
        <v>368</v>
      </c>
      <c r="H181" s="100" t="s">
        <v>682</v>
      </c>
      <c r="I181" s="100" t="s">
        <v>4655</v>
      </c>
      <c r="J181" s="100" t="s">
        <v>1111</v>
      </c>
      <c r="K181" s="100" t="s">
        <v>2594</v>
      </c>
      <c r="L181" s="100" t="s">
        <v>682</v>
      </c>
      <c r="M181" s="100" t="s">
        <v>682</v>
      </c>
      <c r="N181" s="100" t="s">
        <v>682</v>
      </c>
      <c r="O181" s="100" t="s">
        <v>5531</v>
      </c>
      <c r="P181" s="100" t="s">
        <v>2595</v>
      </c>
      <c r="Q181" s="100" t="s">
        <v>2596</v>
      </c>
      <c r="R181" s="100" t="s">
        <v>5532</v>
      </c>
      <c r="S181" s="100" t="s">
        <v>5533</v>
      </c>
      <c r="T181" s="100" t="s">
        <v>4656</v>
      </c>
      <c r="U181" s="100" t="s">
        <v>2597</v>
      </c>
      <c r="V181" s="100" t="s">
        <v>2598</v>
      </c>
      <c r="W181" s="100" t="s">
        <v>682</v>
      </c>
      <c r="X181" s="100" t="s">
        <v>2599</v>
      </c>
      <c r="Y181" s="100" t="s">
        <v>4657</v>
      </c>
      <c r="Z181" s="100" t="s">
        <v>4658</v>
      </c>
      <c r="AA181" s="100" t="s">
        <v>2600</v>
      </c>
      <c r="AB181" s="100" t="s">
        <v>2601</v>
      </c>
      <c r="AC181" s="100" t="s">
        <v>682</v>
      </c>
      <c r="AD181" s="100" t="s">
        <v>682</v>
      </c>
      <c r="AE181" s="100" t="s">
        <v>43</v>
      </c>
      <c r="AF181" s="100" t="s">
        <v>46</v>
      </c>
      <c r="AG181" s="100" t="s">
        <v>42</v>
      </c>
      <c r="AH181" s="100" t="s">
        <v>2602</v>
      </c>
      <c r="AI181" s="100" t="s">
        <v>682</v>
      </c>
      <c r="AJ181" s="100" t="s">
        <v>682</v>
      </c>
      <c r="AK181" s="100" t="s">
        <v>682</v>
      </c>
    </row>
    <row r="182" spans="1:37">
      <c r="A182" s="100" t="s">
        <v>2603</v>
      </c>
      <c r="B182" s="100" t="s">
        <v>2604</v>
      </c>
      <c r="C182" s="100" t="s">
        <v>682</v>
      </c>
      <c r="D182" s="100" t="s">
        <v>2619</v>
      </c>
      <c r="E182" s="100" t="s">
        <v>2605</v>
      </c>
      <c r="F182" s="100" t="s">
        <v>230</v>
      </c>
      <c r="G182" s="100" t="s">
        <v>369</v>
      </c>
      <c r="H182" s="100" t="s">
        <v>682</v>
      </c>
      <c r="I182" s="100" t="s">
        <v>4659</v>
      </c>
      <c r="J182" s="100" t="s">
        <v>1111</v>
      </c>
      <c r="K182" s="100" t="s">
        <v>2606</v>
      </c>
      <c r="L182" s="100" t="s">
        <v>682</v>
      </c>
      <c r="M182" s="100" t="s">
        <v>682</v>
      </c>
      <c r="N182" s="100" t="s">
        <v>682</v>
      </c>
      <c r="O182" s="100" t="s">
        <v>5534</v>
      </c>
      <c r="P182" s="100" t="s">
        <v>2607</v>
      </c>
      <c r="Q182" s="100" t="s">
        <v>2608</v>
      </c>
      <c r="R182" s="100" t="s">
        <v>5535</v>
      </c>
      <c r="S182" s="100" t="s">
        <v>5536</v>
      </c>
      <c r="T182" s="100" t="s">
        <v>4660</v>
      </c>
      <c r="U182" s="100" t="s">
        <v>2609</v>
      </c>
      <c r="V182" s="100" t="s">
        <v>2610</v>
      </c>
      <c r="W182" s="100" t="s">
        <v>682</v>
      </c>
      <c r="X182" s="100" t="s">
        <v>2611</v>
      </c>
      <c r="Y182" s="100" t="s">
        <v>4661</v>
      </c>
      <c r="Z182" s="100" t="s">
        <v>4662</v>
      </c>
      <c r="AA182" s="100" t="s">
        <v>2612</v>
      </c>
      <c r="AB182" s="100" t="s">
        <v>2613</v>
      </c>
      <c r="AC182" s="100" t="s">
        <v>682</v>
      </c>
      <c r="AD182" s="100" t="s">
        <v>682</v>
      </c>
      <c r="AE182" s="100" t="s">
        <v>43</v>
      </c>
      <c r="AF182" s="100" t="s">
        <v>46</v>
      </c>
      <c r="AG182" s="100" t="s">
        <v>42</v>
      </c>
      <c r="AH182" s="100" t="s">
        <v>2614</v>
      </c>
      <c r="AI182" s="100" t="s">
        <v>682</v>
      </c>
      <c r="AJ182" s="100" t="s">
        <v>682</v>
      </c>
      <c r="AK182" s="100" t="s">
        <v>682</v>
      </c>
    </row>
    <row r="183" spans="1:37">
      <c r="A183" s="100" t="s">
        <v>6797</v>
      </c>
      <c r="B183" s="100" t="s">
        <v>6798</v>
      </c>
      <c r="C183" s="100" t="s">
        <v>682</v>
      </c>
      <c r="D183" s="100" t="s">
        <v>97</v>
      </c>
      <c r="E183" s="100" t="s">
        <v>6799</v>
      </c>
      <c r="F183" s="100" t="s">
        <v>248</v>
      </c>
      <c r="G183" s="100" t="s">
        <v>269</v>
      </c>
      <c r="H183" s="100" t="s">
        <v>682</v>
      </c>
      <c r="I183" s="100" t="s">
        <v>6800</v>
      </c>
      <c r="J183" s="100" t="s">
        <v>3145</v>
      </c>
      <c r="K183" s="100" t="s">
        <v>2615</v>
      </c>
      <c r="L183" s="100" t="s">
        <v>682</v>
      </c>
      <c r="M183" s="100" t="s">
        <v>682</v>
      </c>
      <c r="N183" s="100" t="s">
        <v>682</v>
      </c>
      <c r="O183" s="100" t="s">
        <v>6801</v>
      </c>
      <c r="P183" s="100" t="s">
        <v>6802</v>
      </c>
      <c r="Q183" s="100" t="s">
        <v>6803</v>
      </c>
      <c r="R183" s="100" t="s">
        <v>6804</v>
      </c>
      <c r="S183" s="100" t="s">
        <v>6805</v>
      </c>
      <c r="T183" s="100" t="s">
        <v>6806</v>
      </c>
      <c r="U183" s="100" t="s">
        <v>6807</v>
      </c>
      <c r="V183" s="100" t="s">
        <v>6808</v>
      </c>
      <c r="W183" s="100" t="s">
        <v>682</v>
      </c>
      <c r="X183" s="100" t="s">
        <v>6809</v>
      </c>
      <c r="Y183" s="100" t="s">
        <v>6810</v>
      </c>
      <c r="Z183" s="100" t="s">
        <v>6811</v>
      </c>
      <c r="AA183" s="100" t="s">
        <v>6812</v>
      </c>
      <c r="AB183" s="100" t="s">
        <v>6813</v>
      </c>
      <c r="AC183" s="100" t="s">
        <v>682</v>
      </c>
      <c r="AD183" s="100" t="s">
        <v>682</v>
      </c>
      <c r="AE183" s="100" t="s">
        <v>43</v>
      </c>
      <c r="AF183" s="100" t="s">
        <v>41</v>
      </c>
      <c r="AG183" s="100" t="s">
        <v>42</v>
      </c>
      <c r="AH183" s="100" t="s">
        <v>2616</v>
      </c>
      <c r="AI183" s="100" t="s">
        <v>682</v>
      </c>
      <c r="AJ183" s="100" t="s">
        <v>682</v>
      </c>
      <c r="AK183" s="100" t="s">
        <v>682</v>
      </c>
    </row>
    <row r="184" spans="1:37">
      <c r="A184" s="100" t="s">
        <v>2617</v>
      </c>
      <c r="B184" s="100" t="s">
        <v>2618</v>
      </c>
      <c r="C184" s="100" t="s">
        <v>682</v>
      </c>
      <c r="D184" s="100" t="s">
        <v>97</v>
      </c>
      <c r="E184" s="100" t="s">
        <v>2620</v>
      </c>
      <c r="F184" s="100" t="s">
        <v>254</v>
      </c>
      <c r="G184" s="100" t="s">
        <v>275</v>
      </c>
      <c r="H184" s="100" t="s">
        <v>682</v>
      </c>
      <c r="I184" s="100" t="s">
        <v>4663</v>
      </c>
      <c r="J184" s="100" t="s">
        <v>3145</v>
      </c>
      <c r="K184" s="100" t="s">
        <v>2621</v>
      </c>
      <c r="L184" s="100" t="s">
        <v>682</v>
      </c>
      <c r="M184" s="100" t="s">
        <v>682</v>
      </c>
      <c r="N184" s="100" t="s">
        <v>682</v>
      </c>
      <c r="O184" s="100" t="s">
        <v>5537</v>
      </c>
      <c r="P184" s="100" t="s">
        <v>2622</v>
      </c>
      <c r="Q184" s="100" t="s">
        <v>2623</v>
      </c>
      <c r="R184" s="100" t="s">
        <v>5538</v>
      </c>
      <c r="S184" s="100" t="s">
        <v>5539</v>
      </c>
      <c r="T184" s="100" t="s">
        <v>4664</v>
      </c>
      <c r="U184" s="100" t="s">
        <v>2624</v>
      </c>
      <c r="V184" s="100" t="s">
        <v>2625</v>
      </c>
      <c r="W184" s="100" t="s">
        <v>682</v>
      </c>
      <c r="X184" s="100" t="s">
        <v>2626</v>
      </c>
      <c r="Y184" s="100" t="s">
        <v>4665</v>
      </c>
      <c r="Z184" s="100" t="s">
        <v>4666</v>
      </c>
      <c r="AA184" s="100" t="s">
        <v>2627</v>
      </c>
      <c r="AB184" s="100" t="s">
        <v>2628</v>
      </c>
      <c r="AC184" s="100" t="s">
        <v>682</v>
      </c>
      <c r="AD184" s="100" t="s">
        <v>682</v>
      </c>
      <c r="AE184" s="100" t="s">
        <v>43</v>
      </c>
      <c r="AF184" s="100" t="s">
        <v>41</v>
      </c>
      <c r="AG184" s="100" t="s">
        <v>42</v>
      </c>
      <c r="AH184" s="100" t="s">
        <v>2629</v>
      </c>
      <c r="AI184" s="100" t="s">
        <v>682</v>
      </c>
      <c r="AJ184" s="100" t="s">
        <v>682</v>
      </c>
      <c r="AK184" s="100" t="s">
        <v>682</v>
      </c>
    </row>
    <row r="185" spans="1:37">
      <c r="A185" s="100" t="s">
        <v>2630</v>
      </c>
      <c r="B185" s="100" t="s">
        <v>2631</v>
      </c>
      <c r="C185" s="100" t="s">
        <v>682</v>
      </c>
      <c r="D185" s="100" t="s">
        <v>97</v>
      </c>
      <c r="E185" s="100" t="s">
        <v>2632</v>
      </c>
      <c r="F185" s="100" t="s">
        <v>253</v>
      </c>
      <c r="G185" s="100" t="s">
        <v>293</v>
      </c>
      <c r="H185" s="100" t="s">
        <v>682</v>
      </c>
      <c r="I185" s="100" t="s">
        <v>4667</v>
      </c>
      <c r="J185" s="100" t="s">
        <v>1111</v>
      </c>
      <c r="K185" s="100" t="s">
        <v>2634</v>
      </c>
      <c r="L185" s="100" t="s">
        <v>682</v>
      </c>
      <c r="M185" s="100" t="s">
        <v>682</v>
      </c>
      <c r="N185" s="100" t="s">
        <v>682</v>
      </c>
      <c r="O185" s="100" t="s">
        <v>5540</v>
      </c>
      <c r="P185" s="100" t="s">
        <v>2635</v>
      </c>
      <c r="Q185" s="100" t="s">
        <v>2636</v>
      </c>
      <c r="R185" s="100" t="s">
        <v>5541</v>
      </c>
      <c r="S185" s="100" t="s">
        <v>5542</v>
      </c>
      <c r="T185" s="100" t="s">
        <v>4668</v>
      </c>
      <c r="U185" s="100" t="s">
        <v>2637</v>
      </c>
      <c r="V185" s="100" t="s">
        <v>2638</v>
      </c>
      <c r="W185" s="100" t="s">
        <v>682</v>
      </c>
      <c r="X185" s="100" t="s">
        <v>2639</v>
      </c>
      <c r="Y185" s="100" t="s">
        <v>4669</v>
      </c>
      <c r="Z185" s="100" t="s">
        <v>4670</v>
      </c>
      <c r="AA185" s="100" t="s">
        <v>2640</v>
      </c>
      <c r="AB185" s="100" t="s">
        <v>2641</v>
      </c>
      <c r="AC185" s="100" t="s">
        <v>682</v>
      </c>
      <c r="AD185" s="100" t="s">
        <v>682</v>
      </c>
      <c r="AE185" s="100" t="s">
        <v>43</v>
      </c>
      <c r="AF185" s="100" t="s">
        <v>41</v>
      </c>
      <c r="AG185" s="100" t="s">
        <v>42</v>
      </c>
      <c r="AH185" s="100" t="s">
        <v>2642</v>
      </c>
      <c r="AI185" s="100" t="s">
        <v>682</v>
      </c>
      <c r="AJ185" s="100" t="s">
        <v>682</v>
      </c>
      <c r="AK185" s="100" t="s">
        <v>682</v>
      </c>
    </row>
    <row r="186" spans="1:37">
      <c r="A186" s="100" t="s">
        <v>2643</v>
      </c>
      <c r="B186" s="100" t="s">
        <v>2644</v>
      </c>
      <c r="C186" s="100" t="s">
        <v>682</v>
      </c>
      <c r="D186" s="100" t="s">
        <v>97</v>
      </c>
      <c r="E186" s="100" t="s">
        <v>2645</v>
      </c>
      <c r="F186" s="100" t="s">
        <v>253</v>
      </c>
      <c r="G186" s="100" t="s">
        <v>283</v>
      </c>
      <c r="H186" s="100" t="s">
        <v>682</v>
      </c>
      <c r="I186" s="100" t="s">
        <v>4671</v>
      </c>
      <c r="J186" s="100" t="s">
        <v>1111</v>
      </c>
      <c r="K186" s="100" t="s">
        <v>2647</v>
      </c>
      <c r="L186" s="100" t="s">
        <v>682</v>
      </c>
      <c r="M186" s="100" t="s">
        <v>682</v>
      </c>
      <c r="N186" s="100" t="s">
        <v>682</v>
      </c>
      <c r="O186" s="100" t="s">
        <v>5543</v>
      </c>
      <c r="P186" s="100" t="s">
        <v>2648</v>
      </c>
      <c r="Q186" s="100" t="s">
        <v>2649</v>
      </c>
      <c r="R186" s="100" t="s">
        <v>5544</v>
      </c>
      <c r="S186" s="100" t="s">
        <v>5545</v>
      </c>
      <c r="T186" s="100" t="s">
        <v>4672</v>
      </c>
      <c r="U186" s="100" t="s">
        <v>2650</v>
      </c>
      <c r="V186" s="100" t="s">
        <v>2651</v>
      </c>
      <c r="W186" s="100" t="s">
        <v>682</v>
      </c>
      <c r="X186" s="100" t="s">
        <v>2652</v>
      </c>
      <c r="Y186" s="100" t="s">
        <v>4673</v>
      </c>
      <c r="Z186" s="100" t="s">
        <v>4674</v>
      </c>
      <c r="AA186" s="100" t="s">
        <v>2653</v>
      </c>
      <c r="AB186" s="100" t="s">
        <v>2654</v>
      </c>
      <c r="AC186" s="100" t="s">
        <v>682</v>
      </c>
      <c r="AD186" s="100" t="s">
        <v>682</v>
      </c>
      <c r="AE186" s="100" t="s">
        <v>43</v>
      </c>
      <c r="AF186" s="100" t="s">
        <v>41</v>
      </c>
      <c r="AG186" s="100" t="s">
        <v>42</v>
      </c>
      <c r="AH186" s="100" t="s">
        <v>2655</v>
      </c>
      <c r="AI186" s="100" t="s">
        <v>682</v>
      </c>
      <c r="AJ186" s="100" t="s">
        <v>682</v>
      </c>
      <c r="AK186" s="100" t="s">
        <v>682</v>
      </c>
    </row>
    <row r="187" spans="1:37">
      <c r="A187" s="100" t="s">
        <v>2656</v>
      </c>
      <c r="B187" s="100" t="s">
        <v>2657</v>
      </c>
      <c r="C187" s="100" t="s">
        <v>682</v>
      </c>
      <c r="D187" s="100" t="s">
        <v>97</v>
      </c>
      <c r="E187" s="100" t="s">
        <v>2658</v>
      </c>
      <c r="F187" s="100" t="s">
        <v>253</v>
      </c>
      <c r="G187" s="100" t="s">
        <v>98</v>
      </c>
      <c r="H187" s="100" t="s">
        <v>682</v>
      </c>
      <c r="I187" s="100" t="s">
        <v>4675</v>
      </c>
      <c r="J187" s="100" t="s">
        <v>1111</v>
      </c>
      <c r="K187" s="100" t="s">
        <v>2659</v>
      </c>
      <c r="L187" s="100" t="s">
        <v>682</v>
      </c>
      <c r="M187" s="100" t="s">
        <v>682</v>
      </c>
      <c r="N187" s="100" t="s">
        <v>682</v>
      </c>
      <c r="O187" s="100" t="s">
        <v>5546</v>
      </c>
      <c r="P187" s="100" t="s">
        <v>2660</v>
      </c>
      <c r="Q187" s="100" t="s">
        <v>2661</v>
      </c>
      <c r="R187" s="100" t="s">
        <v>5547</v>
      </c>
      <c r="S187" s="100" t="s">
        <v>5548</v>
      </c>
      <c r="T187" s="100" t="s">
        <v>4676</v>
      </c>
      <c r="U187" s="100" t="s">
        <v>2662</v>
      </c>
      <c r="V187" s="100" t="s">
        <v>2663</v>
      </c>
      <c r="W187" s="100" t="s">
        <v>682</v>
      </c>
      <c r="X187" s="100" t="s">
        <v>2664</v>
      </c>
      <c r="Y187" s="100" t="s">
        <v>4677</v>
      </c>
      <c r="Z187" s="100" t="s">
        <v>4678</v>
      </c>
      <c r="AA187" s="100" t="s">
        <v>2665</v>
      </c>
      <c r="AB187" s="100" t="s">
        <v>2666</v>
      </c>
      <c r="AC187" s="100" t="s">
        <v>682</v>
      </c>
      <c r="AD187" s="100" t="s">
        <v>682</v>
      </c>
      <c r="AE187" s="100" t="s">
        <v>43</v>
      </c>
      <c r="AF187" s="100" t="s">
        <v>41</v>
      </c>
      <c r="AG187" s="100" t="s">
        <v>42</v>
      </c>
      <c r="AH187" s="100" t="s">
        <v>2667</v>
      </c>
      <c r="AI187" s="100" t="s">
        <v>682</v>
      </c>
      <c r="AJ187" s="100" t="s">
        <v>682</v>
      </c>
      <c r="AK187" s="100" t="s">
        <v>682</v>
      </c>
    </row>
    <row r="188" spans="1:37">
      <c r="A188" s="100" t="s">
        <v>2668</v>
      </c>
      <c r="B188" s="100" t="s">
        <v>2669</v>
      </c>
      <c r="C188" s="100" t="s">
        <v>682</v>
      </c>
      <c r="D188" s="100" t="s">
        <v>106</v>
      </c>
      <c r="E188" s="100" t="s">
        <v>2670</v>
      </c>
      <c r="F188" s="100" t="s">
        <v>307</v>
      </c>
      <c r="G188" s="100" t="s">
        <v>320</v>
      </c>
      <c r="H188" s="100" t="s">
        <v>682</v>
      </c>
      <c r="I188" s="100" t="s">
        <v>4679</v>
      </c>
      <c r="J188" s="100" t="s">
        <v>686</v>
      </c>
      <c r="K188" s="100" t="s">
        <v>2671</v>
      </c>
      <c r="L188" s="100" t="s">
        <v>682</v>
      </c>
      <c r="M188" s="100" t="s">
        <v>682</v>
      </c>
      <c r="N188" s="100" t="s">
        <v>682</v>
      </c>
      <c r="O188" s="100" t="s">
        <v>5549</v>
      </c>
      <c r="P188" s="100" t="s">
        <v>2672</v>
      </c>
      <c r="Q188" s="100" t="s">
        <v>2673</v>
      </c>
      <c r="R188" s="100" t="s">
        <v>5550</v>
      </c>
      <c r="S188" s="100" t="s">
        <v>5551</v>
      </c>
      <c r="T188" s="100" t="s">
        <v>4680</v>
      </c>
      <c r="U188" s="100" t="s">
        <v>2674</v>
      </c>
      <c r="V188" s="100" t="s">
        <v>2675</v>
      </c>
      <c r="W188" s="100" t="s">
        <v>682</v>
      </c>
      <c r="X188" s="100" t="s">
        <v>2676</v>
      </c>
      <c r="Y188" s="100" t="s">
        <v>4681</v>
      </c>
      <c r="Z188" s="100" t="s">
        <v>4682</v>
      </c>
      <c r="AA188" s="100" t="s">
        <v>2677</v>
      </c>
      <c r="AB188" s="100" t="s">
        <v>2678</v>
      </c>
      <c r="AC188" s="100" t="s">
        <v>682</v>
      </c>
      <c r="AD188" s="100" t="s">
        <v>682</v>
      </c>
      <c r="AE188" s="100" t="s">
        <v>43</v>
      </c>
      <c r="AF188" s="100" t="s">
        <v>46</v>
      </c>
      <c r="AG188" s="100" t="s">
        <v>42</v>
      </c>
      <c r="AH188" s="100" t="s">
        <v>2679</v>
      </c>
      <c r="AI188" s="100" t="s">
        <v>682</v>
      </c>
      <c r="AJ188" s="100" t="s">
        <v>682</v>
      </c>
      <c r="AK188" s="100" t="s">
        <v>682</v>
      </c>
    </row>
    <row r="189" spans="1:37">
      <c r="A189" s="100" t="s">
        <v>6814</v>
      </c>
      <c r="B189" s="100" t="s">
        <v>6815</v>
      </c>
      <c r="C189" s="100" t="s">
        <v>682</v>
      </c>
      <c r="D189" s="100" t="s">
        <v>105</v>
      </c>
      <c r="E189" s="100" t="s">
        <v>6816</v>
      </c>
      <c r="F189" s="100" t="s">
        <v>309</v>
      </c>
      <c r="G189" s="100" t="s">
        <v>320</v>
      </c>
      <c r="H189" s="100" t="s">
        <v>682</v>
      </c>
      <c r="I189" s="100" t="s">
        <v>6817</v>
      </c>
      <c r="J189" s="100" t="s">
        <v>3145</v>
      </c>
      <c r="K189" s="100" t="s">
        <v>6818</v>
      </c>
      <c r="L189" s="100" t="s">
        <v>682</v>
      </c>
      <c r="M189" s="100" t="s">
        <v>682</v>
      </c>
      <c r="N189" s="100" t="s">
        <v>682</v>
      </c>
      <c r="O189" s="100" t="s">
        <v>6819</v>
      </c>
      <c r="P189" s="100" t="s">
        <v>6820</v>
      </c>
      <c r="Q189" s="100" t="s">
        <v>6821</v>
      </c>
      <c r="R189" s="100" t="s">
        <v>6822</v>
      </c>
      <c r="S189" s="100" t="s">
        <v>6823</v>
      </c>
      <c r="T189" s="100" t="s">
        <v>6824</v>
      </c>
      <c r="U189" s="100" t="s">
        <v>6825</v>
      </c>
      <c r="V189" s="100" t="s">
        <v>6826</v>
      </c>
      <c r="W189" s="100" t="s">
        <v>682</v>
      </c>
      <c r="X189" s="100" t="s">
        <v>6827</v>
      </c>
      <c r="Y189" s="100" t="s">
        <v>6828</v>
      </c>
      <c r="Z189" s="100" t="s">
        <v>6829</v>
      </c>
      <c r="AA189" s="100" t="s">
        <v>6830</v>
      </c>
      <c r="AB189" s="100" t="s">
        <v>6831</v>
      </c>
      <c r="AC189" s="100" t="s">
        <v>682</v>
      </c>
      <c r="AD189" s="100" t="s">
        <v>682</v>
      </c>
      <c r="AE189" s="100" t="s">
        <v>43</v>
      </c>
      <c r="AF189" s="100" t="s">
        <v>41</v>
      </c>
      <c r="AG189" s="100" t="s">
        <v>42</v>
      </c>
      <c r="AH189" s="100" t="s">
        <v>6832</v>
      </c>
      <c r="AI189" s="100" t="s">
        <v>682</v>
      </c>
      <c r="AJ189" s="100" t="s">
        <v>682</v>
      </c>
      <c r="AK189" s="100" t="s">
        <v>682</v>
      </c>
    </row>
    <row r="190" spans="1:37">
      <c r="A190" s="100" t="s">
        <v>2680</v>
      </c>
      <c r="B190" s="100" t="s">
        <v>2681</v>
      </c>
      <c r="C190" s="100" t="s">
        <v>682</v>
      </c>
      <c r="D190" s="100" t="s">
        <v>106</v>
      </c>
      <c r="E190" s="100" t="s">
        <v>2682</v>
      </c>
      <c r="F190" s="100" t="s">
        <v>310</v>
      </c>
      <c r="G190" s="100" t="s">
        <v>320</v>
      </c>
      <c r="H190" s="100" t="s">
        <v>682</v>
      </c>
      <c r="I190" s="100" t="s">
        <v>4683</v>
      </c>
      <c r="J190" s="100" t="s">
        <v>1111</v>
      </c>
      <c r="K190" s="100" t="s">
        <v>2683</v>
      </c>
      <c r="L190" s="100" t="s">
        <v>682</v>
      </c>
      <c r="M190" s="100" t="s">
        <v>682</v>
      </c>
      <c r="N190" s="100" t="s">
        <v>682</v>
      </c>
      <c r="O190" s="100" t="s">
        <v>5552</v>
      </c>
      <c r="P190" s="100" t="s">
        <v>2684</v>
      </c>
      <c r="Q190" s="100" t="s">
        <v>2685</v>
      </c>
      <c r="R190" s="100" t="s">
        <v>5553</v>
      </c>
      <c r="S190" s="100" t="s">
        <v>5554</v>
      </c>
      <c r="T190" s="100" t="s">
        <v>4684</v>
      </c>
      <c r="U190" s="100" t="s">
        <v>2686</v>
      </c>
      <c r="V190" s="100" t="s">
        <v>2687</v>
      </c>
      <c r="W190" s="100" t="s">
        <v>682</v>
      </c>
      <c r="X190" s="100" t="s">
        <v>2688</v>
      </c>
      <c r="Y190" s="100" t="s">
        <v>4685</v>
      </c>
      <c r="Z190" s="100" t="s">
        <v>4686</v>
      </c>
      <c r="AA190" s="100" t="s">
        <v>2689</v>
      </c>
      <c r="AB190" s="100" t="s">
        <v>2690</v>
      </c>
      <c r="AC190" s="100" t="s">
        <v>682</v>
      </c>
      <c r="AD190" s="100" t="s">
        <v>682</v>
      </c>
      <c r="AE190" s="100" t="s">
        <v>43</v>
      </c>
      <c r="AF190" s="100" t="s">
        <v>41</v>
      </c>
      <c r="AG190" s="100" t="s">
        <v>42</v>
      </c>
      <c r="AH190" s="100" t="s">
        <v>2691</v>
      </c>
      <c r="AI190" s="100" t="s">
        <v>682</v>
      </c>
      <c r="AJ190" s="100" t="s">
        <v>682</v>
      </c>
      <c r="AK190" s="100" t="s">
        <v>682</v>
      </c>
    </row>
    <row r="191" spans="1:37">
      <c r="A191" s="100" t="s">
        <v>2692</v>
      </c>
      <c r="B191" s="100" t="s">
        <v>2693</v>
      </c>
      <c r="C191" s="100" t="s">
        <v>682</v>
      </c>
      <c r="D191" s="100" t="s">
        <v>106</v>
      </c>
      <c r="E191" s="100" t="s">
        <v>2694</v>
      </c>
      <c r="F191" s="100" t="s">
        <v>315</v>
      </c>
      <c r="G191" s="100" t="s">
        <v>320</v>
      </c>
      <c r="H191" s="100" t="s">
        <v>682</v>
      </c>
      <c r="I191" s="100" t="s">
        <v>4687</v>
      </c>
      <c r="J191" s="100" t="s">
        <v>1111</v>
      </c>
      <c r="K191" s="100" t="s">
        <v>2695</v>
      </c>
      <c r="L191" s="100" t="s">
        <v>682</v>
      </c>
      <c r="M191" s="100" t="s">
        <v>682</v>
      </c>
      <c r="N191" s="100" t="s">
        <v>682</v>
      </c>
      <c r="O191" s="100" t="s">
        <v>5555</v>
      </c>
      <c r="P191" s="100" t="s">
        <v>2696</v>
      </c>
      <c r="Q191" s="100" t="s">
        <v>2697</v>
      </c>
      <c r="R191" s="100" t="s">
        <v>5556</v>
      </c>
      <c r="S191" s="100" t="s">
        <v>5557</v>
      </c>
      <c r="T191" s="100" t="s">
        <v>4688</v>
      </c>
      <c r="U191" s="100" t="s">
        <v>2698</v>
      </c>
      <c r="V191" s="100" t="s">
        <v>2699</v>
      </c>
      <c r="W191" s="100" t="s">
        <v>682</v>
      </c>
      <c r="X191" s="100" t="s">
        <v>2700</v>
      </c>
      <c r="Y191" s="100" t="s">
        <v>4689</v>
      </c>
      <c r="Z191" s="100" t="s">
        <v>4690</v>
      </c>
      <c r="AA191" s="100" t="s">
        <v>2701</v>
      </c>
      <c r="AB191" s="100" t="s">
        <v>2702</v>
      </c>
      <c r="AC191" s="100" t="s">
        <v>682</v>
      </c>
      <c r="AD191" s="100" t="s">
        <v>682</v>
      </c>
      <c r="AE191" s="100" t="s">
        <v>43</v>
      </c>
      <c r="AF191" s="100" t="s">
        <v>46</v>
      </c>
      <c r="AG191" s="100" t="s">
        <v>42</v>
      </c>
      <c r="AH191" s="100" t="s">
        <v>2703</v>
      </c>
      <c r="AI191" s="100" t="s">
        <v>682</v>
      </c>
      <c r="AJ191" s="100" t="s">
        <v>682</v>
      </c>
      <c r="AK191" s="100" t="s">
        <v>682</v>
      </c>
    </row>
    <row r="192" spans="1:37">
      <c r="A192" s="100" t="s">
        <v>2704</v>
      </c>
      <c r="B192" s="100" t="s">
        <v>682</v>
      </c>
      <c r="C192" s="100" t="s">
        <v>682</v>
      </c>
      <c r="D192" s="100" t="s">
        <v>682</v>
      </c>
      <c r="E192" s="100" t="s">
        <v>682</v>
      </c>
      <c r="F192" s="100" t="s">
        <v>682</v>
      </c>
      <c r="G192" s="100" t="s">
        <v>682</v>
      </c>
      <c r="H192" s="100" t="s">
        <v>682</v>
      </c>
      <c r="I192" s="100" t="s">
        <v>682</v>
      </c>
      <c r="J192" s="100" t="s">
        <v>6424</v>
      </c>
      <c r="K192" s="100" t="s">
        <v>6833</v>
      </c>
      <c r="L192" s="100" t="s">
        <v>6834</v>
      </c>
      <c r="M192" s="100" t="s">
        <v>682</v>
      </c>
      <c r="N192" s="100" t="s">
        <v>682</v>
      </c>
      <c r="O192" s="100" t="s">
        <v>682</v>
      </c>
      <c r="P192" s="100" t="s">
        <v>682</v>
      </c>
      <c r="Q192" s="100" t="s">
        <v>2705</v>
      </c>
      <c r="R192" s="100" t="s">
        <v>6835</v>
      </c>
      <c r="S192" s="100" t="s">
        <v>6836</v>
      </c>
      <c r="T192" s="100" t="s">
        <v>6837</v>
      </c>
      <c r="U192" s="100" t="s">
        <v>2706</v>
      </c>
      <c r="V192" s="100" t="s">
        <v>2707</v>
      </c>
      <c r="W192" s="100" t="s">
        <v>6838</v>
      </c>
      <c r="X192" s="100" t="s">
        <v>682</v>
      </c>
      <c r="Y192" s="100" t="s">
        <v>682</v>
      </c>
      <c r="Z192" s="100" t="s">
        <v>682</v>
      </c>
      <c r="AA192" s="100" t="s">
        <v>2708</v>
      </c>
      <c r="AB192" s="100" t="s">
        <v>2709</v>
      </c>
      <c r="AC192" s="100" t="s">
        <v>6839</v>
      </c>
      <c r="AD192" s="100" t="s">
        <v>682</v>
      </c>
      <c r="AE192" s="100" t="s">
        <v>682</v>
      </c>
      <c r="AF192" s="100" t="s">
        <v>682</v>
      </c>
      <c r="AG192" s="100" t="s">
        <v>682</v>
      </c>
      <c r="AH192" s="100" t="s">
        <v>682</v>
      </c>
      <c r="AI192" s="100" t="s">
        <v>682</v>
      </c>
      <c r="AJ192" s="100" t="s">
        <v>682</v>
      </c>
      <c r="AK192" s="100" t="s">
        <v>682</v>
      </c>
    </row>
    <row r="193" spans="1:37">
      <c r="A193" s="100" t="s">
        <v>2710</v>
      </c>
      <c r="B193" s="100" t="s">
        <v>2711</v>
      </c>
      <c r="C193" s="100" t="s">
        <v>682</v>
      </c>
      <c r="D193" s="100" t="s">
        <v>65</v>
      </c>
      <c r="E193" s="100" t="s">
        <v>2712</v>
      </c>
      <c r="F193" s="100" t="s">
        <v>222</v>
      </c>
      <c r="G193" s="100" t="s">
        <v>184</v>
      </c>
      <c r="H193" s="100" t="s">
        <v>682</v>
      </c>
      <c r="I193" s="100" t="s">
        <v>4691</v>
      </c>
      <c r="J193" s="100" t="s">
        <v>1535</v>
      </c>
      <c r="K193" s="100" t="s">
        <v>2713</v>
      </c>
      <c r="L193" s="100" t="s">
        <v>682</v>
      </c>
      <c r="M193" s="100" t="s">
        <v>682</v>
      </c>
      <c r="N193" s="100" t="s">
        <v>682</v>
      </c>
      <c r="O193" s="100" t="s">
        <v>5558</v>
      </c>
      <c r="P193" s="100" t="s">
        <v>2714</v>
      </c>
      <c r="Q193" s="100" t="s">
        <v>2715</v>
      </c>
      <c r="R193" s="100" t="s">
        <v>5559</v>
      </c>
      <c r="S193" s="100" t="s">
        <v>5560</v>
      </c>
      <c r="T193" s="100" t="s">
        <v>4692</v>
      </c>
      <c r="U193" s="100" t="s">
        <v>2716</v>
      </c>
      <c r="V193" s="100" t="s">
        <v>2717</v>
      </c>
      <c r="W193" s="100" t="s">
        <v>682</v>
      </c>
      <c r="X193" s="100" t="s">
        <v>2718</v>
      </c>
      <c r="Y193" s="100" t="s">
        <v>4693</v>
      </c>
      <c r="Z193" s="100" t="s">
        <v>4694</v>
      </c>
      <c r="AA193" s="100" t="s">
        <v>2719</v>
      </c>
      <c r="AB193" s="100" t="s">
        <v>2720</v>
      </c>
      <c r="AC193" s="100" t="s">
        <v>682</v>
      </c>
      <c r="AD193" s="100" t="s">
        <v>682</v>
      </c>
      <c r="AE193" s="100" t="s">
        <v>54</v>
      </c>
      <c r="AF193" s="100" t="s">
        <v>682</v>
      </c>
      <c r="AG193" s="100" t="s">
        <v>682</v>
      </c>
      <c r="AH193" s="100" t="s">
        <v>2721</v>
      </c>
      <c r="AI193" s="100" t="s">
        <v>682</v>
      </c>
      <c r="AJ193" s="100" t="s">
        <v>682</v>
      </c>
      <c r="AK193" s="100" t="s">
        <v>682</v>
      </c>
    </row>
    <row r="194" spans="1:37">
      <c r="A194" s="100" t="s">
        <v>2722</v>
      </c>
      <c r="B194" s="100" t="s">
        <v>2723</v>
      </c>
      <c r="C194" s="100" t="s">
        <v>682</v>
      </c>
      <c r="D194" s="100" t="s">
        <v>70</v>
      </c>
      <c r="E194" s="100" t="s">
        <v>2724</v>
      </c>
      <c r="F194" s="100" t="s">
        <v>176</v>
      </c>
      <c r="G194" s="100" t="s">
        <v>449</v>
      </c>
      <c r="H194" s="100" t="s">
        <v>682</v>
      </c>
      <c r="I194" s="100" t="s">
        <v>4695</v>
      </c>
      <c r="J194" s="100" t="s">
        <v>1798</v>
      </c>
      <c r="K194" s="100" t="s">
        <v>2726</v>
      </c>
      <c r="L194" s="100" t="s">
        <v>682</v>
      </c>
      <c r="M194" s="100" t="s">
        <v>682</v>
      </c>
      <c r="N194" s="100" t="s">
        <v>682</v>
      </c>
      <c r="O194" s="100" t="s">
        <v>5561</v>
      </c>
      <c r="P194" s="100" t="s">
        <v>2727</v>
      </c>
      <c r="Q194" s="100" t="s">
        <v>2728</v>
      </c>
      <c r="R194" s="100" t="s">
        <v>5562</v>
      </c>
      <c r="S194" s="100" t="s">
        <v>5563</v>
      </c>
      <c r="T194" s="100" t="s">
        <v>4696</v>
      </c>
      <c r="U194" s="100" t="s">
        <v>2729</v>
      </c>
      <c r="V194" s="100" t="s">
        <v>2730</v>
      </c>
      <c r="W194" s="100" t="s">
        <v>682</v>
      </c>
      <c r="X194" s="100" t="s">
        <v>2731</v>
      </c>
      <c r="Y194" s="100" t="s">
        <v>4697</v>
      </c>
      <c r="Z194" s="100" t="s">
        <v>4698</v>
      </c>
      <c r="AA194" s="100" t="s">
        <v>2732</v>
      </c>
      <c r="AB194" s="100" t="s">
        <v>2733</v>
      </c>
      <c r="AC194" s="100" t="s">
        <v>682</v>
      </c>
      <c r="AD194" s="100" t="s">
        <v>682</v>
      </c>
      <c r="AE194" s="100" t="s">
        <v>43</v>
      </c>
      <c r="AF194" s="100" t="s">
        <v>41</v>
      </c>
      <c r="AG194" s="100" t="s">
        <v>63</v>
      </c>
      <c r="AH194" s="100" t="s">
        <v>2734</v>
      </c>
      <c r="AI194" s="100" t="s">
        <v>682</v>
      </c>
      <c r="AJ194" s="100" t="s">
        <v>682</v>
      </c>
      <c r="AK194" s="100" t="s">
        <v>682</v>
      </c>
    </row>
    <row r="195" spans="1:37">
      <c r="A195" s="100" t="s">
        <v>6840</v>
      </c>
      <c r="B195" s="100" t="s">
        <v>6841</v>
      </c>
      <c r="C195" s="100" t="s">
        <v>682</v>
      </c>
      <c r="D195" s="100" t="s">
        <v>1822</v>
      </c>
      <c r="E195" s="100" t="s">
        <v>6842</v>
      </c>
      <c r="F195" s="100" t="s">
        <v>174</v>
      </c>
      <c r="G195" s="100" t="s">
        <v>73</v>
      </c>
      <c r="H195" s="100" t="s">
        <v>682</v>
      </c>
      <c r="I195" s="100" t="s">
        <v>6843</v>
      </c>
      <c r="J195" s="100" t="s">
        <v>1836</v>
      </c>
      <c r="K195" s="100" t="s">
        <v>6844</v>
      </c>
      <c r="L195" s="100" t="s">
        <v>682</v>
      </c>
      <c r="M195" s="100" t="s">
        <v>682</v>
      </c>
      <c r="N195" s="100" t="s">
        <v>682</v>
      </c>
      <c r="O195" s="100" t="s">
        <v>6845</v>
      </c>
      <c r="P195" s="100" t="s">
        <v>6846</v>
      </c>
      <c r="Q195" s="100" t="s">
        <v>6847</v>
      </c>
      <c r="R195" s="100" t="s">
        <v>6848</v>
      </c>
      <c r="S195" s="100" t="s">
        <v>6849</v>
      </c>
      <c r="T195" s="100" t="s">
        <v>6850</v>
      </c>
      <c r="U195" s="100" t="s">
        <v>6851</v>
      </c>
      <c r="V195" s="100" t="s">
        <v>6852</v>
      </c>
      <c r="W195" s="100" t="s">
        <v>682</v>
      </c>
      <c r="X195" s="100" t="s">
        <v>6853</v>
      </c>
      <c r="Y195" s="100" t="s">
        <v>6854</v>
      </c>
      <c r="Z195" s="100" t="s">
        <v>6855</v>
      </c>
      <c r="AA195" s="100" t="s">
        <v>6856</v>
      </c>
      <c r="AB195" s="100" t="s">
        <v>6857</v>
      </c>
      <c r="AC195" s="100" t="s">
        <v>682</v>
      </c>
      <c r="AD195" s="100" t="s">
        <v>682</v>
      </c>
      <c r="AE195" s="100" t="s">
        <v>43</v>
      </c>
      <c r="AF195" s="100" t="s">
        <v>46</v>
      </c>
      <c r="AG195" s="100" t="s">
        <v>42</v>
      </c>
      <c r="AH195" s="100" t="s">
        <v>6858</v>
      </c>
      <c r="AI195" s="100" t="s">
        <v>682</v>
      </c>
      <c r="AJ195" s="100" t="s">
        <v>682</v>
      </c>
      <c r="AK195" s="100" t="s">
        <v>682</v>
      </c>
    </row>
    <row r="196" spans="1:37">
      <c r="A196" s="100" t="s">
        <v>2735</v>
      </c>
      <c r="B196" s="100" t="s">
        <v>2736</v>
      </c>
      <c r="C196" s="100" t="s">
        <v>682</v>
      </c>
      <c r="D196" s="100" t="s">
        <v>77</v>
      </c>
      <c r="E196" s="100" t="s">
        <v>2737</v>
      </c>
      <c r="F196" s="100" t="s">
        <v>233</v>
      </c>
      <c r="G196" s="100" t="s">
        <v>437</v>
      </c>
      <c r="H196" s="100" t="s">
        <v>2003</v>
      </c>
      <c r="I196" s="100" t="s">
        <v>4699</v>
      </c>
      <c r="J196" s="100" t="s">
        <v>1798</v>
      </c>
      <c r="K196" s="100" t="s">
        <v>2738</v>
      </c>
      <c r="L196" s="100" t="s">
        <v>682</v>
      </c>
      <c r="M196" s="100" t="s">
        <v>682</v>
      </c>
      <c r="N196" s="100" t="s">
        <v>682</v>
      </c>
      <c r="O196" s="100" t="s">
        <v>5564</v>
      </c>
      <c r="P196" s="100" t="s">
        <v>2739</v>
      </c>
      <c r="Q196" s="100" t="s">
        <v>2740</v>
      </c>
      <c r="R196" s="100" t="s">
        <v>5565</v>
      </c>
      <c r="S196" s="100" t="s">
        <v>5566</v>
      </c>
      <c r="T196" s="100" t="s">
        <v>4700</v>
      </c>
      <c r="U196" s="100" t="s">
        <v>2741</v>
      </c>
      <c r="V196" s="100" t="s">
        <v>2742</v>
      </c>
      <c r="W196" s="100" t="s">
        <v>682</v>
      </c>
      <c r="X196" s="100" t="s">
        <v>2743</v>
      </c>
      <c r="Y196" s="100" t="s">
        <v>4701</v>
      </c>
      <c r="Z196" s="100" t="s">
        <v>4702</v>
      </c>
      <c r="AA196" s="100" t="s">
        <v>2744</v>
      </c>
      <c r="AB196" s="100" t="s">
        <v>2745</v>
      </c>
      <c r="AC196" s="100" t="s">
        <v>682</v>
      </c>
      <c r="AD196" s="100" t="s">
        <v>682</v>
      </c>
      <c r="AE196" s="100" t="s">
        <v>43</v>
      </c>
      <c r="AF196" s="100" t="s">
        <v>46</v>
      </c>
      <c r="AG196" s="100" t="s">
        <v>63</v>
      </c>
      <c r="AH196" s="100" t="s">
        <v>2746</v>
      </c>
      <c r="AI196" s="100" t="s">
        <v>682</v>
      </c>
      <c r="AJ196" s="100" t="s">
        <v>682</v>
      </c>
      <c r="AK196" s="100" t="s">
        <v>682</v>
      </c>
    </row>
    <row r="197" spans="1:37">
      <c r="A197" s="100" t="s">
        <v>2747</v>
      </c>
      <c r="B197" s="100" t="s">
        <v>2748</v>
      </c>
      <c r="C197" s="100" t="s">
        <v>682</v>
      </c>
      <c r="D197" s="100" t="s">
        <v>78</v>
      </c>
      <c r="E197" s="100" t="s">
        <v>2749</v>
      </c>
      <c r="F197" s="100" t="s">
        <v>236</v>
      </c>
      <c r="G197" s="100" t="s">
        <v>440</v>
      </c>
      <c r="H197" s="100" t="s">
        <v>2077</v>
      </c>
      <c r="I197" s="100" t="s">
        <v>4703</v>
      </c>
      <c r="J197" s="100" t="s">
        <v>2112</v>
      </c>
      <c r="K197" s="100" t="s">
        <v>2750</v>
      </c>
      <c r="L197" s="100" t="s">
        <v>682</v>
      </c>
      <c r="M197" s="100" t="s">
        <v>682</v>
      </c>
      <c r="N197" s="100" t="s">
        <v>682</v>
      </c>
      <c r="O197" s="100" t="s">
        <v>5567</v>
      </c>
      <c r="P197" s="100" t="s">
        <v>4022</v>
      </c>
      <c r="Q197" s="100" t="s">
        <v>2751</v>
      </c>
      <c r="R197" s="100" t="s">
        <v>5568</v>
      </c>
      <c r="S197" s="100" t="s">
        <v>5569</v>
      </c>
      <c r="T197" s="100" t="s">
        <v>4704</v>
      </c>
      <c r="U197" s="100" t="s">
        <v>2752</v>
      </c>
      <c r="V197" s="100" t="s">
        <v>2753</v>
      </c>
      <c r="W197" s="100" t="s">
        <v>682</v>
      </c>
      <c r="X197" s="100" t="s">
        <v>2754</v>
      </c>
      <c r="Y197" s="100" t="s">
        <v>4705</v>
      </c>
      <c r="Z197" s="100" t="s">
        <v>4706</v>
      </c>
      <c r="AA197" s="100" t="s">
        <v>2755</v>
      </c>
      <c r="AB197" s="100" t="s">
        <v>2756</v>
      </c>
      <c r="AC197" s="100" t="s">
        <v>682</v>
      </c>
      <c r="AD197" s="100" t="s">
        <v>682</v>
      </c>
      <c r="AE197" s="100" t="s">
        <v>54</v>
      </c>
      <c r="AF197" s="100" t="s">
        <v>682</v>
      </c>
      <c r="AG197" s="100" t="s">
        <v>682</v>
      </c>
      <c r="AH197" s="100" t="s">
        <v>2757</v>
      </c>
      <c r="AI197" s="100" t="s">
        <v>682</v>
      </c>
      <c r="AJ197" s="100" t="s">
        <v>682</v>
      </c>
      <c r="AK197" s="100" t="s">
        <v>682</v>
      </c>
    </row>
    <row r="198" spans="1:37">
      <c r="A198" s="100" t="s">
        <v>2758</v>
      </c>
      <c r="B198" s="100" t="s">
        <v>2759</v>
      </c>
      <c r="C198" s="100" t="s">
        <v>682</v>
      </c>
      <c r="D198" s="100" t="s">
        <v>78</v>
      </c>
      <c r="E198" s="100" t="s">
        <v>2760</v>
      </c>
      <c r="F198" s="100" t="s">
        <v>232</v>
      </c>
      <c r="G198" s="100" t="s">
        <v>440</v>
      </c>
      <c r="H198" s="100" t="s">
        <v>2003</v>
      </c>
      <c r="I198" s="100" t="s">
        <v>4707</v>
      </c>
      <c r="J198" s="100" t="s">
        <v>1535</v>
      </c>
      <c r="K198" s="100" t="s">
        <v>2761</v>
      </c>
      <c r="L198" s="100" t="s">
        <v>682</v>
      </c>
      <c r="M198" s="100" t="s">
        <v>682</v>
      </c>
      <c r="N198" s="100" t="s">
        <v>682</v>
      </c>
      <c r="O198" s="100" t="s">
        <v>5570</v>
      </c>
      <c r="P198" s="100" t="s">
        <v>4023</v>
      </c>
      <c r="Q198" s="100" t="s">
        <v>2762</v>
      </c>
      <c r="R198" s="100" t="s">
        <v>5571</v>
      </c>
      <c r="S198" s="100" t="s">
        <v>5572</v>
      </c>
      <c r="T198" s="100" t="s">
        <v>4708</v>
      </c>
      <c r="U198" s="100" t="s">
        <v>2763</v>
      </c>
      <c r="V198" s="100" t="s">
        <v>2764</v>
      </c>
      <c r="W198" s="100" t="s">
        <v>682</v>
      </c>
      <c r="X198" s="100" t="s">
        <v>2765</v>
      </c>
      <c r="Y198" s="100" t="s">
        <v>4709</v>
      </c>
      <c r="Z198" s="100" t="s">
        <v>4710</v>
      </c>
      <c r="AA198" s="100" t="s">
        <v>2766</v>
      </c>
      <c r="AB198" s="100" t="s">
        <v>2767</v>
      </c>
      <c r="AC198" s="100" t="s">
        <v>682</v>
      </c>
      <c r="AD198" s="100" t="s">
        <v>682</v>
      </c>
      <c r="AE198" s="100" t="s">
        <v>54</v>
      </c>
      <c r="AF198" s="100" t="s">
        <v>682</v>
      </c>
      <c r="AG198" s="100" t="s">
        <v>682</v>
      </c>
      <c r="AH198" s="100" t="s">
        <v>2768</v>
      </c>
      <c r="AI198" s="100" t="s">
        <v>682</v>
      </c>
      <c r="AJ198" s="100" t="s">
        <v>682</v>
      </c>
      <c r="AK198" s="100" t="s">
        <v>682</v>
      </c>
    </row>
    <row r="199" spans="1:37">
      <c r="A199" s="100" t="s">
        <v>2769</v>
      </c>
      <c r="B199" s="100" t="s">
        <v>2770</v>
      </c>
      <c r="C199" s="100" t="s">
        <v>682</v>
      </c>
      <c r="D199" s="100" t="s">
        <v>2619</v>
      </c>
      <c r="E199" s="100" t="s">
        <v>2771</v>
      </c>
      <c r="F199" s="100" t="s">
        <v>227</v>
      </c>
      <c r="G199" s="100" t="s">
        <v>368</v>
      </c>
      <c r="H199" s="100" t="s">
        <v>682</v>
      </c>
      <c r="I199" s="100" t="s">
        <v>4711</v>
      </c>
      <c r="J199" s="100" t="s">
        <v>2794</v>
      </c>
      <c r="K199" s="100" t="s">
        <v>2772</v>
      </c>
      <c r="L199" s="100" t="s">
        <v>682</v>
      </c>
      <c r="M199" s="100" t="s">
        <v>682</v>
      </c>
      <c r="N199" s="100" t="s">
        <v>682</v>
      </c>
      <c r="O199" s="100" t="s">
        <v>5573</v>
      </c>
      <c r="P199" s="100" t="s">
        <v>4024</v>
      </c>
      <c r="Q199" s="100" t="s">
        <v>2773</v>
      </c>
      <c r="R199" s="100" t="s">
        <v>5574</v>
      </c>
      <c r="S199" s="100" t="s">
        <v>5575</v>
      </c>
      <c r="T199" s="100" t="s">
        <v>4712</v>
      </c>
      <c r="U199" s="100" t="s">
        <v>2774</v>
      </c>
      <c r="V199" s="100" t="s">
        <v>2775</v>
      </c>
      <c r="W199" s="100" t="s">
        <v>682</v>
      </c>
      <c r="X199" s="100" t="s">
        <v>2776</v>
      </c>
      <c r="Y199" s="100" t="s">
        <v>4713</v>
      </c>
      <c r="Z199" s="100" t="s">
        <v>4714</v>
      </c>
      <c r="AA199" s="100" t="s">
        <v>2777</v>
      </c>
      <c r="AB199" s="100" t="s">
        <v>2778</v>
      </c>
      <c r="AC199" s="100" t="s">
        <v>682</v>
      </c>
      <c r="AD199" s="100" t="s">
        <v>682</v>
      </c>
      <c r="AE199" s="100" t="s">
        <v>43</v>
      </c>
      <c r="AF199" s="100" t="s">
        <v>46</v>
      </c>
      <c r="AG199" s="100" t="s">
        <v>42</v>
      </c>
      <c r="AH199" s="100" t="s">
        <v>2779</v>
      </c>
      <c r="AI199" s="100" t="s">
        <v>682</v>
      </c>
      <c r="AJ199" s="100" t="s">
        <v>682</v>
      </c>
      <c r="AK199" s="100" t="s">
        <v>682</v>
      </c>
    </row>
    <row r="200" spans="1:37">
      <c r="A200" s="100" t="s">
        <v>2780</v>
      </c>
      <c r="B200" s="100" t="s">
        <v>2781</v>
      </c>
      <c r="C200" s="100" t="s">
        <v>682</v>
      </c>
      <c r="D200" s="100" t="s">
        <v>2619</v>
      </c>
      <c r="E200" s="100" t="s">
        <v>2782</v>
      </c>
      <c r="F200" s="100" t="s">
        <v>228</v>
      </c>
      <c r="G200" s="100" t="s">
        <v>376</v>
      </c>
      <c r="H200" s="100" t="s">
        <v>682</v>
      </c>
      <c r="I200" s="100" t="s">
        <v>4715</v>
      </c>
      <c r="J200" s="100" t="s">
        <v>2974</v>
      </c>
      <c r="K200" s="100" t="s">
        <v>2783</v>
      </c>
      <c r="L200" s="100" t="s">
        <v>682</v>
      </c>
      <c r="M200" s="100" t="s">
        <v>682</v>
      </c>
      <c r="N200" s="100" t="s">
        <v>682</v>
      </c>
      <c r="O200" s="100" t="s">
        <v>5576</v>
      </c>
      <c r="P200" s="100" t="s">
        <v>4025</v>
      </c>
      <c r="Q200" s="100" t="s">
        <v>2784</v>
      </c>
      <c r="R200" s="100" t="s">
        <v>5577</v>
      </c>
      <c r="S200" s="100" t="s">
        <v>5578</v>
      </c>
      <c r="T200" s="100" t="s">
        <v>4716</v>
      </c>
      <c r="U200" s="100" t="s">
        <v>2785</v>
      </c>
      <c r="V200" s="100" t="s">
        <v>2786</v>
      </c>
      <c r="W200" s="100" t="s">
        <v>682</v>
      </c>
      <c r="X200" s="100" t="s">
        <v>2787</v>
      </c>
      <c r="Y200" s="100" t="s">
        <v>4717</v>
      </c>
      <c r="Z200" s="100" t="s">
        <v>4718</v>
      </c>
      <c r="AA200" s="100" t="s">
        <v>2788</v>
      </c>
      <c r="AB200" s="100" t="s">
        <v>2789</v>
      </c>
      <c r="AC200" s="100" t="s">
        <v>682</v>
      </c>
      <c r="AD200" s="100" t="s">
        <v>682</v>
      </c>
      <c r="AE200" s="100" t="s">
        <v>43</v>
      </c>
      <c r="AF200" s="100" t="s">
        <v>46</v>
      </c>
      <c r="AG200" s="100" t="s">
        <v>42</v>
      </c>
      <c r="AH200" s="100" t="s">
        <v>2790</v>
      </c>
      <c r="AI200" s="100" t="s">
        <v>682</v>
      </c>
      <c r="AJ200" s="100" t="s">
        <v>682</v>
      </c>
      <c r="AK200" s="100" t="s">
        <v>682</v>
      </c>
    </row>
    <row r="201" spans="1:37">
      <c r="A201" s="100" t="s">
        <v>6859</v>
      </c>
      <c r="B201" s="100" t="s">
        <v>6860</v>
      </c>
      <c r="C201" s="100" t="s">
        <v>682</v>
      </c>
      <c r="D201" s="100" t="s">
        <v>105</v>
      </c>
      <c r="E201" s="100" t="s">
        <v>6861</v>
      </c>
      <c r="F201" s="100" t="s">
        <v>305</v>
      </c>
      <c r="G201" s="100" t="s">
        <v>320</v>
      </c>
      <c r="H201" s="100" t="s">
        <v>682</v>
      </c>
      <c r="I201" s="100" t="s">
        <v>6862</v>
      </c>
      <c r="J201" s="100" t="s">
        <v>3697</v>
      </c>
      <c r="K201" s="100" t="s">
        <v>6863</v>
      </c>
      <c r="L201" s="100" t="s">
        <v>682</v>
      </c>
      <c r="M201" s="100" t="s">
        <v>682</v>
      </c>
      <c r="N201" s="100" t="s">
        <v>682</v>
      </c>
      <c r="O201" s="100" t="s">
        <v>6864</v>
      </c>
      <c r="P201" s="100" t="s">
        <v>6865</v>
      </c>
      <c r="Q201" s="100" t="s">
        <v>6866</v>
      </c>
      <c r="R201" s="100" t="s">
        <v>6867</v>
      </c>
      <c r="S201" s="100" t="s">
        <v>6868</v>
      </c>
      <c r="T201" s="100" t="s">
        <v>6869</v>
      </c>
      <c r="U201" s="100" t="s">
        <v>6870</v>
      </c>
      <c r="V201" s="100" t="s">
        <v>6871</v>
      </c>
      <c r="W201" s="100" t="s">
        <v>682</v>
      </c>
      <c r="X201" s="100" t="s">
        <v>6872</v>
      </c>
      <c r="Y201" s="100" t="s">
        <v>6873</v>
      </c>
      <c r="Z201" s="100" t="s">
        <v>6874</v>
      </c>
      <c r="AA201" s="100" t="s">
        <v>6875</v>
      </c>
      <c r="AB201" s="100" t="s">
        <v>6876</v>
      </c>
      <c r="AC201" s="100" t="s">
        <v>682</v>
      </c>
      <c r="AD201" s="100" t="s">
        <v>682</v>
      </c>
      <c r="AE201" s="100" t="s">
        <v>43</v>
      </c>
      <c r="AF201" s="100" t="s">
        <v>41</v>
      </c>
      <c r="AG201" s="100" t="s">
        <v>42</v>
      </c>
      <c r="AH201" s="100" t="s">
        <v>6877</v>
      </c>
      <c r="AI201" s="100" t="s">
        <v>682</v>
      </c>
      <c r="AJ201" s="100" t="s">
        <v>682</v>
      </c>
      <c r="AK201" s="100" t="s">
        <v>682</v>
      </c>
    </row>
    <row r="202" spans="1:37">
      <c r="A202" s="100" t="s">
        <v>2791</v>
      </c>
      <c r="B202" s="100" t="s">
        <v>2792</v>
      </c>
      <c r="C202" s="100" t="s">
        <v>682</v>
      </c>
      <c r="D202" s="100" t="s">
        <v>106</v>
      </c>
      <c r="E202" s="100" t="s">
        <v>2793</v>
      </c>
      <c r="F202" s="100" t="s">
        <v>306</v>
      </c>
      <c r="G202" s="100" t="s">
        <v>320</v>
      </c>
      <c r="H202" s="100" t="s">
        <v>682</v>
      </c>
      <c r="I202" s="100" t="s">
        <v>4719</v>
      </c>
      <c r="J202" s="100" t="s">
        <v>3697</v>
      </c>
      <c r="K202" s="100" t="s">
        <v>2795</v>
      </c>
      <c r="L202" s="100" t="s">
        <v>682</v>
      </c>
      <c r="M202" s="100" t="s">
        <v>682</v>
      </c>
      <c r="N202" s="100" t="s">
        <v>682</v>
      </c>
      <c r="O202" s="100" t="s">
        <v>5579</v>
      </c>
      <c r="P202" s="100" t="s">
        <v>2796</v>
      </c>
      <c r="Q202" s="100" t="s">
        <v>2797</v>
      </c>
      <c r="R202" s="100" t="s">
        <v>5580</v>
      </c>
      <c r="S202" s="100" t="s">
        <v>5581</v>
      </c>
      <c r="T202" s="100" t="s">
        <v>4720</v>
      </c>
      <c r="U202" s="100" t="s">
        <v>2798</v>
      </c>
      <c r="V202" s="100" t="s">
        <v>2799</v>
      </c>
      <c r="W202" s="100" t="s">
        <v>682</v>
      </c>
      <c r="X202" s="100" t="s">
        <v>2800</v>
      </c>
      <c r="Y202" s="100" t="s">
        <v>4721</v>
      </c>
      <c r="Z202" s="100" t="s">
        <v>4722</v>
      </c>
      <c r="AA202" s="100" t="s">
        <v>2801</v>
      </c>
      <c r="AB202" s="100" t="s">
        <v>2802</v>
      </c>
      <c r="AC202" s="100" t="s">
        <v>682</v>
      </c>
      <c r="AD202" s="100" t="s">
        <v>682</v>
      </c>
      <c r="AE202" s="100" t="s">
        <v>43</v>
      </c>
      <c r="AF202" s="100" t="s">
        <v>41</v>
      </c>
      <c r="AG202" s="100" t="s">
        <v>42</v>
      </c>
      <c r="AH202" s="100" t="s">
        <v>2803</v>
      </c>
      <c r="AI202" s="100" t="s">
        <v>682</v>
      </c>
      <c r="AJ202" s="100" t="s">
        <v>682</v>
      </c>
      <c r="AK202" s="100" t="s">
        <v>682</v>
      </c>
    </row>
    <row r="203" spans="1:37">
      <c r="A203" s="100" t="s">
        <v>2804</v>
      </c>
      <c r="B203" s="100" t="s">
        <v>682</v>
      </c>
      <c r="C203" s="100" t="s">
        <v>682</v>
      </c>
      <c r="D203" s="100" t="s">
        <v>682</v>
      </c>
      <c r="E203" s="100" t="s">
        <v>682</v>
      </c>
      <c r="F203" s="100" t="s">
        <v>682</v>
      </c>
      <c r="G203" s="100" t="s">
        <v>682</v>
      </c>
      <c r="H203" s="100" t="s">
        <v>682</v>
      </c>
      <c r="I203" s="100" t="s">
        <v>682</v>
      </c>
      <c r="J203" s="100" t="s">
        <v>6424</v>
      </c>
      <c r="K203" s="100" t="s">
        <v>6878</v>
      </c>
      <c r="L203" s="100" t="s">
        <v>6879</v>
      </c>
      <c r="M203" s="100" t="s">
        <v>682</v>
      </c>
      <c r="N203" s="100" t="s">
        <v>682</v>
      </c>
      <c r="O203" s="100" t="s">
        <v>682</v>
      </c>
      <c r="P203" s="100" t="s">
        <v>682</v>
      </c>
      <c r="Q203" s="100" t="s">
        <v>2805</v>
      </c>
      <c r="R203" s="100" t="s">
        <v>6880</v>
      </c>
      <c r="S203" s="100" t="s">
        <v>6881</v>
      </c>
      <c r="T203" s="100" t="s">
        <v>6882</v>
      </c>
      <c r="U203" s="100" t="s">
        <v>2806</v>
      </c>
      <c r="V203" s="100" t="s">
        <v>2807</v>
      </c>
      <c r="W203" s="100" t="s">
        <v>6883</v>
      </c>
      <c r="X203" s="100" t="s">
        <v>682</v>
      </c>
      <c r="Y203" s="100" t="s">
        <v>682</v>
      </c>
      <c r="Z203" s="100" t="s">
        <v>682</v>
      </c>
      <c r="AA203" s="100" t="s">
        <v>2808</v>
      </c>
      <c r="AB203" s="100" t="s">
        <v>2809</v>
      </c>
      <c r="AC203" s="100" t="s">
        <v>6884</v>
      </c>
      <c r="AD203" s="100" t="s">
        <v>682</v>
      </c>
      <c r="AE203" s="100" t="s">
        <v>682</v>
      </c>
      <c r="AF203" s="100" t="s">
        <v>682</v>
      </c>
      <c r="AG203" s="100" t="s">
        <v>682</v>
      </c>
      <c r="AH203" s="100" t="s">
        <v>682</v>
      </c>
      <c r="AI203" s="100" t="s">
        <v>682</v>
      </c>
      <c r="AJ203" s="100" t="s">
        <v>682</v>
      </c>
      <c r="AK203" s="100" t="s">
        <v>682</v>
      </c>
    </row>
    <row r="204" spans="1:37">
      <c r="A204" s="100" t="s">
        <v>2810</v>
      </c>
      <c r="B204" s="100" t="s">
        <v>2811</v>
      </c>
      <c r="C204" s="100" t="s">
        <v>682</v>
      </c>
      <c r="D204" s="100" t="s">
        <v>78</v>
      </c>
      <c r="E204" s="100" t="s">
        <v>2812</v>
      </c>
      <c r="F204" s="100" t="s">
        <v>233</v>
      </c>
      <c r="G204" s="100" t="s">
        <v>445</v>
      </c>
      <c r="H204" s="100" t="s">
        <v>2003</v>
      </c>
      <c r="I204" s="100" t="s">
        <v>4723</v>
      </c>
      <c r="J204" s="100" t="s">
        <v>2028</v>
      </c>
      <c r="K204" s="100" t="s">
        <v>2814</v>
      </c>
      <c r="L204" s="100" t="s">
        <v>682</v>
      </c>
      <c r="M204" s="100" t="s">
        <v>682</v>
      </c>
      <c r="N204" s="100" t="s">
        <v>682</v>
      </c>
      <c r="O204" s="100" t="s">
        <v>5582</v>
      </c>
      <c r="P204" s="100" t="s">
        <v>2815</v>
      </c>
      <c r="Q204" s="100" t="s">
        <v>2816</v>
      </c>
      <c r="R204" s="100" t="s">
        <v>5583</v>
      </c>
      <c r="S204" s="100" t="s">
        <v>5584</v>
      </c>
      <c r="T204" s="100" t="s">
        <v>4724</v>
      </c>
      <c r="U204" s="100" t="s">
        <v>2817</v>
      </c>
      <c r="V204" s="100" t="s">
        <v>2818</v>
      </c>
      <c r="W204" s="100" t="s">
        <v>682</v>
      </c>
      <c r="X204" s="100" t="s">
        <v>2819</v>
      </c>
      <c r="Y204" s="100" t="s">
        <v>4725</v>
      </c>
      <c r="Z204" s="100" t="s">
        <v>4726</v>
      </c>
      <c r="AA204" s="100" t="s">
        <v>2820</v>
      </c>
      <c r="AB204" s="100" t="s">
        <v>2821</v>
      </c>
      <c r="AC204" s="100" t="s">
        <v>682</v>
      </c>
      <c r="AD204" s="100" t="s">
        <v>682</v>
      </c>
      <c r="AE204" s="100" t="s">
        <v>43</v>
      </c>
      <c r="AF204" s="100" t="s">
        <v>46</v>
      </c>
      <c r="AG204" s="100" t="s">
        <v>42</v>
      </c>
      <c r="AH204" s="100" t="s">
        <v>2822</v>
      </c>
      <c r="AI204" s="100" t="s">
        <v>682</v>
      </c>
      <c r="AJ204" s="100" t="s">
        <v>682</v>
      </c>
      <c r="AK204" s="100" t="s">
        <v>682</v>
      </c>
    </row>
    <row r="205" spans="1:37">
      <c r="A205" s="100" t="s">
        <v>6885</v>
      </c>
      <c r="B205" s="100" t="s">
        <v>6886</v>
      </c>
      <c r="C205" s="100" t="s">
        <v>682</v>
      </c>
      <c r="D205" s="100" t="s">
        <v>78</v>
      </c>
      <c r="E205" s="100" t="s">
        <v>6887</v>
      </c>
      <c r="F205" s="100" t="s">
        <v>236</v>
      </c>
      <c r="G205" s="100" t="s">
        <v>184</v>
      </c>
      <c r="H205" s="100" t="s">
        <v>2077</v>
      </c>
      <c r="I205" s="100" t="s">
        <v>6888</v>
      </c>
      <c r="J205" s="100" t="s">
        <v>2028</v>
      </c>
      <c r="K205" s="100" t="s">
        <v>6889</v>
      </c>
      <c r="L205" s="100" t="s">
        <v>682</v>
      </c>
      <c r="M205" s="100" t="s">
        <v>682</v>
      </c>
      <c r="N205" s="100" t="s">
        <v>682</v>
      </c>
      <c r="O205" s="100" t="s">
        <v>6890</v>
      </c>
      <c r="P205" s="100" t="s">
        <v>6891</v>
      </c>
      <c r="Q205" s="100" t="s">
        <v>6892</v>
      </c>
      <c r="R205" s="100" t="s">
        <v>6893</v>
      </c>
      <c r="S205" s="100" t="s">
        <v>6894</v>
      </c>
      <c r="T205" s="100" t="s">
        <v>6895</v>
      </c>
      <c r="U205" s="100" t="s">
        <v>6896</v>
      </c>
      <c r="V205" s="100" t="s">
        <v>6897</v>
      </c>
      <c r="W205" s="100" t="s">
        <v>682</v>
      </c>
      <c r="X205" s="100" t="s">
        <v>6898</v>
      </c>
      <c r="Y205" s="100" t="s">
        <v>6899</v>
      </c>
      <c r="Z205" s="100" t="s">
        <v>6900</v>
      </c>
      <c r="AA205" s="100" t="s">
        <v>6901</v>
      </c>
      <c r="AB205" s="100" t="s">
        <v>6902</v>
      </c>
      <c r="AC205" s="100" t="s">
        <v>682</v>
      </c>
      <c r="AD205" s="100" t="s">
        <v>682</v>
      </c>
      <c r="AE205" s="100" t="s">
        <v>54</v>
      </c>
      <c r="AF205" s="100" t="s">
        <v>682</v>
      </c>
      <c r="AG205" s="100" t="s">
        <v>682</v>
      </c>
      <c r="AH205" s="100" t="s">
        <v>6903</v>
      </c>
      <c r="AI205" s="100" t="s">
        <v>682</v>
      </c>
      <c r="AJ205" s="100" t="s">
        <v>682</v>
      </c>
      <c r="AK205" s="100" t="s">
        <v>682</v>
      </c>
    </row>
    <row r="206" spans="1:37">
      <c r="A206" s="100" t="s">
        <v>2823</v>
      </c>
      <c r="B206" s="100" t="s">
        <v>2824</v>
      </c>
      <c r="C206" s="100" t="s">
        <v>682</v>
      </c>
      <c r="D206" s="100" t="s">
        <v>78</v>
      </c>
      <c r="E206" s="100" t="s">
        <v>2825</v>
      </c>
      <c r="F206" s="100" t="s">
        <v>234</v>
      </c>
      <c r="G206" s="100" t="s">
        <v>439</v>
      </c>
      <c r="H206" s="100" t="s">
        <v>2003</v>
      </c>
      <c r="I206" s="100" t="s">
        <v>4727</v>
      </c>
      <c r="J206" s="100" t="s">
        <v>2159</v>
      </c>
      <c r="K206" s="100" t="s">
        <v>2827</v>
      </c>
      <c r="L206" s="100" t="s">
        <v>682</v>
      </c>
      <c r="M206" s="100" t="s">
        <v>682</v>
      </c>
      <c r="N206" s="100" t="s">
        <v>682</v>
      </c>
      <c r="O206" s="100" t="s">
        <v>5585</v>
      </c>
      <c r="P206" s="100" t="s">
        <v>2828</v>
      </c>
      <c r="Q206" s="100" t="s">
        <v>2829</v>
      </c>
      <c r="R206" s="100" t="s">
        <v>5586</v>
      </c>
      <c r="S206" s="100" t="s">
        <v>5587</v>
      </c>
      <c r="T206" s="100" t="s">
        <v>4728</v>
      </c>
      <c r="U206" s="100" t="s">
        <v>2830</v>
      </c>
      <c r="V206" s="100" t="s">
        <v>2831</v>
      </c>
      <c r="W206" s="100" t="s">
        <v>682</v>
      </c>
      <c r="X206" s="100" t="s">
        <v>2832</v>
      </c>
      <c r="Y206" s="100" t="s">
        <v>4729</v>
      </c>
      <c r="Z206" s="100" t="s">
        <v>4730</v>
      </c>
      <c r="AA206" s="100" t="s">
        <v>2833</v>
      </c>
      <c r="AB206" s="100" t="s">
        <v>2834</v>
      </c>
      <c r="AC206" s="100" t="s">
        <v>682</v>
      </c>
      <c r="AD206" s="100" t="s">
        <v>682</v>
      </c>
      <c r="AE206" s="100" t="s">
        <v>43</v>
      </c>
      <c r="AF206" s="100" t="s">
        <v>46</v>
      </c>
      <c r="AG206" s="100" t="s">
        <v>42</v>
      </c>
      <c r="AH206" s="100" t="s">
        <v>2835</v>
      </c>
      <c r="AI206" s="100" t="s">
        <v>682</v>
      </c>
      <c r="AJ206" s="100" t="s">
        <v>682</v>
      </c>
      <c r="AK206" s="100" t="s">
        <v>682</v>
      </c>
    </row>
    <row r="207" spans="1:37">
      <c r="A207" s="100" t="s">
        <v>2836</v>
      </c>
      <c r="B207" s="100" t="s">
        <v>2837</v>
      </c>
      <c r="C207" s="100" t="s">
        <v>682</v>
      </c>
      <c r="D207" s="100" t="s">
        <v>78</v>
      </c>
      <c r="E207" s="100" t="s">
        <v>2838</v>
      </c>
      <c r="F207" s="100" t="s">
        <v>232</v>
      </c>
      <c r="G207" s="100" t="s">
        <v>184</v>
      </c>
      <c r="H207" s="100" t="s">
        <v>2003</v>
      </c>
      <c r="I207" s="100" t="s">
        <v>4731</v>
      </c>
      <c r="J207" s="100" t="s">
        <v>2271</v>
      </c>
      <c r="K207" s="100" t="s">
        <v>2839</v>
      </c>
      <c r="L207" s="100" t="s">
        <v>682</v>
      </c>
      <c r="M207" s="100" t="s">
        <v>682</v>
      </c>
      <c r="N207" s="100" t="s">
        <v>682</v>
      </c>
      <c r="O207" s="100" t="s">
        <v>5588</v>
      </c>
      <c r="P207" s="100" t="s">
        <v>2840</v>
      </c>
      <c r="Q207" s="100" t="s">
        <v>2841</v>
      </c>
      <c r="R207" s="100" t="s">
        <v>5589</v>
      </c>
      <c r="S207" s="100" t="s">
        <v>5590</v>
      </c>
      <c r="T207" s="100" t="s">
        <v>4732</v>
      </c>
      <c r="U207" s="100" t="s">
        <v>2842</v>
      </c>
      <c r="V207" s="100" t="s">
        <v>2843</v>
      </c>
      <c r="W207" s="100" t="s">
        <v>682</v>
      </c>
      <c r="X207" s="100" t="s">
        <v>2844</v>
      </c>
      <c r="Y207" s="100" t="s">
        <v>4733</v>
      </c>
      <c r="Z207" s="100" t="s">
        <v>4734</v>
      </c>
      <c r="AA207" s="100" t="s">
        <v>2845</v>
      </c>
      <c r="AB207" s="100" t="s">
        <v>2846</v>
      </c>
      <c r="AC207" s="100" t="s">
        <v>682</v>
      </c>
      <c r="AD207" s="100" t="s">
        <v>682</v>
      </c>
      <c r="AE207" s="100" t="s">
        <v>54</v>
      </c>
      <c r="AF207" s="100" t="s">
        <v>682</v>
      </c>
      <c r="AG207" s="100" t="s">
        <v>682</v>
      </c>
      <c r="AH207" s="100" t="s">
        <v>2847</v>
      </c>
      <c r="AI207" s="100" t="s">
        <v>682</v>
      </c>
      <c r="AJ207" s="100" t="s">
        <v>682</v>
      </c>
      <c r="AK207" s="100" t="s">
        <v>682</v>
      </c>
    </row>
    <row r="208" spans="1:37">
      <c r="A208" s="100" t="s">
        <v>2848</v>
      </c>
      <c r="B208" s="100" t="s">
        <v>2849</v>
      </c>
      <c r="C208" s="100" t="s">
        <v>682</v>
      </c>
      <c r="D208" s="100" t="s">
        <v>2619</v>
      </c>
      <c r="E208" s="100" t="s">
        <v>2850</v>
      </c>
      <c r="F208" s="100" t="s">
        <v>227</v>
      </c>
      <c r="G208" s="100" t="s">
        <v>376</v>
      </c>
      <c r="H208" s="100" t="s">
        <v>682</v>
      </c>
      <c r="I208" s="100" t="s">
        <v>4735</v>
      </c>
      <c r="J208" s="100" t="s">
        <v>2813</v>
      </c>
      <c r="K208" s="100" t="s">
        <v>2852</v>
      </c>
      <c r="L208" s="100" t="s">
        <v>682</v>
      </c>
      <c r="M208" s="100" t="s">
        <v>682</v>
      </c>
      <c r="N208" s="100" t="s">
        <v>682</v>
      </c>
      <c r="O208" s="100" t="s">
        <v>5591</v>
      </c>
      <c r="P208" s="100" t="s">
        <v>2853</v>
      </c>
      <c r="Q208" s="100" t="s">
        <v>2854</v>
      </c>
      <c r="R208" s="100" t="s">
        <v>5592</v>
      </c>
      <c r="S208" s="100" t="s">
        <v>5593</v>
      </c>
      <c r="T208" s="100" t="s">
        <v>4736</v>
      </c>
      <c r="U208" s="100" t="s">
        <v>2855</v>
      </c>
      <c r="V208" s="100" t="s">
        <v>2856</v>
      </c>
      <c r="W208" s="100" t="s">
        <v>682</v>
      </c>
      <c r="X208" s="100" t="s">
        <v>2857</v>
      </c>
      <c r="Y208" s="100" t="s">
        <v>4737</v>
      </c>
      <c r="Z208" s="100" t="s">
        <v>4738</v>
      </c>
      <c r="AA208" s="100" t="s">
        <v>2858</v>
      </c>
      <c r="AB208" s="100" t="s">
        <v>2859</v>
      </c>
      <c r="AC208" s="100" t="s">
        <v>682</v>
      </c>
      <c r="AD208" s="100" t="s">
        <v>682</v>
      </c>
      <c r="AE208" s="100" t="s">
        <v>43</v>
      </c>
      <c r="AF208" s="100" t="s">
        <v>46</v>
      </c>
      <c r="AG208" s="100" t="s">
        <v>42</v>
      </c>
      <c r="AH208" s="100" t="s">
        <v>2860</v>
      </c>
      <c r="AI208" s="100" t="s">
        <v>682</v>
      </c>
      <c r="AJ208" s="100" t="s">
        <v>682</v>
      </c>
      <c r="AK208" s="100" t="s">
        <v>682</v>
      </c>
    </row>
    <row r="209" spans="1:37">
      <c r="A209" s="100" t="s">
        <v>2861</v>
      </c>
      <c r="B209" s="100" t="s">
        <v>2862</v>
      </c>
      <c r="C209" s="100" t="s">
        <v>682</v>
      </c>
      <c r="D209" s="100" t="s">
        <v>105</v>
      </c>
      <c r="E209" s="100" t="s">
        <v>2863</v>
      </c>
      <c r="F209" s="100" t="s">
        <v>312</v>
      </c>
      <c r="G209" s="100" t="s">
        <v>320</v>
      </c>
      <c r="H209" s="100" t="s">
        <v>682</v>
      </c>
      <c r="I209" s="100" t="s">
        <v>4739</v>
      </c>
      <c r="J209" s="100" t="s">
        <v>2028</v>
      </c>
      <c r="K209" s="100" t="s">
        <v>2864</v>
      </c>
      <c r="L209" s="100" t="s">
        <v>682</v>
      </c>
      <c r="M209" s="100" t="s">
        <v>682</v>
      </c>
      <c r="N209" s="100" t="s">
        <v>682</v>
      </c>
      <c r="O209" s="100" t="s">
        <v>5594</v>
      </c>
      <c r="P209" s="100" t="s">
        <v>2865</v>
      </c>
      <c r="Q209" s="100" t="s">
        <v>2866</v>
      </c>
      <c r="R209" s="100" t="s">
        <v>5595</v>
      </c>
      <c r="S209" s="100" t="s">
        <v>5596</v>
      </c>
      <c r="T209" s="100" t="s">
        <v>4740</v>
      </c>
      <c r="U209" s="100" t="s">
        <v>2867</v>
      </c>
      <c r="V209" s="100" t="s">
        <v>2868</v>
      </c>
      <c r="W209" s="100" t="s">
        <v>682</v>
      </c>
      <c r="X209" s="100" t="s">
        <v>2869</v>
      </c>
      <c r="Y209" s="100" t="s">
        <v>4741</v>
      </c>
      <c r="Z209" s="100" t="s">
        <v>4742</v>
      </c>
      <c r="AA209" s="100" t="s">
        <v>2870</v>
      </c>
      <c r="AB209" s="100" t="s">
        <v>2871</v>
      </c>
      <c r="AC209" s="100" t="s">
        <v>682</v>
      </c>
      <c r="AD209" s="100" t="s">
        <v>682</v>
      </c>
      <c r="AE209" s="100" t="s">
        <v>43</v>
      </c>
      <c r="AF209" s="100" t="s">
        <v>41</v>
      </c>
      <c r="AG209" s="100" t="s">
        <v>42</v>
      </c>
      <c r="AH209" s="100" t="s">
        <v>2872</v>
      </c>
      <c r="AI209" s="100" t="s">
        <v>682</v>
      </c>
      <c r="AJ209" s="100" t="s">
        <v>682</v>
      </c>
      <c r="AK209" s="100" t="s">
        <v>682</v>
      </c>
    </row>
    <row r="210" spans="1:37">
      <c r="A210" s="100" t="s">
        <v>2873</v>
      </c>
      <c r="B210" s="100" t="s">
        <v>682</v>
      </c>
      <c r="C210" s="100" t="s">
        <v>682</v>
      </c>
      <c r="D210" s="100" t="s">
        <v>682</v>
      </c>
      <c r="E210" s="100" t="s">
        <v>682</v>
      </c>
      <c r="F210" s="100" t="s">
        <v>682</v>
      </c>
      <c r="G210" s="100" t="s">
        <v>682</v>
      </c>
      <c r="H210" s="100" t="s">
        <v>682</v>
      </c>
      <c r="I210" s="100" t="s">
        <v>682</v>
      </c>
      <c r="J210" s="100" t="s">
        <v>6424</v>
      </c>
      <c r="K210" s="100" t="s">
        <v>6904</v>
      </c>
      <c r="L210" s="100" t="s">
        <v>6905</v>
      </c>
      <c r="M210" s="100" t="s">
        <v>682</v>
      </c>
      <c r="N210" s="100" t="s">
        <v>682</v>
      </c>
      <c r="O210" s="100" t="s">
        <v>682</v>
      </c>
      <c r="P210" s="100" t="s">
        <v>682</v>
      </c>
      <c r="Q210" s="100" t="s">
        <v>2875</v>
      </c>
      <c r="R210" s="100" t="s">
        <v>6906</v>
      </c>
      <c r="S210" s="100" t="s">
        <v>6907</v>
      </c>
      <c r="T210" s="100" t="s">
        <v>6908</v>
      </c>
      <c r="U210" s="100" t="s">
        <v>2876</v>
      </c>
      <c r="V210" s="100" t="s">
        <v>2877</v>
      </c>
      <c r="W210" s="100" t="s">
        <v>6909</v>
      </c>
      <c r="X210" s="100" t="s">
        <v>682</v>
      </c>
      <c r="Y210" s="100" t="s">
        <v>682</v>
      </c>
      <c r="Z210" s="100" t="s">
        <v>682</v>
      </c>
      <c r="AA210" s="100" t="s">
        <v>2878</v>
      </c>
      <c r="AB210" s="100" t="s">
        <v>2879</v>
      </c>
      <c r="AC210" s="100" t="s">
        <v>6910</v>
      </c>
      <c r="AD210" s="100" t="s">
        <v>682</v>
      </c>
      <c r="AE210" s="100" t="s">
        <v>682</v>
      </c>
      <c r="AF210" s="100" t="s">
        <v>682</v>
      </c>
      <c r="AG210" s="100" t="s">
        <v>682</v>
      </c>
      <c r="AH210" s="100" t="s">
        <v>682</v>
      </c>
      <c r="AI210" s="100" t="s">
        <v>682</v>
      </c>
      <c r="AJ210" s="100" t="s">
        <v>682</v>
      </c>
      <c r="AK210" s="100" t="s">
        <v>682</v>
      </c>
    </row>
    <row r="211" spans="1:37">
      <c r="A211" s="100" t="s">
        <v>6911</v>
      </c>
      <c r="B211" s="100" t="s">
        <v>6912</v>
      </c>
      <c r="C211" s="100" t="s">
        <v>682</v>
      </c>
      <c r="D211" s="100" t="s">
        <v>78</v>
      </c>
      <c r="E211" s="100" t="s">
        <v>6913</v>
      </c>
      <c r="F211" s="100" t="s">
        <v>233</v>
      </c>
      <c r="G211" s="100" t="s">
        <v>439</v>
      </c>
      <c r="H211" s="100" t="s">
        <v>2003</v>
      </c>
      <c r="I211" s="100" t="s">
        <v>6914</v>
      </c>
      <c r="J211" s="100" t="s">
        <v>2016</v>
      </c>
      <c r="K211" s="100" t="s">
        <v>6915</v>
      </c>
      <c r="L211" s="100" t="s">
        <v>682</v>
      </c>
      <c r="M211" s="100" t="s">
        <v>682</v>
      </c>
      <c r="N211" s="100" t="s">
        <v>682</v>
      </c>
      <c r="O211" s="100" t="s">
        <v>6916</v>
      </c>
      <c r="P211" s="100" t="s">
        <v>6917</v>
      </c>
      <c r="Q211" s="100" t="s">
        <v>6918</v>
      </c>
      <c r="R211" s="100" t="s">
        <v>6919</v>
      </c>
      <c r="S211" s="100" t="s">
        <v>6920</v>
      </c>
      <c r="T211" s="100" t="s">
        <v>6921</v>
      </c>
      <c r="U211" s="100" t="s">
        <v>6922</v>
      </c>
      <c r="V211" s="100" t="s">
        <v>6923</v>
      </c>
      <c r="W211" s="100" t="s">
        <v>682</v>
      </c>
      <c r="X211" s="100" t="s">
        <v>6924</v>
      </c>
      <c r="Y211" s="100" t="s">
        <v>6925</v>
      </c>
      <c r="Z211" s="100" t="s">
        <v>6926</v>
      </c>
      <c r="AA211" s="100" t="s">
        <v>6927</v>
      </c>
      <c r="AB211" s="100" t="s">
        <v>6928</v>
      </c>
      <c r="AC211" s="100" t="s">
        <v>682</v>
      </c>
      <c r="AD211" s="100" t="s">
        <v>682</v>
      </c>
      <c r="AE211" s="100" t="s">
        <v>43</v>
      </c>
      <c r="AF211" s="100" t="s">
        <v>46</v>
      </c>
      <c r="AG211" s="100" t="s">
        <v>42</v>
      </c>
      <c r="AH211" s="100" t="s">
        <v>6929</v>
      </c>
      <c r="AI211" s="100" t="s">
        <v>682</v>
      </c>
      <c r="AJ211" s="100" t="s">
        <v>682</v>
      </c>
      <c r="AK211" s="100" t="s">
        <v>682</v>
      </c>
    </row>
    <row r="212" spans="1:37">
      <c r="A212" s="100" t="s">
        <v>2880</v>
      </c>
      <c r="B212" s="100" t="s">
        <v>2881</v>
      </c>
      <c r="C212" s="100" t="s">
        <v>682</v>
      </c>
      <c r="D212" s="100" t="s">
        <v>78</v>
      </c>
      <c r="E212" s="100" t="s">
        <v>2882</v>
      </c>
      <c r="F212" s="100" t="s">
        <v>234</v>
      </c>
      <c r="G212" s="100" t="s">
        <v>440</v>
      </c>
      <c r="H212" s="100" t="s">
        <v>2003</v>
      </c>
      <c r="I212" s="100" t="s">
        <v>4743</v>
      </c>
      <c r="J212" s="100" t="s">
        <v>2182</v>
      </c>
      <c r="K212" s="100" t="s">
        <v>2883</v>
      </c>
      <c r="L212" s="100" t="s">
        <v>682</v>
      </c>
      <c r="M212" s="100" t="s">
        <v>682</v>
      </c>
      <c r="N212" s="100" t="s">
        <v>682</v>
      </c>
      <c r="O212" s="100" t="s">
        <v>5597</v>
      </c>
      <c r="P212" s="100" t="s">
        <v>2884</v>
      </c>
      <c r="Q212" s="100" t="s">
        <v>2885</v>
      </c>
      <c r="R212" s="100" t="s">
        <v>5598</v>
      </c>
      <c r="S212" s="100" t="s">
        <v>5599</v>
      </c>
      <c r="T212" s="100" t="s">
        <v>4744</v>
      </c>
      <c r="U212" s="100" t="s">
        <v>2886</v>
      </c>
      <c r="V212" s="100" t="s">
        <v>2887</v>
      </c>
      <c r="W212" s="100" t="s">
        <v>682</v>
      </c>
      <c r="X212" s="100" t="s">
        <v>2888</v>
      </c>
      <c r="Y212" s="100" t="s">
        <v>4745</v>
      </c>
      <c r="Z212" s="100" t="s">
        <v>4746</v>
      </c>
      <c r="AA212" s="100" t="s">
        <v>2889</v>
      </c>
      <c r="AB212" s="100" t="s">
        <v>2890</v>
      </c>
      <c r="AC212" s="100" t="s">
        <v>682</v>
      </c>
      <c r="AD212" s="100" t="s">
        <v>682</v>
      </c>
      <c r="AE212" s="100" t="s">
        <v>54</v>
      </c>
      <c r="AF212" s="100" t="s">
        <v>682</v>
      </c>
      <c r="AG212" s="100" t="s">
        <v>682</v>
      </c>
      <c r="AH212" s="100" t="s">
        <v>2891</v>
      </c>
      <c r="AI212" s="100" t="s">
        <v>682</v>
      </c>
      <c r="AJ212" s="100" t="s">
        <v>682</v>
      </c>
      <c r="AK212" s="100" t="s">
        <v>682</v>
      </c>
    </row>
    <row r="213" spans="1:37">
      <c r="A213" s="100" t="s">
        <v>2892</v>
      </c>
      <c r="B213" s="100" t="s">
        <v>682</v>
      </c>
      <c r="C213" s="100" t="s">
        <v>682</v>
      </c>
      <c r="D213" s="100" t="s">
        <v>682</v>
      </c>
      <c r="E213" s="100" t="s">
        <v>682</v>
      </c>
      <c r="F213" s="100" t="s">
        <v>682</v>
      </c>
      <c r="G213" s="100" t="s">
        <v>682</v>
      </c>
      <c r="H213" s="100" t="s">
        <v>682</v>
      </c>
      <c r="I213" s="100" t="s">
        <v>682</v>
      </c>
      <c r="J213" s="100" t="s">
        <v>6424</v>
      </c>
      <c r="K213" s="100" t="s">
        <v>6930</v>
      </c>
      <c r="L213" s="100" t="s">
        <v>6931</v>
      </c>
      <c r="M213" s="100" t="s">
        <v>682</v>
      </c>
      <c r="N213" s="100" t="s">
        <v>682</v>
      </c>
      <c r="O213" s="100" t="s">
        <v>682</v>
      </c>
      <c r="P213" s="100" t="s">
        <v>682</v>
      </c>
      <c r="Q213" s="100" t="s">
        <v>2893</v>
      </c>
      <c r="R213" s="100" t="s">
        <v>6932</v>
      </c>
      <c r="S213" s="100" t="s">
        <v>6933</v>
      </c>
      <c r="T213" s="100" t="s">
        <v>6934</v>
      </c>
      <c r="U213" s="100" t="s">
        <v>2894</v>
      </c>
      <c r="V213" s="100" t="s">
        <v>2895</v>
      </c>
      <c r="W213" s="100" t="s">
        <v>6935</v>
      </c>
      <c r="X213" s="100" t="s">
        <v>682</v>
      </c>
      <c r="Y213" s="100" t="s">
        <v>682</v>
      </c>
      <c r="Z213" s="100" t="s">
        <v>682</v>
      </c>
      <c r="AA213" s="100" t="s">
        <v>2896</v>
      </c>
      <c r="AB213" s="100" t="s">
        <v>2897</v>
      </c>
      <c r="AC213" s="100" t="s">
        <v>6936</v>
      </c>
      <c r="AD213" s="100" t="s">
        <v>682</v>
      </c>
      <c r="AE213" s="100" t="s">
        <v>682</v>
      </c>
      <c r="AF213" s="100" t="s">
        <v>682</v>
      </c>
      <c r="AG213" s="100" t="s">
        <v>682</v>
      </c>
      <c r="AH213" s="100" t="s">
        <v>682</v>
      </c>
      <c r="AI213" s="100" t="s">
        <v>682</v>
      </c>
      <c r="AJ213" s="100" t="s">
        <v>682</v>
      </c>
      <c r="AK213" s="100" t="s">
        <v>682</v>
      </c>
    </row>
    <row r="214" spans="1:37">
      <c r="A214" s="100" t="s">
        <v>2898</v>
      </c>
      <c r="B214" s="100" t="s">
        <v>2899</v>
      </c>
      <c r="C214" s="100" t="s">
        <v>682</v>
      </c>
      <c r="D214" s="100" t="s">
        <v>78</v>
      </c>
      <c r="E214" s="100" t="s">
        <v>2900</v>
      </c>
      <c r="F214" s="100" t="s">
        <v>233</v>
      </c>
      <c r="G214" s="100" t="s">
        <v>440</v>
      </c>
      <c r="H214" s="100" t="s">
        <v>2003</v>
      </c>
      <c r="I214" s="100" t="s">
        <v>4747</v>
      </c>
      <c r="J214" s="100" t="s">
        <v>2040</v>
      </c>
      <c r="K214" s="100" t="s">
        <v>2901</v>
      </c>
      <c r="L214" s="100" t="s">
        <v>682</v>
      </c>
      <c r="M214" s="100" t="s">
        <v>682</v>
      </c>
      <c r="N214" s="100" t="s">
        <v>682</v>
      </c>
      <c r="O214" s="100" t="s">
        <v>5600</v>
      </c>
      <c r="P214" s="100" t="s">
        <v>2902</v>
      </c>
      <c r="Q214" s="100" t="s">
        <v>2903</v>
      </c>
      <c r="R214" s="100" t="s">
        <v>5601</v>
      </c>
      <c r="S214" s="100" t="s">
        <v>5602</v>
      </c>
      <c r="T214" s="100" t="s">
        <v>4748</v>
      </c>
      <c r="U214" s="100" t="s">
        <v>2904</v>
      </c>
      <c r="V214" s="100" t="s">
        <v>2905</v>
      </c>
      <c r="W214" s="100" t="s">
        <v>682</v>
      </c>
      <c r="X214" s="100" t="s">
        <v>2906</v>
      </c>
      <c r="Y214" s="100" t="s">
        <v>4749</v>
      </c>
      <c r="Z214" s="100" t="s">
        <v>4750</v>
      </c>
      <c r="AA214" s="100" t="s">
        <v>2907</v>
      </c>
      <c r="AB214" s="100" t="s">
        <v>2908</v>
      </c>
      <c r="AC214" s="100" t="s">
        <v>682</v>
      </c>
      <c r="AD214" s="100" t="s">
        <v>682</v>
      </c>
      <c r="AE214" s="100" t="s">
        <v>54</v>
      </c>
      <c r="AF214" s="100" t="s">
        <v>682</v>
      </c>
      <c r="AG214" s="100" t="s">
        <v>682</v>
      </c>
      <c r="AH214" s="100" t="s">
        <v>2909</v>
      </c>
      <c r="AI214" s="100" t="s">
        <v>682</v>
      </c>
      <c r="AJ214" s="100" t="s">
        <v>682</v>
      </c>
      <c r="AK214" s="100" t="s">
        <v>682</v>
      </c>
    </row>
    <row r="215" spans="1:37">
      <c r="A215" s="100" t="s">
        <v>2910</v>
      </c>
      <c r="B215" s="100" t="s">
        <v>2911</v>
      </c>
      <c r="C215" s="100" t="s">
        <v>682</v>
      </c>
      <c r="D215" s="100" t="s">
        <v>106</v>
      </c>
      <c r="E215" s="100" t="s">
        <v>2912</v>
      </c>
      <c r="F215" s="100" t="s">
        <v>322</v>
      </c>
      <c r="G215" s="100" t="s">
        <v>488</v>
      </c>
      <c r="H215" s="100" t="s">
        <v>682</v>
      </c>
      <c r="I215" s="100" t="s">
        <v>4751</v>
      </c>
      <c r="J215" s="100" t="s">
        <v>3859</v>
      </c>
      <c r="K215" s="100" t="s">
        <v>2913</v>
      </c>
      <c r="L215" s="100" t="s">
        <v>682</v>
      </c>
      <c r="M215" s="100" t="s">
        <v>682</v>
      </c>
      <c r="N215" s="100" t="s">
        <v>682</v>
      </c>
      <c r="O215" s="100" t="s">
        <v>5603</v>
      </c>
      <c r="P215" s="100" t="s">
        <v>2914</v>
      </c>
      <c r="Q215" s="100" t="s">
        <v>2915</v>
      </c>
      <c r="R215" s="100" t="s">
        <v>5604</v>
      </c>
      <c r="S215" s="100" t="s">
        <v>5605</v>
      </c>
      <c r="T215" s="100" t="s">
        <v>4752</v>
      </c>
      <c r="U215" s="100" t="s">
        <v>2916</v>
      </c>
      <c r="V215" s="100" t="s">
        <v>2917</v>
      </c>
      <c r="W215" s="100" t="s">
        <v>682</v>
      </c>
      <c r="X215" s="100" t="s">
        <v>2918</v>
      </c>
      <c r="Y215" s="100" t="s">
        <v>4753</v>
      </c>
      <c r="Z215" s="100" t="s">
        <v>4754</v>
      </c>
      <c r="AA215" s="100" t="s">
        <v>2919</v>
      </c>
      <c r="AB215" s="100" t="s">
        <v>2920</v>
      </c>
      <c r="AC215" s="100" t="s">
        <v>682</v>
      </c>
      <c r="AD215" s="100" t="s">
        <v>682</v>
      </c>
      <c r="AE215" s="100" t="s">
        <v>43</v>
      </c>
      <c r="AF215" s="100" t="s">
        <v>46</v>
      </c>
      <c r="AG215" s="100" t="s">
        <v>42</v>
      </c>
      <c r="AH215" s="100" t="s">
        <v>2921</v>
      </c>
      <c r="AI215" s="100" t="s">
        <v>682</v>
      </c>
      <c r="AJ215" s="100" t="s">
        <v>682</v>
      </c>
      <c r="AK215" s="100" t="s">
        <v>682</v>
      </c>
    </row>
    <row r="216" spans="1:37">
      <c r="A216" s="100" t="s">
        <v>2922</v>
      </c>
      <c r="B216" s="100" t="s">
        <v>682</v>
      </c>
      <c r="C216" s="100" t="s">
        <v>682</v>
      </c>
      <c r="D216" s="100" t="s">
        <v>682</v>
      </c>
      <c r="E216" s="100" t="s">
        <v>682</v>
      </c>
      <c r="F216" s="100" t="s">
        <v>682</v>
      </c>
      <c r="G216" s="100" t="s">
        <v>682</v>
      </c>
      <c r="H216" s="100" t="s">
        <v>682</v>
      </c>
      <c r="I216" s="100" t="s">
        <v>682</v>
      </c>
      <c r="J216" s="100" t="s">
        <v>6424</v>
      </c>
      <c r="K216" s="100" t="s">
        <v>6937</v>
      </c>
      <c r="L216" s="100" t="s">
        <v>6938</v>
      </c>
      <c r="M216" s="100" t="s">
        <v>682</v>
      </c>
      <c r="N216" s="100" t="s">
        <v>682</v>
      </c>
      <c r="O216" s="100" t="s">
        <v>682</v>
      </c>
      <c r="P216" s="100" t="s">
        <v>682</v>
      </c>
      <c r="Q216" s="100" t="s">
        <v>2923</v>
      </c>
      <c r="R216" s="100" t="s">
        <v>6939</v>
      </c>
      <c r="S216" s="100" t="s">
        <v>6940</v>
      </c>
      <c r="T216" s="100" t="s">
        <v>6941</v>
      </c>
      <c r="U216" s="100" t="s">
        <v>2924</v>
      </c>
      <c r="V216" s="100" t="s">
        <v>2925</v>
      </c>
      <c r="W216" s="100" t="s">
        <v>6942</v>
      </c>
      <c r="X216" s="100" t="s">
        <v>682</v>
      </c>
      <c r="Y216" s="100" t="s">
        <v>682</v>
      </c>
      <c r="Z216" s="100" t="s">
        <v>682</v>
      </c>
      <c r="AA216" s="100" t="s">
        <v>2926</v>
      </c>
      <c r="AB216" s="100" t="s">
        <v>2927</v>
      </c>
      <c r="AC216" s="100" t="s">
        <v>6943</v>
      </c>
      <c r="AD216" s="100" t="s">
        <v>682</v>
      </c>
      <c r="AE216" s="100" t="s">
        <v>682</v>
      </c>
      <c r="AF216" s="100" t="s">
        <v>682</v>
      </c>
      <c r="AG216" s="100" t="s">
        <v>682</v>
      </c>
      <c r="AH216" s="100" t="s">
        <v>682</v>
      </c>
      <c r="AI216" s="100" t="s">
        <v>682</v>
      </c>
      <c r="AJ216" s="100" t="s">
        <v>682</v>
      </c>
      <c r="AK216" s="100" t="s">
        <v>682</v>
      </c>
    </row>
    <row r="217" spans="1:37">
      <c r="A217" s="100" t="s">
        <v>6944</v>
      </c>
      <c r="B217" s="100" t="s">
        <v>6945</v>
      </c>
      <c r="C217" s="100" t="s">
        <v>682</v>
      </c>
      <c r="D217" s="100" t="s">
        <v>78</v>
      </c>
      <c r="E217" s="100" t="s">
        <v>6946</v>
      </c>
      <c r="F217" s="100" t="s">
        <v>233</v>
      </c>
      <c r="G217" s="100" t="s">
        <v>184</v>
      </c>
      <c r="H217" s="100" t="s">
        <v>2003</v>
      </c>
      <c r="I217" s="100" t="s">
        <v>6947</v>
      </c>
      <c r="J217" s="100" t="s">
        <v>2063</v>
      </c>
      <c r="K217" s="100" t="s">
        <v>6948</v>
      </c>
      <c r="L217" s="100" t="s">
        <v>682</v>
      </c>
      <c r="M217" s="100" t="s">
        <v>682</v>
      </c>
      <c r="N217" s="100" t="s">
        <v>682</v>
      </c>
      <c r="O217" s="100" t="s">
        <v>6949</v>
      </c>
      <c r="P217" s="100" t="s">
        <v>6950</v>
      </c>
      <c r="Q217" s="100" t="s">
        <v>6951</v>
      </c>
      <c r="R217" s="100" t="s">
        <v>6952</v>
      </c>
      <c r="S217" s="100" t="s">
        <v>6953</v>
      </c>
      <c r="T217" s="100" t="s">
        <v>6954</v>
      </c>
      <c r="U217" s="100" t="s">
        <v>6955</v>
      </c>
      <c r="V217" s="100" t="s">
        <v>6956</v>
      </c>
      <c r="W217" s="100" t="s">
        <v>682</v>
      </c>
      <c r="X217" s="100" t="s">
        <v>6957</v>
      </c>
      <c r="Y217" s="100" t="s">
        <v>6958</v>
      </c>
      <c r="Z217" s="100" t="s">
        <v>6959</v>
      </c>
      <c r="AA217" s="100" t="s">
        <v>6960</v>
      </c>
      <c r="AB217" s="100" t="s">
        <v>6961</v>
      </c>
      <c r="AC217" s="100" t="s">
        <v>682</v>
      </c>
      <c r="AD217" s="100" t="s">
        <v>682</v>
      </c>
      <c r="AE217" s="100" t="s">
        <v>54</v>
      </c>
      <c r="AF217" s="100" t="s">
        <v>682</v>
      </c>
      <c r="AG217" s="100" t="s">
        <v>682</v>
      </c>
      <c r="AH217" s="100" t="s">
        <v>6962</v>
      </c>
      <c r="AI217" s="100" t="s">
        <v>682</v>
      </c>
      <c r="AJ217" s="100" t="s">
        <v>682</v>
      </c>
      <c r="AK217" s="100" t="s">
        <v>682</v>
      </c>
    </row>
    <row r="218" spans="1:37">
      <c r="A218" s="100" t="s">
        <v>2928</v>
      </c>
      <c r="B218" s="100" t="s">
        <v>2929</v>
      </c>
      <c r="C218" s="100" t="s">
        <v>682</v>
      </c>
      <c r="D218" s="100" t="s">
        <v>78</v>
      </c>
      <c r="E218" s="100" t="s">
        <v>2930</v>
      </c>
      <c r="F218" s="100" t="s">
        <v>234</v>
      </c>
      <c r="G218" s="100" t="s">
        <v>184</v>
      </c>
      <c r="H218" s="100" t="s">
        <v>2003</v>
      </c>
      <c r="I218" s="100" t="s">
        <v>4755</v>
      </c>
      <c r="J218" s="100" t="s">
        <v>2205</v>
      </c>
      <c r="K218" s="100" t="s">
        <v>2931</v>
      </c>
      <c r="L218" s="100" t="s">
        <v>682</v>
      </c>
      <c r="M218" s="100" t="s">
        <v>682</v>
      </c>
      <c r="N218" s="100" t="s">
        <v>682</v>
      </c>
      <c r="O218" s="100" t="s">
        <v>5606</v>
      </c>
      <c r="P218" s="100" t="s">
        <v>2932</v>
      </c>
      <c r="Q218" s="100" t="s">
        <v>2933</v>
      </c>
      <c r="R218" s="100" t="s">
        <v>5607</v>
      </c>
      <c r="S218" s="100" t="s">
        <v>5608</v>
      </c>
      <c r="T218" s="100" t="s">
        <v>4756</v>
      </c>
      <c r="U218" s="100" t="s">
        <v>2934</v>
      </c>
      <c r="V218" s="100" t="s">
        <v>2935</v>
      </c>
      <c r="W218" s="100" t="s">
        <v>682</v>
      </c>
      <c r="X218" s="100" t="s">
        <v>2936</v>
      </c>
      <c r="Y218" s="100" t="s">
        <v>4757</v>
      </c>
      <c r="Z218" s="100" t="s">
        <v>4758</v>
      </c>
      <c r="AA218" s="100" t="s">
        <v>2937</v>
      </c>
      <c r="AB218" s="100" t="s">
        <v>2938</v>
      </c>
      <c r="AC218" s="100" t="s">
        <v>682</v>
      </c>
      <c r="AD218" s="100" t="s">
        <v>682</v>
      </c>
      <c r="AE218" s="100" t="s">
        <v>54</v>
      </c>
      <c r="AF218" s="100" t="s">
        <v>682</v>
      </c>
      <c r="AG218" s="100" t="s">
        <v>682</v>
      </c>
      <c r="AH218" s="100" t="s">
        <v>2939</v>
      </c>
      <c r="AI218" s="100" t="s">
        <v>682</v>
      </c>
      <c r="AJ218" s="100" t="s">
        <v>682</v>
      </c>
      <c r="AK218" s="100" t="s">
        <v>682</v>
      </c>
    </row>
    <row r="219" spans="1:37">
      <c r="A219" s="100" t="s">
        <v>2940</v>
      </c>
      <c r="B219" s="100" t="s">
        <v>2941</v>
      </c>
      <c r="C219" s="100" t="s">
        <v>682</v>
      </c>
      <c r="D219" s="100" t="s">
        <v>97</v>
      </c>
      <c r="E219" s="100" t="s">
        <v>2942</v>
      </c>
      <c r="F219" s="100" t="s">
        <v>254</v>
      </c>
      <c r="G219" s="100" t="s">
        <v>270</v>
      </c>
      <c r="H219" s="100" t="s">
        <v>682</v>
      </c>
      <c r="I219" s="100" t="s">
        <v>4759</v>
      </c>
      <c r="J219" s="100" t="s">
        <v>2205</v>
      </c>
      <c r="K219" s="100" t="s">
        <v>2944</v>
      </c>
      <c r="L219" s="100" t="s">
        <v>682</v>
      </c>
      <c r="M219" s="100" t="s">
        <v>682</v>
      </c>
      <c r="N219" s="100" t="s">
        <v>682</v>
      </c>
      <c r="O219" s="100" t="s">
        <v>5609</v>
      </c>
      <c r="P219" s="100" t="s">
        <v>2945</v>
      </c>
      <c r="Q219" s="100" t="s">
        <v>2946</v>
      </c>
      <c r="R219" s="100" t="s">
        <v>5610</v>
      </c>
      <c r="S219" s="100" t="s">
        <v>5611</v>
      </c>
      <c r="T219" s="100" t="s">
        <v>4760</v>
      </c>
      <c r="U219" s="100" t="s">
        <v>2947</v>
      </c>
      <c r="V219" s="100" t="s">
        <v>2948</v>
      </c>
      <c r="W219" s="100" t="s">
        <v>682</v>
      </c>
      <c r="X219" s="100" t="s">
        <v>2949</v>
      </c>
      <c r="Y219" s="100" t="s">
        <v>4761</v>
      </c>
      <c r="Z219" s="100" t="s">
        <v>4762</v>
      </c>
      <c r="AA219" s="100" t="s">
        <v>2950</v>
      </c>
      <c r="AB219" s="100" t="s">
        <v>2951</v>
      </c>
      <c r="AC219" s="100" t="s">
        <v>682</v>
      </c>
      <c r="AD219" s="100" t="s">
        <v>682</v>
      </c>
      <c r="AE219" s="100" t="s">
        <v>43</v>
      </c>
      <c r="AF219" s="100" t="s">
        <v>41</v>
      </c>
      <c r="AG219" s="100" t="s">
        <v>42</v>
      </c>
      <c r="AH219" s="100" t="s">
        <v>2952</v>
      </c>
      <c r="AI219" s="100" t="s">
        <v>682</v>
      </c>
      <c r="AJ219" s="100" t="s">
        <v>682</v>
      </c>
      <c r="AK219" s="100" t="s">
        <v>682</v>
      </c>
    </row>
    <row r="220" spans="1:37">
      <c r="A220" s="100" t="s">
        <v>2953</v>
      </c>
      <c r="B220" s="100" t="s">
        <v>2954</v>
      </c>
      <c r="C220" s="100" t="s">
        <v>682</v>
      </c>
      <c r="D220" s="100" t="s">
        <v>97</v>
      </c>
      <c r="E220" s="100" t="s">
        <v>2955</v>
      </c>
      <c r="F220" s="100" t="s">
        <v>254</v>
      </c>
      <c r="G220" s="100" t="s">
        <v>271</v>
      </c>
      <c r="H220" s="100" t="s">
        <v>682</v>
      </c>
      <c r="I220" s="100" t="s">
        <v>4763</v>
      </c>
      <c r="J220" s="100" t="s">
        <v>2205</v>
      </c>
      <c r="K220" s="100" t="s">
        <v>2956</v>
      </c>
      <c r="L220" s="100" t="s">
        <v>682</v>
      </c>
      <c r="M220" s="100" t="s">
        <v>682</v>
      </c>
      <c r="N220" s="100" t="s">
        <v>682</v>
      </c>
      <c r="O220" s="100" t="s">
        <v>5612</v>
      </c>
      <c r="P220" s="100" t="s">
        <v>2957</v>
      </c>
      <c r="Q220" s="100" t="s">
        <v>2958</v>
      </c>
      <c r="R220" s="100" t="s">
        <v>5613</v>
      </c>
      <c r="S220" s="100" t="s">
        <v>5614</v>
      </c>
      <c r="T220" s="100" t="s">
        <v>4764</v>
      </c>
      <c r="U220" s="100" t="s">
        <v>2959</v>
      </c>
      <c r="V220" s="100" t="s">
        <v>2960</v>
      </c>
      <c r="W220" s="100" t="s">
        <v>682</v>
      </c>
      <c r="X220" s="100" t="s">
        <v>2961</v>
      </c>
      <c r="Y220" s="100" t="s">
        <v>4765</v>
      </c>
      <c r="Z220" s="100" t="s">
        <v>4766</v>
      </c>
      <c r="AA220" s="100" t="s">
        <v>2962</v>
      </c>
      <c r="AB220" s="100" t="s">
        <v>2963</v>
      </c>
      <c r="AC220" s="100" t="s">
        <v>682</v>
      </c>
      <c r="AD220" s="100" t="s">
        <v>682</v>
      </c>
      <c r="AE220" s="100" t="s">
        <v>43</v>
      </c>
      <c r="AF220" s="100" t="s">
        <v>41</v>
      </c>
      <c r="AG220" s="100" t="s">
        <v>42</v>
      </c>
      <c r="AH220" s="100" t="s">
        <v>2964</v>
      </c>
      <c r="AI220" s="100" t="s">
        <v>682</v>
      </c>
      <c r="AJ220" s="100" t="s">
        <v>682</v>
      </c>
      <c r="AK220" s="100" t="s">
        <v>682</v>
      </c>
    </row>
    <row r="221" spans="1:37">
      <c r="A221" s="100" t="s">
        <v>2965</v>
      </c>
      <c r="B221" s="100" t="s">
        <v>682</v>
      </c>
      <c r="C221" s="100" t="s">
        <v>682</v>
      </c>
      <c r="D221" s="100" t="s">
        <v>682</v>
      </c>
      <c r="E221" s="100" t="s">
        <v>682</v>
      </c>
      <c r="F221" s="100" t="s">
        <v>682</v>
      </c>
      <c r="G221" s="100" t="s">
        <v>682</v>
      </c>
      <c r="H221" s="100" t="s">
        <v>682</v>
      </c>
      <c r="I221" s="100" t="s">
        <v>682</v>
      </c>
      <c r="J221" s="100" t="s">
        <v>6424</v>
      </c>
      <c r="K221" s="100" t="s">
        <v>6963</v>
      </c>
      <c r="L221" s="100" t="s">
        <v>6964</v>
      </c>
      <c r="M221" s="100" t="s">
        <v>682</v>
      </c>
      <c r="N221" s="100" t="s">
        <v>682</v>
      </c>
      <c r="O221" s="100" t="s">
        <v>682</v>
      </c>
      <c r="P221" s="100" t="s">
        <v>682</v>
      </c>
      <c r="Q221" s="100" t="s">
        <v>2966</v>
      </c>
      <c r="R221" s="100" t="s">
        <v>6965</v>
      </c>
      <c r="S221" s="100" t="s">
        <v>6966</v>
      </c>
      <c r="T221" s="100" t="s">
        <v>6967</v>
      </c>
      <c r="U221" s="100" t="s">
        <v>2967</v>
      </c>
      <c r="V221" s="100" t="s">
        <v>2968</v>
      </c>
      <c r="W221" s="100" t="s">
        <v>6968</v>
      </c>
      <c r="X221" s="100" t="s">
        <v>682</v>
      </c>
      <c r="Y221" s="100" t="s">
        <v>682</v>
      </c>
      <c r="Z221" s="100" t="s">
        <v>682</v>
      </c>
      <c r="AA221" s="100" t="s">
        <v>2969</v>
      </c>
      <c r="AB221" s="100" t="s">
        <v>2970</v>
      </c>
      <c r="AC221" s="100" t="s">
        <v>6969</v>
      </c>
      <c r="AD221" s="100" t="s">
        <v>682</v>
      </c>
      <c r="AE221" s="100" t="s">
        <v>682</v>
      </c>
      <c r="AF221" s="100" t="s">
        <v>682</v>
      </c>
      <c r="AG221" s="100" t="s">
        <v>682</v>
      </c>
      <c r="AH221" s="100" t="s">
        <v>682</v>
      </c>
      <c r="AI221" s="100" t="s">
        <v>682</v>
      </c>
      <c r="AJ221" s="100" t="s">
        <v>682</v>
      </c>
      <c r="AK221" s="100" t="s">
        <v>682</v>
      </c>
    </row>
    <row r="222" spans="1:37">
      <c r="A222" s="100" t="s">
        <v>2971</v>
      </c>
      <c r="B222" s="100" t="s">
        <v>2972</v>
      </c>
      <c r="C222" s="100" t="s">
        <v>682</v>
      </c>
      <c r="D222" s="100" t="s">
        <v>66</v>
      </c>
      <c r="E222" s="100" t="s">
        <v>2973</v>
      </c>
      <c r="F222" s="100" t="s">
        <v>221</v>
      </c>
      <c r="G222" s="100" t="s">
        <v>440</v>
      </c>
      <c r="H222" s="100" t="s">
        <v>682</v>
      </c>
      <c r="I222" s="100" t="s">
        <v>4767</v>
      </c>
      <c r="J222" s="100" t="s">
        <v>682</v>
      </c>
      <c r="K222" s="100" t="s">
        <v>2975</v>
      </c>
      <c r="L222" s="100" t="s">
        <v>682</v>
      </c>
      <c r="M222" s="100" t="s">
        <v>682</v>
      </c>
      <c r="N222" s="100" t="s">
        <v>682</v>
      </c>
      <c r="O222" s="100" t="s">
        <v>5615</v>
      </c>
      <c r="P222" s="100" t="s">
        <v>2976</v>
      </c>
      <c r="Q222" s="100" t="s">
        <v>2977</v>
      </c>
      <c r="R222" s="100" t="s">
        <v>5616</v>
      </c>
      <c r="S222" s="100" t="s">
        <v>5617</v>
      </c>
      <c r="T222" s="100" t="s">
        <v>4768</v>
      </c>
      <c r="U222" s="100" t="s">
        <v>2978</v>
      </c>
      <c r="V222" s="100" t="s">
        <v>2979</v>
      </c>
      <c r="W222" s="100" t="s">
        <v>682</v>
      </c>
      <c r="X222" s="100" t="s">
        <v>2980</v>
      </c>
      <c r="Y222" s="100" t="s">
        <v>4769</v>
      </c>
      <c r="Z222" s="100" t="s">
        <v>4770</v>
      </c>
      <c r="AA222" s="100" t="s">
        <v>2981</v>
      </c>
      <c r="AB222" s="100" t="s">
        <v>2982</v>
      </c>
      <c r="AC222" s="100" t="s">
        <v>682</v>
      </c>
      <c r="AD222" s="100" t="s">
        <v>682</v>
      </c>
      <c r="AE222" s="100" t="s">
        <v>54</v>
      </c>
      <c r="AF222" s="100" t="s">
        <v>682</v>
      </c>
      <c r="AG222" s="100" t="s">
        <v>682</v>
      </c>
      <c r="AH222" s="100" t="s">
        <v>2983</v>
      </c>
      <c r="AI222" s="100" t="s">
        <v>682</v>
      </c>
      <c r="AJ222" s="100" t="s">
        <v>682</v>
      </c>
      <c r="AK222" s="100" t="s">
        <v>682</v>
      </c>
    </row>
    <row r="223" spans="1:37">
      <c r="A223" s="100" t="s">
        <v>6970</v>
      </c>
      <c r="B223" s="100" t="s">
        <v>6971</v>
      </c>
      <c r="C223" s="100" t="s">
        <v>682</v>
      </c>
      <c r="D223" s="100" t="s">
        <v>745</v>
      </c>
      <c r="E223" s="100" t="s">
        <v>6972</v>
      </c>
      <c r="F223" s="100" t="s">
        <v>179</v>
      </c>
      <c r="G223" s="100" t="s">
        <v>3908</v>
      </c>
      <c r="H223" s="100" t="s">
        <v>682</v>
      </c>
      <c r="I223" s="100" t="s">
        <v>6973</v>
      </c>
      <c r="J223" s="100" t="s">
        <v>3915</v>
      </c>
      <c r="K223" s="100" t="s">
        <v>6974</v>
      </c>
      <c r="L223" s="100" t="s">
        <v>682</v>
      </c>
      <c r="M223" s="100" t="s">
        <v>682</v>
      </c>
      <c r="N223" s="100" t="s">
        <v>682</v>
      </c>
      <c r="O223" s="100" t="s">
        <v>6975</v>
      </c>
      <c r="P223" s="100" t="s">
        <v>6976</v>
      </c>
      <c r="Q223" s="100" t="s">
        <v>6977</v>
      </c>
      <c r="R223" s="100" t="s">
        <v>6978</v>
      </c>
      <c r="S223" s="100" t="s">
        <v>6979</v>
      </c>
      <c r="T223" s="100" t="s">
        <v>6980</v>
      </c>
      <c r="U223" s="100" t="s">
        <v>6981</v>
      </c>
      <c r="V223" s="100" t="s">
        <v>6982</v>
      </c>
      <c r="W223" s="100" t="s">
        <v>682</v>
      </c>
      <c r="X223" s="100" t="s">
        <v>6983</v>
      </c>
      <c r="Y223" s="100" t="s">
        <v>6984</v>
      </c>
      <c r="Z223" s="100" t="s">
        <v>6985</v>
      </c>
      <c r="AA223" s="100" t="s">
        <v>6986</v>
      </c>
      <c r="AB223" s="100" t="s">
        <v>6987</v>
      </c>
      <c r="AC223" s="100" t="s">
        <v>682</v>
      </c>
      <c r="AD223" s="100" t="s">
        <v>682</v>
      </c>
      <c r="AE223" s="100" t="s">
        <v>43</v>
      </c>
      <c r="AF223" s="100" t="s">
        <v>41</v>
      </c>
      <c r="AG223" s="100" t="s">
        <v>45</v>
      </c>
      <c r="AH223" s="100" t="s">
        <v>6988</v>
      </c>
      <c r="AI223" s="100" t="s">
        <v>682</v>
      </c>
      <c r="AJ223" s="100" t="s">
        <v>682</v>
      </c>
      <c r="AK223" s="100" t="s">
        <v>682</v>
      </c>
    </row>
    <row r="224" spans="1:37">
      <c r="A224" s="100" t="s">
        <v>2984</v>
      </c>
      <c r="B224" s="100" t="s">
        <v>2985</v>
      </c>
      <c r="C224" s="100" t="s">
        <v>682</v>
      </c>
      <c r="D224" s="100" t="s">
        <v>745</v>
      </c>
      <c r="E224" s="100" t="s">
        <v>2986</v>
      </c>
      <c r="F224" s="100" t="s">
        <v>179</v>
      </c>
      <c r="G224" s="100" t="s">
        <v>3906</v>
      </c>
      <c r="H224" s="100" t="s">
        <v>682</v>
      </c>
      <c r="I224" s="100" t="s">
        <v>4771</v>
      </c>
      <c r="J224" s="100" t="s">
        <v>3916</v>
      </c>
      <c r="K224" s="100" t="s">
        <v>2987</v>
      </c>
      <c r="L224" s="100" t="s">
        <v>682</v>
      </c>
      <c r="M224" s="100" t="s">
        <v>682</v>
      </c>
      <c r="N224" s="100" t="s">
        <v>682</v>
      </c>
      <c r="O224" s="100" t="s">
        <v>5618</v>
      </c>
      <c r="P224" s="100" t="s">
        <v>2988</v>
      </c>
      <c r="Q224" s="100" t="s">
        <v>2989</v>
      </c>
      <c r="R224" s="100" t="s">
        <v>5619</v>
      </c>
      <c r="S224" s="100" t="s">
        <v>5620</v>
      </c>
      <c r="T224" s="100" t="s">
        <v>4772</v>
      </c>
      <c r="U224" s="100" t="s">
        <v>2990</v>
      </c>
      <c r="V224" s="100" t="s">
        <v>2991</v>
      </c>
      <c r="W224" s="100" t="s">
        <v>682</v>
      </c>
      <c r="X224" s="100" t="s">
        <v>2992</v>
      </c>
      <c r="Y224" s="100" t="s">
        <v>4773</v>
      </c>
      <c r="Z224" s="100" t="s">
        <v>4774</v>
      </c>
      <c r="AA224" s="100" t="s">
        <v>2993</v>
      </c>
      <c r="AB224" s="100" t="s">
        <v>2994</v>
      </c>
      <c r="AC224" s="100" t="s">
        <v>682</v>
      </c>
      <c r="AD224" s="100" t="s">
        <v>682</v>
      </c>
      <c r="AE224" s="100" t="s">
        <v>43</v>
      </c>
      <c r="AF224" s="100" t="s">
        <v>41</v>
      </c>
      <c r="AG224" s="100" t="s">
        <v>45</v>
      </c>
      <c r="AH224" s="100" t="s">
        <v>2995</v>
      </c>
      <c r="AI224" s="100" t="s">
        <v>682</v>
      </c>
      <c r="AJ224" s="100" t="s">
        <v>682</v>
      </c>
      <c r="AK224" s="100" t="s">
        <v>682</v>
      </c>
    </row>
    <row r="225" spans="1:37">
      <c r="A225" s="100" t="s">
        <v>6989</v>
      </c>
      <c r="B225" s="100" t="s">
        <v>6990</v>
      </c>
      <c r="C225" s="100" t="s">
        <v>682</v>
      </c>
      <c r="D225" s="100" t="s">
        <v>745</v>
      </c>
      <c r="E225" s="100" t="s">
        <v>6991</v>
      </c>
      <c r="F225" s="100" t="s">
        <v>178</v>
      </c>
      <c r="G225" s="100" t="s">
        <v>555</v>
      </c>
      <c r="H225" s="100" t="s">
        <v>682</v>
      </c>
      <c r="I225" s="100" t="s">
        <v>6992</v>
      </c>
      <c r="J225" s="100" t="s">
        <v>3917</v>
      </c>
      <c r="K225" s="100" t="s">
        <v>6993</v>
      </c>
      <c r="L225" s="100" t="s">
        <v>682</v>
      </c>
      <c r="M225" s="100" t="s">
        <v>682</v>
      </c>
      <c r="N225" s="100" t="s">
        <v>682</v>
      </c>
      <c r="O225" s="100" t="s">
        <v>6994</v>
      </c>
      <c r="P225" s="100" t="s">
        <v>6995</v>
      </c>
      <c r="Q225" s="100" t="s">
        <v>6996</v>
      </c>
      <c r="R225" s="100" t="s">
        <v>6997</v>
      </c>
      <c r="S225" s="100" t="s">
        <v>6998</v>
      </c>
      <c r="T225" s="100" t="s">
        <v>6999</v>
      </c>
      <c r="U225" s="100" t="s">
        <v>7000</v>
      </c>
      <c r="V225" s="100" t="s">
        <v>7001</v>
      </c>
      <c r="W225" s="100" t="s">
        <v>682</v>
      </c>
      <c r="X225" s="100" t="s">
        <v>7002</v>
      </c>
      <c r="Y225" s="100" t="s">
        <v>7003</v>
      </c>
      <c r="Z225" s="100" t="s">
        <v>7004</v>
      </c>
      <c r="AA225" s="100" t="s">
        <v>7005</v>
      </c>
      <c r="AB225" s="100" t="s">
        <v>7006</v>
      </c>
      <c r="AC225" s="100" t="s">
        <v>682</v>
      </c>
      <c r="AD225" s="100" t="s">
        <v>682</v>
      </c>
      <c r="AE225" s="100" t="s">
        <v>43</v>
      </c>
      <c r="AF225" s="100" t="s">
        <v>41</v>
      </c>
      <c r="AG225" s="100" t="s">
        <v>45</v>
      </c>
      <c r="AH225" s="100" t="s">
        <v>7007</v>
      </c>
      <c r="AI225" s="100" t="s">
        <v>682</v>
      </c>
      <c r="AJ225" s="100" t="s">
        <v>682</v>
      </c>
      <c r="AK225" s="100" t="s">
        <v>682</v>
      </c>
    </row>
    <row r="226" spans="1:37">
      <c r="A226" s="100" t="s">
        <v>2996</v>
      </c>
      <c r="B226" s="100" t="s">
        <v>2997</v>
      </c>
      <c r="C226" s="100" t="s">
        <v>682</v>
      </c>
      <c r="D226" s="100" t="s">
        <v>38</v>
      </c>
      <c r="E226" s="100" t="s">
        <v>2998</v>
      </c>
      <c r="F226" s="100" t="s">
        <v>154</v>
      </c>
      <c r="G226" s="100" t="s">
        <v>456</v>
      </c>
      <c r="H226" s="100" t="s">
        <v>720</v>
      </c>
      <c r="I226" s="100" t="s">
        <v>4775</v>
      </c>
      <c r="J226" s="100" t="s">
        <v>721</v>
      </c>
      <c r="K226" s="100" t="s">
        <v>682</v>
      </c>
      <c r="L226" s="100" t="s">
        <v>682</v>
      </c>
      <c r="M226" s="100" t="s">
        <v>682</v>
      </c>
      <c r="N226" s="100" t="s">
        <v>682</v>
      </c>
      <c r="O226" s="100" t="s">
        <v>7008</v>
      </c>
      <c r="P226" s="100" t="s">
        <v>2999</v>
      </c>
      <c r="Q226" s="100" t="s">
        <v>3000</v>
      </c>
      <c r="R226" s="100" t="s">
        <v>5621</v>
      </c>
      <c r="S226" s="100" t="s">
        <v>5622</v>
      </c>
      <c r="T226" s="100" t="s">
        <v>4776</v>
      </c>
      <c r="U226" s="100" t="s">
        <v>3001</v>
      </c>
      <c r="V226" s="100" t="s">
        <v>3002</v>
      </c>
      <c r="W226" s="100" t="s">
        <v>682</v>
      </c>
      <c r="X226" s="100" t="s">
        <v>3003</v>
      </c>
      <c r="Y226" s="100" t="s">
        <v>4777</v>
      </c>
      <c r="Z226" s="100" t="s">
        <v>4778</v>
      </c>
      <c r="AA226" s="100" t="s">
        <v>3004</v>
      </c>
      <c r="AB226" s="100" t="s">
        <v>3005</v>
      </c>
      <c r="AC226" s="100" t="s">
        <v>682</v>
      </c>
      <c r="AD226" s="100" t="s">
        <v>682</v>
      </c>
      <c r="AE226" s="100" t="s">
        <v>43</v>
      </c>
      <c r="AF226" s="100" t="s">
        <v>41</v>
      </c>
      <c r="AG226" s="100" t="s">
        <v>42</v>
      </c>
      <c r="AH226" s="100" t="s">
        <v>3006</v>
      </c>
      <c r="AI226" s="100" t="s">
        <v>682</v>
      </c>
      <c r="AJ226" s="100" t="s">
        <v>682</v>
      </c>
      <c r="AK226" s="100" t="s">
        <v>682</v>
      </c>
    </row>
    <row r="227" spans="1:37">
      <c r="A227" s="100" t="s">
        <v>7009</v>
      </c>
      <c r="B227" s="100" t="s">
        <v>7010</v>
      </c>
      <c r="C227" s="100" t="s">
        <v>682</v>
      </c>
      <c r="D227" s="100" t="s">
        <v>745</v>
      </c>
      <c r="E227" s="100" t="s">
        <v>7011</v>
      </c>
      <c r="F227" s="100" t="s">
        <v>178</v>
      </c>
      <c r="G227" s="100" t="s">
        <v>558</v>
      </c>
      <c r="H227" s="100" t="s">
        <v>682</v>
      </c>
      <c r="I227" s="100" t="s">
        <v>7012</v>
      </c>
      <c r="J227" s="100" t="s">
        <v>875</v>
      </c>
      <c r="K227" s="100" t="s">
        <v>7013</v>
      </c>
      <c r="L227" s="100" t="s">
        <v>682</v>
      </c>
      <c r="M227" s="100" t="s">
        <v>682</v>
      </c>
      <c r="N227" s="100" t="s">
        <v>682</v>
      </c>
      <c r="O227" s="100" t="s">
        <v>7014</v>
      </c>
      <c r="P227" s="100" t="s">
        <v>7015</v>
      </c>
      <c r="Q227" s="100" t="s">
        <v>7016</v>
      </c>
      <c r="R227" s="100" t="s">
        <v>7017</v>
      </c>
      <c r="S227" s="100" t="s">
        <v>7018</v>
      </c>
      <c r="T227" s="100" t="s">
        <v>7019</v>
      </c>
      <c r="U227" s="100" t="s">
        <v>7020</v>
      </c>
      <c r="V227" s="100" t="s">
        <v>7021</v>
      </c>
      <c r="W227" s="100" t="s">
        <v>682</v>
      </c>
      <c r="X227" s="100" t="s">
        <v>7022</v>
      </c>
      <c r="Y227" s="100" t="s">
        <v>7023</v>
      </c>
      <c r="Z227" s="100" t="s">
        <v>7024</v>
      </c>
      <c r="AA227" s="100" t="s">
        <v>7025</v>
      </c>
      <c r="AB227" s="100" t="s">
        <v>7026</v>
      </c>
      <c r="AC227" s="100" t="s">
        <v>682</v>
      </c>
      <c r="AD227" s="100" t="s">
        <v>682</v>
      </c>
      <c r="AE227" s="100" t="s">
        <v>43</v>
      </c>
      <c r="AF227" s="100" t="s">
        <v>46</v>
      </c>
      <c r="AG227" s="100" t="s">
        <v>45</v>
      </c>
      <c r="AH227" s="100" t="s">
        <v>7027</v>
      </c>
      <c r="AI227" s="100" t="s">
        <v>682</v>
      </c>
      <c r="AJ227" s="100" t="s">
        <v>682</v>
      </c>
      <c r="AK227" s="100" t="s">
        <v>682</v>
      </c>
    </row>
    <row r="228" spans="1:37">
      <c r="A228" s="100" t="s">
        <v>3007</v>
      </c>
      <c r="B228" s="100" t="s">
        <v>3008</v>
      </c>
      <c r="C228" s="100" t="s">
        <v>682</v>
      </c>
      <c r="D228" s="100" t="s">
        <v>52</v>
      </c>
      <c r="E228" s="100" t="s">
        <v>3009</v>
      </c>
      <c r="F228" s="100" t="s">
        <v>179</v>
      </c>
      <c r="G228" s="100" t="s">
        <v>648</v>
      </c>
      <c r="H228" s="100" t="s">
        <v>682</v>
      </c>
      <c r="I228" s="100" t="s">
        <v>4779</v>
      </c>
      <c r="J228" s="100" t="s">
        <v>682</v>
      </c>
      <c r="K228" s="100" t="s">
        <v>3010</v>
      </c>
      <c r="L228" s="100" t="s">
        <v>682</v>
      </c>
      <c r="M228" s="100" t="s">
        <v>682</v>
      </c>
      <c r="N228" s="100" t="s">
        <v>682</v>
      </c>
      <c r="O228" s="100" t="s">
        <v>5623</v>
      </c>
      <c r="P228" s="100" t="s">
        <v>3011</v>
      </c>
      <c r="Q228" s="100" t="s">
        <v>3012</v>
      </c>
      <c r="R228" s="100" t="s">
        <v>5624</v>
      </c>
      <c r="S228" s="100" t="s">
        <v>5625</v>
      </c>
      <c r="T228" s="100" t="s">
        <v>4780</v>
      </c>
      <c r="U228" s="100" t="s">
        <v>3013</v>
      </c>
      <c r="V228" s="100" t="s">
        <v>3014</v>
      </c>
      <c r="W228" s="100" t="s">
        <v>682</v>
      </c>
      <c r="X228" s="100" t="s">
        <v>3015</v>
      </c>
      <c r="Y228" s="100" t="s">
        <v>4781</v>
      </c>
      <c r="Z228" s="100" t="s">
        <v>4782</v>
      </c>
      <c r="AA228" s="100" t="s">
        <v>3016</v>
      </c>
      <c r="AB228" s="100" t="s">
        <v>3017</v>
      </c>
      <c r="AC228" s="100" t="s">
        <v>682</v>
      </c>
      <c r="AD228" s="100" t="s">
        <v>682</v>
      </c>
      <c r="AE228" s="100" t="s">
        <v>43</v>
      </c>
      <c r="AF228" s="100" t="s">
        <v>41</v>
      </c>
      <c r="AG228" s="100" t="s">
        <v>42</v>
      </c>
      <c r="AH228" s="100" t="s">
        <v>3018</v>
      </c>
      <c r="AI228" s="100" t="s">
        <v>682</v>
      </c>
      <c r="AJ228" s="100" t="s">
        <v>682</v>
      </c>
      <c r="AK228" s="100" t="s">
        <v>682</v>
      </c>
    </row>
    <row r="229" spans="1:37">
      <c r="A229" s="100" t="s">
        <v>7028</v>
      </c>
      <c r="B229" s="100" t="s">
        <v>7029</v>
      </c>
      <c r="C229" s="100" t="s">
        <v>682</v>
      </c>
      <c r="D229" s="100" t="s">
        <v>53</v>
      </c>
      <c r="E229" s="100" t="s">
        <v>7030</v>
      </c>
      <c r="F229" s="100" t="s">
        <v>179</v>
      </c>
      <c r="G229" s="100" t="s">
        <v>440</v>
      </c>
      <c r="H229" s="100" t="s">
        <v>682</v>
      </c>
      <c r="I229" s="100" t="s">
        <v>7031</v>
      </c>
      <c r="J229" s="100" t="s">
        <v>682</v>
      </c>
      <c r="K229" s="100" t="s">
        <v>3019</v>
      </c>
      <c r="L229" s="100" t="s">
        <v>682</v>
      </c>
      <c r="M229" s="100" t="s">
        <v>682</v>
      </c>
      <c r="N229" s="100" t="s">
        <v>682</v>
      </c>
      <c r="O229" s="100" t="s">
        <v>7032</v>
      </c>
      <c r="P229" s="100" t="s">
        <v>7033</v>
      </c>
      <c r="Q229" s="100" t="s">
        <v>7034</v>
      </c>
      <c r="R229" s="100" t="s">
        <v>7035</v>
      </c>
      <c r="S229" s="100" t="s">
        <v>7036</v>
      </c>
      <c r="T229" s="100" t="s">
        <v>7037</v>
      </c>
      <c r="U229" s="100" t="s">
        <v>7038</v>
      </c>
      <c r="V229" s="100" t="s">
        <v>7039</v>
      </c>
      <c r="W229" s="100" t="s">
        <v>682</v>
      </c>
      <c r="X229" s="100" t="s">
        <v>7040</v>
      </c>
      <c r="Y229" s="100" t="s">
        <v>7041</v>
      </c>
      <c r="Z229" s="100" t="s">
        <v>7042</v>
      </c>
      <c r="AA229" s="100" t="s">
        <v>7043</v>
      </c>
      <c r="AB229" s="100" t="s">
        <v>7044</v>
      </c>
      <c r="AC229" s="100" t="s">
        <v>682</v>
      </c>
      <c r="AD229" s="100" t="s">
        <v>682</v>
      </c>
      <c r="AE229" s="100" t="s">
        <v>54</v>
      </c>
      <c r="AF229" s="100" t="s">
        <v>682</v>
      </c>
      <c r="AG229" s="100" t="s">
        <v>682</v>
      </c>
      <c r="AH229" s="100" t="s">
        <v>3020</v>
      </c>
      <c r="AI229" s="100" t="s">
        <v>682</v>
      </c>
      <c r="AJ229" s="100" t="s">
        <v>682</v>
      </c>
      <c r="AK229" s="100" t="s">
        <v>682</v>
      </c>
    </row>
    <row r="230" spans="1:37">
      <c r="A230" s="100" t="s">
        <v>3021</v>
      </c>
      <c r="B230" s="100" t="s">
        <v>3022</v>
      </c>
      <c r="C230" s="100" t="s">
        <v>682</v>
      </c>
      <c r="D230" s="100" t="s">
        <v>55</v>
      </c>
      <c r="E230" s="100" t="s">
        <v>3023</v>
      </c>
      <c r="F230" s="100" t="s">
        <v>179</v>
      </c>
      <c r="G230" s="100" t="s">
        <v>649</v>
      </c>
      <c r="H230" s="100" t="s">
        <v>999</v>
      </c>
      <c r="I230" s="100" t="s">
        <v>4783</v>
      </c>
      <c r="J230" s="100" t="s">
        <v>682</v>
      </c>
      <c r="K230" s="100" t="s">
        <v>3025</v>
      </c>
      <c r="L230" s="100" t="s">
        <v>682</v>
      </c>
      <c r="M230" s="100" t="s">
        <v>682</v>
      </c>
      <c r="N230" s="100" t="s">
        <v>682</v>
      </c>
      <c r="O230" s="100" t="s">
        <v>5626</v>
      </c>
      <c r="P230" s="100" t="s">
        <v>3026</v>
      </c>
      <c r="Q230" s="100" t="s">
        <v>3027</v>
      </c>
      <c r="R230" s="100" t="s">
        <v>5627</v>
      </c>
      <c r="S230" s="100" t="s">
        <v>5628</v>
      </c>
      <c r="T230" s="100" t="s">
        <v>4784</v>
      </c>
      <c r="U230" s="100" t="s">
        <v>3028</v>
      </c>
      <c r="V230" s="100" t="s">
        <v>3029</v>
      </c>
      <c r="W230" s="100" t="s">
        <v>682</v>
      </c>
      <c r="X230" s="100" t="s">
        <v>3030</v>
      </c>
      <c r="Y230" s="100" t="s">
        <v>4785</v>
      </c>
      <c r="Z230" s="100" t="s">
        <v>4786</v>
      </c>
      <c r="AA230" s="100" t="s">
        <v>3031</v>
      </c>
      <c r="AB230" s="100" t="s">
        <v>3032</v>
      </c>
      <c r="AC230" s="100" t="s">
        <v>682</v>
      </c>
      <c r="AD230" s="100" t="s">
        <v>682</v>
      </c>
      <c r="AE230" s="100" t="s">
        <v>54</v>
      </c>
      <c r="AF230" s="100" t="s">
        <v>682</v>
      </c>
      <c r="AG230" s="100" t="s">
        <v>682</v>
      </c>
      <c r="AH230" s="100" t="s">
        <v>3033</v>
      </c>
      <c r="AI230" s="100" t="s">
        <v>682</v>
      </c>
      <c r="AJ230" s="100" t="s">
        <v>682</v>
      </c>
      <c r="AK230" s="100" t="s">
        <v>682</v>
      </c>
    </row>
    <row r="231" spans="1:37">
      <c r="A231" s="100" t="s">
        <v>3034</v>
      </c>
      <c r="B231" s="100" t="s">
        <v>3035</v>
      </c>
      <c r="C231" s="100" t="s">
        <v>682</v>
      </c>
      <c r="D231" s="100" t="s">
        <v>862</v>
      </c>
      <c r="E231" s="100" t="s">
        <v>3036</v>
      </c>
      <c r="F231" s="100" t="s">
        <v>178</v>
      </c>
      <c r="G231" s="100" t="s">
        <v>51</v>
      </c>
      <c r="H231" s="100" t="s">
        <v>682</v>
      </c>
      <c r="I231" s="100" t="s">
        <v>4787</v>
      </c>
      <c r="J231" s="100" t="s">
        <v>682</v>
      </c>
      <c r="K231" s="100" t="s">
        <v>3037</v>
      </c>
      <c r="L231" s="100" t="s">
        <v>682</v>
      </c>
      <c r="M231" s="100" t="s">
        <v>682</v>
      </c>
      <c r="N231" s="100" t="s">
        <v>682</v>
      </c>
      <c r="O231" s="100" t="s">
        <v>5629</v>
      </c>
      <c r="P231" s="100" t="s">
        <v>3038</v>
      </c>
      <c r="Q231" s="100" t="s">
        <v>3039</v>
      </c>
      <c r="R231" s="100" t="s">
        <v>5630</v>
      </c>
      <c r="S231" s="100" t="s">
        <v>5631</v>
      </c>
      <c r="T231" s="100" t="s">
        <v>4788</v>
      </c>
      <c r="U231" s="100" t="s">
        <v>3040</v>
      </c>
      <c r="V231" s="100" t="s">
        <v>3041</v>
      </c>
      <c r="W231" s="100" t="s">
        <v>682</v>
      </c>
      <c r="X231" s="100" t="s">
        <v>3042</v>
      </c>
      <c r="Y231" s="100" t="s">
        <v>4789</v>
      </c>
      <c r="Z231" s="100" t="s">
        <v>4790</v>
      </c>
      <c r="AA231" s="100" t="s">
        <v>3043</v>
      </c>
      <c r="AB231" s="100" t="s">
        <v>3044</v>
      </c>
      <c r="AC231" s="100" t="s">
        <v>682</v>
      </c>
      <c r="AD231" s="100" t="s">
        <v>682</v>
      </c>
      <c r="AE231" s="100" t="s">
        <v>43</v>
      </c>
      <c r="AF231" s="100" t="s">
        <v>41</v>
      </c>
      <c r="AG231" s="100" t="s">
        <v>42</v>
      </c>
      <c r="AH231" s="100" t="s">
        <v>3045</v>
      </c>
      <c r="AI231" s="100" t="s">
        <v>682</v>
      </c>
      <c r="AJ231" s="100" t="s">
        <v>682</v>
      </c>
      <c r="AK231" s="100" t="s">
        <v>682</v>
      </c>
    </row>
    <row r="232" spans="1:37">
      <c r="A232" s="100" t="s">
        <v>3046</v>
      </c>
      <c r="B232" s="100" t="s">
        <v>3047</v>
      </c>
      <c r="C232" s="100" t="s">
        <v>682</v>
      </c>
      <c r="D232" s="100" t="s">
        <v>52</v>
      </c>
      <c r="E232" s="100" t="s">
        <v>3048</v>
      </c>
      <c r="F232" s="100" t="s">
        <v>178</v>
      </c>
      <c r="G232" s="100" t="s">
        <v>648</v>
      </c>
      <c r="H232" s="100" t="s">
        <v>682</v>
      </c>
      <c r="I232" s="100" t="s">
        <v>4791</v>
      </c>
      <c r="J232" s="100" t="s">
        <v>682</v>
      </c>
      <c r="K232" s="100" t="s">
        <v>3049</v>
      </c>
      <c r="L232" s="100" t="s">
        <v>682</v>
      </c>
      <c r="M232" s="100" t="s">
        <v>682</v>
      </c>
      <c r="N232" s="100" t="s">
        <v>682</v>
      </c>
      <c r="O232" s="100" t="s">
        <v>5632</v>
      </c>
      <c r="P232" s="100" t="s">
        <v>3050</v>
      </c>
      <c r="Q232" s="100" t="s">
        <v>3051</v>
      </c>
      <c r="R232" s="100" t="s">
        <v>5633</v>
      </c>
      <c r="S232" s="100" t="s">
        <v>5634</v>
      </c>
      <c r="T232" s="100" t="s">
        <v>4792</v>
      </c>
      <c r="U232" s="100" t="s">
        <v>3052</v>
      </c>
      <c r="V232" s="100" t="s">
        <v>3053</v>
      </c>
      <c r="W232" s="100" t="s">
        <v>682</v>
      </c>
      <c r="X232" s="100" t="s">
        <v>3054</v>
      </c>
      <c r="Y232" s="100" t="s">
        <v>4793</v>
      </c>
      <c r="Z232" s="100" t="s">
        <v>4794</v>
      </c>
      <c r="AA232" s="100" t="s">
        <v>3055</v>
      </c>
      <c r="AB232" s="100" t="s">
        <v>3056</v>
      </c>
      <c r="AC232" s="100" t="s">
        <v>682</v>
      </c>
      <c r="AD232" s="100" t="s">
        <v>682</v>
      </c>
      <c r="AE232" s="100" t="s">
        <v>43</v>
      </c>
      <c r="AF232" s="100" t="s">
        <v>41</v>
      </c>
      <c r="AG232" s="100" t="s">
        <v>42</v>
      </c>
      <c r="AH232" s="100" t="s">
        <v>3057</v>
      </c>
      <c r="AI232" s="100" t="s">
        <v>682</v>
      </c>
      <c r="AJ232" s="100" t="s">
        <v>682</v>
      </c>
      <c r="AK232" s="100" t="s">
        <v>682</v>
      </c>
    </row>
    <row r="233" spans="1:37">
      <c r="A233" s="100" t="s">
        <v>3058</v>
      </c>
      <c r="B233" s="100" t="s">
        <v>3059</v>
      </c>
      <c r="C233" s="100" t="s">
        <v>682</v>
      </c>
      <c r="D233" s="100" t="s">
        <v>53</v>
      </c>
      <c r="E233" s="100" t="s">
        <v>3060</v>
      </c>
      <c r="F233" s="100" t="s">
        <v>178</v>
      </c>
      <c r="G233" s="100" t="s">
        <v>440</v>
      </c>
      <c r="H233" s="100" t="s">
        <v>682</v>
      </c>
      <c r="I233" s="100" t="s">
        <v>4795</v>
      </c>
      <c r="J233" s="100" t="s">
        <v>682</v>
      </c>
      <c r="K233" s="100" t="s">
        <v>3061</v>
      </c>
      <c r="L233" s="100" t="s">
        <v>682</v>
      </c>
      <c r="M233" s="100" t="s">
        <v>682</v>
      </c>
      <c r="N233" s="100" t="s">
        <v>682</v>
      </c>
      <c r="O233" s="100" t="s">
        <v>5635</v>
      </c>
      <c r="P233" s="100" t="s">
        <v>3062</v>
      </c>
      <c r="Q233" s="100" t="s">
        <v>3063</v>
      </c>
      <c r="R233" s="100" t="s">
        <v>5636</v>
      </c>
      <c r="S233" s="100" t="s">
        <v>5637</v>
      </c>
      <c r="T233" s="100" t="s">
        <v>4796</v>
      </c>
      <c r="U233" s="100" t="s">
        <v>3064</v>
      </c>
      <c r="V233" s="100" t="s">
        <v>3065</v>
      </c>
      <c r="W233" s="100" t="s">
        <v>682</v>
      </c>
      <c r="X233" s="100" t="s">
        <v>3066</v>
      </c>
      <c r="Y233" s="100" t="s">
        <v>4797</v>
      </c>
      <c r="Z233" s="100" t="s">
        <v>4798</v>
      </c>
      <c r="AA233" s="100" t="s">
        <v>3067</v>
      </c>
      <c r="AB233" s="100" t="s">
        <v>3068</v>
      </c>
      <c r="AC233" s="100" t="s">
        <v>682</v>
      </c>
      <c r="AD233" s="100" t="s">
        <v>682</v>
      </c>
      <c r="AE233" s="100" t="s">
        <v>54</v>
      </c>
      <c r="AF233" s="100" t="s">
        <v>682</v>
      </c>
      <c r="AG233" s="100" t="s">
        <v>682</v>
      </c>
      <c r="AH233" s="100" t="s">
        <v>3069</v>
      </c>
      <c r="AI233" s="100" t="s">
        <v>682</v>
      </c>
      <c r="AJ233" s="100" t="s">
        <v>682</v>
      </c>
      <c r="AK233" s="100" t="s">
        <v>682</v>
      </c>
    </row>
    <row r="234" spans="1:37">
      <c r="A234" s="100" t="s">
        <v>3070</v>
      </c>
      <c r="B234" s="100" t="s">
        <v>3071</v>
      </c>
      <c r="C234" s="100" t="s">
        <v>682</v>
      </c>
      <c r="D234" s="100" t="s">
        <v>55</v>
      </c>
      <c r="E234" s="100" t="s">
        <v>3072</v>
      </c>
      <c r="F234" s="100" t="s">
        <v>178</v>
      </c>
      <c r="G234" s="100" t="s">
        <v>649</v>
      </c>
      <c r="H234" s="100" t="s">
        <v>999</v>
      </c>
      <c r="I234" s="100" t="s">
        <v>4799</v>
      </c>
      <c r="J234" s="100" t="s">
        <v>682</v>
      </c>
      <c r="K234" s="100" t="s">
        <v>3073</v>
      </c>
      <c r="L234" s="100" t="s">
        <v>682</v>
      </c>
      <c r="M234" s="100" t="s">
        <v>682</v>
      </c>
      <c r="N234" s="100" t="s">
        <v>682</v>
      </c>
      <c r="O234" s="100" t="s">
        <v>5638</v>
      </c>
      <c r="P234" s="100" t="s">
        <v>3074</v>
      </c>
      <c r="Q234" s="100" t="s">
        <v>3075</v>
      </c>
      <c r="R234" s="100" t="s">
        <v>5639</v>
      </c>
      <c r="S234" s="100" t="s">
        <v>5640</v>
      </c>
      <c r="T234" s="100" t="s">
        <v>4800</v>
      </c>
      <c r="U234" s="100" t="s">
        <v>3076</v>
      </c>
      <c r="V234" s="100" t="s">
        <v>3077</v>
      </c>
      <c r="W234" s="100" t="s">
        <v>682</v>
      </c>
      <c r="X234" s="100" t="s">
        <v>3078</v>
      </c>
      <c r="Y234" s="100" t="s">
        <v>4801</v>
      </c>
      <c r="Z234" s="100" t="s">
        <v>4802</v>
      </c>
      <c r="AA234" s="100" t="s">
        <v>3079</v>
      </c>
      <c r="AB234" s="100" t="s">
        <v>3080</v>
      </c>
      <c r="AC234" s="100" t="s">
        <v>682</v>
      </c>
      <c r="AD234" s="100" t="s">
        <v>682</v>
      </c>
      <c r="AE234" s="100" t="s">
        <v>54</v>
      </c>
      <c r="AF234" s="100" t="s">
        <v>682</v>
      </c>
      <c r="AG234" s="100" t="s">
        <v>682</v>
      </c>
      <c r="AH234" s="100" t="s">
        <v>3081</v>
      </c>
      <c r="AI234" s="100" t="s">
        <v>682</v>
      </c>
      <c r="AJ234" s="100" t="s">
        <v>682</v>
      </c>
      <c r="AK234" s="100" t="s">
        <v>682</v>
      </c>
    </row>
    <row r="235" spans="1:37">
      <c r="A235" s="100" t="s">
        <v>3082</v>
      </c>
      <c r="B235" s="100" t="s">
        <v>3083</v>
      </c>
      <c r="C235" s="100" t="s">
        <v>682</v>
      </c>
      <c r="D235" s="100" t="s">
        <v>57</v>
      </c>
      <c r="E235" s="100" t="s">
        <v>3084</v>
      </c>
      <c r="F235" s="100" t="s">
        <v>179</v>
      </c>
      <c r="G235" s="100" t="s">
        <v>496</v>
      </c>
      <c r="H235" s="100" t="s">
        <v>496</v>
      </c>
      <c r="I235" s="100" t="s">
        <v>4803</v>
      </c>
      <c r="J235" s="100" t="s">
        <v>682</v>
      </c>
      <c r="K235" s="100" t="s">
        <v>3085</v>
      </c>
      <c r="L235" s="100" t="s">
        <v>682</v>
      </c>
      <c r="M235" s="100" t="s">
        <v>682</v>
      </c>
      <c r="N235" s="100" t="s">
        <v>682</v>
      </c>
      <c r="O235" s="100" t="s">
        <v>5641</v>
      </c>
      <c r="P235" s="100" t="s">
        <v>3086</v>
      </c>
      <c r="Q235" s="100" t="s">
        <v>3087</v>
      </c>
      <c r="R235" s="100" t="s">
        <v>5642</v>
      </c>
      <c r="S235" s="100" t="s">
        <v>5643</v>
      </c>
      <c r="T235" s="100" t="s">
        <v>4804</v>
      </c>
      <c r="U235" s="100" t="s">
        <v>3088</v>
      </c>
      <c r="V235" s="100" t="s">
        <v>3089</v>
      </c>
      <c r="W235" s="100" t="s">
        <v>682</v>
      </c>
      <c r="X235" s="100" t="s">
        <v>3090</v>
      </c>
      <c r="Y235" s="100" t="s">
        <v>4805</v>
      </c>
      <c r="Z235" s="100" t="s">
        <v>4806</v>
      </c>
      <c r="AA235" s="100" t="s">
        <v>3091</v>
      </c>
      <c r="AB235" s="100" t="s">
        <v>3092</v>
      </c>
      <c r="AC235" s="100" t="s">
        <v>682</v>
      </c>
      <c r="AD235" s="100" t="s">
        <v>682</v>
      </c>
      <c r="AE235" s="100" t="s">
        <v>54</v>
      </c>
      <c r="AF235" s="100" t="s">
        <v>682</v>
      </c>
      <c r="AG235" s="100" t="s">
        <v>682</v>
      </c>
      <c r="AH235" s="100" t="s">
        <v>3093</v>
      </c>
      <c r="AI235" s="100" t="s">
        <v>682</v>
      </c>
      <c r="AJ235" s="100" t="s">
        <v>682</v>
      </c>
      <c r="AK235" s="100" t="s">
        <v>682</v>
      </c>
    </row>
    <row r="236" spans="1:37">
      <c r="A236" s="100" t="s">
        <v>3094</v>
      </c>
      <c r="B236" s="100" t="s">
        <v>3095</v>
      </c>
      <c r="C236" s="100" t="s">
        <v>682</v>
      </c>
      <c r="D236" s="100" t="s">
        <v>57</v>
      </c>
      <c r="E236" s="100" t="s">
        <v>3096</v>
      </c>
      <c r="F236" s="100" t="s">
        <v>178</v>
      </c>
      <c r="G236" s="100" t="s">
        <v>496</v>
      </c>
      <c r="H236" s="100" t="s">
        <v>496</v>
      </c>
      <c r="I236" s="100" t="s">
        <v>4807</v>
      </c>
      <c r="J236" s="100" t="s">
        <v>682</v>
      </c>
      <c r="K236" s="100" t="s">
        <v>3097</v>
      </c>
      <c r="L236" s="100" t="s">
        <v>682</v>
      </c>
      <c r="M236" s="100" t="s">
        <v>682</v>
      </c>
      <c r="N236" s="100" t="s">
        <v>682</v>
      </c>
      <c r="O236" s="100" t="s">
        <v>5644</v>
      </c>
      <c r="P236" s="100" t="s">
        <v>3098</v>
      </c>
      <c r="Q236" s="100" t="s">
        <v>3099</v>
      </c>
      <c r="R236" s="100" t="s">
        <v>5645</v>
      </c>
      <c r="S236" s="100" t="s">
        <v>5646</v>
      </c>
      <c r="T236" s="100" t="s">
        <v>4808</v>
      </c>
      <c r="U236" s="100" t="s">
        <v>3100</v>
      </c>
      <c r="V236" s="100" t="s">
        <v>3101</v>
      </c>
      <c r="W236" s="100" t="s">
        <v>682</v>
      </c>
      <c r="X236" s="100" t="s">
        <v>3102</v>
      </c>
      <c r="Y236" s="100" t="s">
        <v>4809</v>
      </c>
      <c r="Z236" s="100" t="s">
        <v>4810</v>
      </c>
      <c r="AA236" s="100" t="s">
        <v>3103</v>
      </c>
      <c r="AB236" s="100" t="s">
        <v>3104</v>
      </c>
      <c r="AC236" s="100" t="s">
        <v>682</v>
      </c>
      <c r="AD236" s="100" t="s">
        <v>682</v>
      </c>
      <c r="AE236" s="100" t="s">
        <v>54</v>
      </c>
      <c r="AF236" s="100" t="s">
        <v>682</v>
      </c>
      <c r="AG236" s="100" t="s">
        <v>682</v>
      </c>
      <c r="AH236" s="100" t="s">
        <v>3105</v>
      </c>
      <c r="AI236" s="100" t="s">
        <v>682</v>
      </c>
      <c r="AJ236" s="100" t="s">
        <v>682</v>
      </c>
      <c r="AK236" s="100" t="s">
        <v>682</v>
      </c>
    </row>
    <row r="237" spans="1:37">
      <c r="A237" s="100" t="s">
        <v>3106</v>
      </c>
      <c r="B237" s="100" t="s">
        <v>3107</v>
      </c>
      <c r="C237" s="100" t="s">
        <v>682</v>
      </c>
      <c r="D237" s="100" t="s">
        <v>38</v>
      </c>
      <c r="E237" s="100" t="s">
        <v>3108</v>
      </c>
      <c r="F237" s="100" t="s">
        <v>154</v>
      </c>
      <c r="G237" s="100" t="s">
        <v>650</v>
      </c>
      <c r="H237" s="100" t="s">
        <v>1126</v>
      </c>
      <c r="I237" s="100" t="s">
        <v>4811</v>
      </c>
      <c r="J237" s="100" t="s">
        <v>682</v>
      </c>
      <c r="K237" s="100" t="s">
        <v>3109</v>
      </c>
      <c r="L237" s="100" t="s">
        <v>682</v>
      </c>
      <c r="M237" s="100" t="s">
        <v>682</v>
      </c>
      <c r="N237" s="100" t="s">
        <v>682</v>
      </c>
      <c r="O237" s="100" t="s">
        <v>5647</v>
      </c>
      <c r="P237" s="100" t="s">
        <v>3110</v>
      </c>
      <c r="Q237" s="100" t="s">
        <v>3111</v>
      </c>
      <c r="R237" s="100" t="s">
        <v>5648</v>
      </c>
      <c r="S237" s="100" t="s">
        <v>5649</v>
      </c>
      <c r="T237" s="100" t="s">
        <v>4812</v>
      </c>
      <c r="U237" s="100" t="s">
        <v>3112</v>
      </c>
      <c r="V237" s="100" t="s">
        <v>3113</v>
      </c>
      <c r="W237" s="100" t="s">
        <v>682</v>
      </c>
      <c r="X237" s="100" t="s">
        <v>3114</v>
      </c>
      <c r="Y237" s="100" t="s">
        <v>4813</v>
      </c>
      <c r="Z237" s="100" t="s">
        <v>4814</v>
      </c>
      <c r="AA237" s="100" t="s">
        <v>3115</v>
      </c>
      <c r="AB237" s="100" t="s">
        <v>3116</v>
      </c>
      <c r="AC237" s="100" t="s">
        <v>682</v>
      </c>
      <c r="AD237" s="100" t="s">
        <v>682</v>
      </c>
      <c r="AE237" s="100" t="s">
        <v>54</v>
      </c>
      <c r="AF237" s="100" t="s">
        <v>682</v>
      </c>
      <c r="AG237" s="100" t="s">
        <v>682</v>
      </c>
      <c r="AH237" s="100" t="s">
        <v>3117</v>
      </c>
      <c r="AI237" s="100" t="s">
        <v>682</v>
      </c>
      <c r="AJ237" s="100" t="s">
        <v>682</v>
      </c>
      <c r="AK237" s="100" t="s">
        <v>682</v>
      </c>
    </row>
    <row r="238" spans="1:37">
      <c r="A238" s="100" t="s">
        <v>3118</v>
      </c>
      <c r="B238" s="100" t="s">
        <v>3119</v>
      </c>
      <c r="C238" s="100" t="s">
        <v>682</v>
      </c>
      <c r="D238" s="100" t="s">
        <v>64</v>
      </c>
      <c r="E238" s="100" t="s">
        <v>3120</v>
      </c>
      <c r="F238" s="100" t="s">
        <v>209</v>
      </c>
      <c r="G238" s="100" t="s">
        <v>553</v>
      </c>
      <c r="H238" s="100" t="s">
        <v>682</v>
      </c>
      <c r="I238" s="100" t="s">
        <v>4815</v>
      </c>
      <c r="J238" s="100" t="s">
        <v>682</v>
      </c>
      <c r="K238" s="100" t="s">
        <v>3121</v>
      </c>
      <c r="L238" s="100" t="s">
        <v>682</v>
      </c>
      <c r="M238" s="100" t="s">
        <v>682</v>
      </c>
      <c r="N238" s="100" t="s">
        <v>682</v>
      </c>
      <c r="O238" s="100" t="s">
        <v>5650</v>
      </c>
      <c r="P238" s="100" t="s">
        <v>3122</v>
      </c>
      <c r="Q238" s="100" t="s">
        <v>3123</v>
      </c>
      <c r="R238" s="100" t="s">
        <v>5651</v>
      </c>
      <c r="S238" s="100" t="s">
        <v>5652</v>
      </c>
      <c r="T238" s="100" t="s">
        <v>4816</v>
      </c>
      <c r="U238" s="100" t="s">
        <v>3124</v>
      </c>
      <c r="V238" s="100" t="s">
        <v>3125</v>
      </c>
      <c r="W238" s="100" t="s">
        <v>682</v>
      </c>
      <c r="X238" s="100" t="s">
        <v>3126</v>
      </c>
      <c r="Y238" s="100" t="s">
        <v>4817</v>
      </c>
      <c r="Z238" s="100" t="s">
        <v>4818</v>
      </c>
      <c r="AA238" s="100" t="s">
        <v>3127</v>
      </c>
      <c r="AB238" s="100" t="s">
        <v>3128</v>
      </c>
      <c r="AC238" s="100" t="s">
        <v>682</v>
      </c>
      <c r="AD238" s="100" t="s">
        <v>682</v>
      </c>
      <c r="AE238" s="100" t="s">
        <v>54</v>
      </c>
      <c r="AF238" s="100" t="s">
        <v>682</v>
      </c>
      <c r="AG238" s="100" t="s">
        <v>682</v>
      </c>
      <c r="AH238" s="100" t="s">
        <v>3129</v>
      </c>
      <c r="AI238" s="100" t="s">
        <v>682</v>
      </c>
      <c r="AJ238" s="100" t="s">
        <v>682</v>
      </c>
      <c r="AK238" s="100" t="s">
        <v>682</v>
      </c>
    </row>
    <row r="239" spans="1:37">
      <c r="A239" s="100" t="s">
        <v>3130</v>
      </c>
      <c r="B239" s="100" t="s">
        <v>3131</v>
      </c>
      <c r="C239" s="100" t="s">
        <v>682</v>
      </c>
      <c r="D239" s="100" t="s">
        <v>66</v>
      </c>
      <c r="E239" s="100" t="s">
        <v>3132</v>
      </c>
      <c r="F239" s="100" t="s">
        <v>209</v>
      </c>
      <c r="G239" s="100" t="s">
        <v>440</v>
      </c>
      <c r="H239" s="100" t="s">
        <v>682</v>
      </c>
      <c r="I239" s="100" t="s">
        <v>4819</v>
      </c>
      <c r="J239" s="100" t="s">
        <v>682</v>
      </c>
      <c r="K239" s="100" t="s">
        <v>3133</v>
      </c>
      <c r="L239" s="100" t="s">
        <v>682</v>
      </c>
      <c r="M239" s="100" t="s">
        <v>682</v>
      </c>
      <c r="N239" s="100" t="s">
        <v>682</v>
      </c>
      <c r="O239" s="100" t="s">
        <v>5653</v>
      </c>
      <c r="P239" s="100" t="s">
        <v>3134</v>
      </c>
      <c r="Q239" s="100" t="s">
        <v>3135</v>
      </c>
      <c r="R239" s="100" t="s">
        <v>5654</v>
      </c>
      <c r="S239" s="100" t="s">
        <v>5655</v>
      </c>
      <c r="T239" s="100" t="s">
        <v>4820</v>
      </c>
      <c r="U239" s="100" t="s">
        <v>3136</v>
      </c>
      <c r="V239" s="100" t="s">
        <v>3137</v>
      </c>
      <c r="W239" s="100" t="s">
        <v>682</v>
      </c>
      <c r="X239" s="100" t="s">
        <v>3138</v>
      </c>
      <c r="Y239" s="100" t="s">
        <v>4821</v>
      </c>
      <c r="Z239" s="100" t="s">
        <v>4822</v>
      </c>
      <c r="AA239" s="100" t="s">
        <v>3139</v>
      </c>
      <c r="AB239" s="100" t="s">
        <v>3140</v>
      </c>
      <c r="AC239" s="100" t="s">
        <v>682</v>
      </c>
      <c r="AD239" s="100" t="s">
        <v>682</v>
      </c>
      <c r="AE239" s="100" t="s">
        <v>54</v>
      </c>
      <c r="AF239" s="100" t="s">
        <v>682</v>
      </c>
      <c r="AG239" s="100" t="s">
        <v>682</v>
      </c>
      <c r="AH239" s="100" t="s">
        <v>3141</v>
      </c>
      <c r="AI239" s="100" t="s">
        <v>682</v>
      </c>
      <c r="AJ239" s="100" t="s">
        <v>682</v>
      </c>
      <c r="AK239" s="100" t="s">
        <v>682</v>
      </c>
    </row>
    <row r="240" spans="1:37">
      <c r="A240" s="100" t="s">
        <v>7045</v>
      </c>
      <c r="B240" s="100" t="s">
        <v>7046</v>
      </c>
      <c r="C240" s="100" t="s">
        <v>682</v>
      </c>
      <c r="D240" s="100" t="s">
        <v>64</v>
      </c>
      <c r="E240" s="100" t="s">
        <v>7047</v>
      </c>
      <c r="F240" s="100" t="s">
        <v>221</v>
      </c>
      <c r="G240" s="100" t="s">
        <v>553</v>
      </c>
      <c r="H240" s="100" t="s">
        <v>682</v>
      </c>
      <c r="I240" s="100" t="s">
        <v>7048</v>
      </c>
      <c r="J240" s="100" t="s">
        <v>682</v>
      </c>
      <c r="K240" s="100" t="s">
        <v>7049</v>
      </c>
      <c r="L240" s="100" t="s">
        <v>682</v>
      </c>
      <c r="M240" s="100" t="s">
        <v>682</v>
      </c>
      <c r="N240" s="100" t="s">
        <v>682</v>
      </c>
      <c r="O240" s="100" t="s">
        <v>7050</v>
      </c>
      <c r="P240" s="100" t="s">
        <v>7051</v>
      </c>
      <c r="Q240" s="100" t="s">
        <v>7052</v>
      </c>
      <c r="R240" s="100" t="s">
        <v>7053</v>
      </c>
      <c r="S240" s="100" t="s">
        <v>7054</v>
      </c>
      <c r="T240" s="100" t="s">
        <v>7055</v>
      </c>
      <c r="U240" s="100" t="s">
        <v>7056</v>
      </c>
      <c r="V240" s="100" t="s">
        <v>7057</v>
      </c>
      <c r="W240" s="100" t="s">
        <v>682</v>
      </c>
      <c r="X240" s="100" t="s">
        <v>7058</v>
      </c>
      <c r="Y240" s="100" t="s">
        <v>7059</v>
      </c>
      <c r="Z240" s="100" t="s">
        <v>7060</v>
      </c>
      <c r="AA240" s="100" t="s">
        <v>7061</v>
      </c>
      <c r="AB240" s="100" t="s">
        <v>7062</v>
      </c>
      <c r="AC240" s="100" t="s">
        <v>682</v>
      </c>
      <c r="AD240" s="100" t="s">
        <v>682</v>
      </c>
      <c r="AE240" s="100" t="s">
        <v>54</v>
      </c>
      <c r="AF240" s="100" t="s">
        <v>682</v>
      </c>
      <c r="AG240" s="100" t="s">
        <v>682</v>
      </c>
      <c r="AH240" s="100" t="s">
        <v>7063</v>
      </c>
      <c r="AI240" s="100" t="s">
        <v>682</v>
      </c>
      <c r="AJ240" s="100" t="s">
        <v>682</v>
      </c>
      <c r="AK240" s="100" t="s">
        <v>682</v>
      </c>
    </row>
    <row r="241" spans="1:37">
      <c r="A241" s="100" t="s">
        <v>3142</v>
      </c>
      <c r="B241" s="100" t="s">
        <v>3143</v>
      </c>
      <c r="C241" s="100" t="s">
        <v>682</v>
      </c>
      <c r="D241" s="100" t="s">
        <v>38</v>
      </c>
      <c r="E241" s="100" t="s">
        <v>3144</v>
      </c>
      <c r="F241" s="100" t="s">
        <v>154</v>
      </c>
      <c r="G241" s="100" t="s">
        <v>652</v>
      </c>
      <c r="H241" s="100" t="s">
        <v>1126</v>
      </c>
      <c r="I241" s="100" t="s">
        <v>4823</v>
      </c>
      <c r="J241" s="100" t="s">
        <v>682</v>
      </c>
      <c r="K241" s="100" t="s">
        <v>3146</v>
      </c>
      <c r="L241" s="100" t="s">
        <v>682</v>
      </c>
      <c r="M241" s="100" t="s">
        <v>682</v>
      </c>
      <c r="N241" s="100" t="s">
        <v>682</v>
      </c>
      <c r="O241" s="100" t="s">
        <v>5656</v>
      </c>
      <c r="P241" s="100" t="s">
        <v>3147</v>
      </c>
      <c r="Q241" s="100" t="s">
        <v>3148</v>
      </c>
      <c r="R241" s="100" t="s">
        <v>5657</v>
      </c>
      <c r="S241" s="100" t="s">
        <v>5658</v>
      </c>
      <c r="T241" s="100" t="s">
        <v>4824</v>
      </c>
      <c r="U241" s="100" t="s">
        <v>3149</v>
      </c>
      <c r="V241" s="100" t="s">
        <v>3150</v>
      </c>
      <c r="W241" s="100" t="s">
        <v>682</v>
      </c>
      <c r="X241" s="100" t="s">
        <v>3151</v>
      </c>
      <c r="Y241" s="100" t="s">
        <v>4825</v>
      </c>
      <c r="Z241" s="100" t="s">
        <v>4826</v>
      </c>
      <c r="AA241" s="100" t="s">
        <v>3152</v>
      </c>
      <c r="AB241" s="100" t="s">
        <v>3153</v>
      </c>
      <c r="AC241" s="100" t="s">
        <v>682</v>
      </c>
      <c r="AD241" s="100" t="s">
        <v>682</v>
      </c>
      <c r="AE241" s="100" t="s">
        <v>54</v>
      </c>
      <c r="AF241" s="100" t="s">
        <v>682</v>
      </c>
      <c r="AG241" s="100" t="s">
        <v>682</v>
      </c>
      <c r="AH241" s="100" t="s">
        <v>3154</v>
      </c>
      <c r="AI241" s="100" t="s">
        <v>682</v>
      </c>
      <c r="AJ241" s="100" t="s">
        <v>682</v>
      </c>
      <c r="AK241" s="100" t="s">
        <v>682</v>
      </c>
    </row>
    <row r="242" spans="1:37">
      <c r="A242" s="100" t="s">
        <v>3155</v>
      </c>
      <c r="B242" s="100" t="s">
        <v>3156</v>
      </c>
      <c r="C242" s="100" t="s">
        <v>682</v>
      </c>
      <c r="D242" s="100" t="s">
        <v>1138</v>
      </c>
      <c r="E242" s="100" t="s">
        <v>3157</v>
      </c>
      <c r="F242" s="100" t="s">
        <v>222</v>
      </c>
      <c r="G242" s="100" t="s">
        <v>416</v>
      </c>
      <c r="H242" s="100" t="s">
        <v>682</v>
      </c>
      <c r="I242" s="100" t="s">
        <v>4827</v>
      </c>
      <c r="J242" s="100" t="s">
        <v>682</v>
      </c>
      <c r="K242" s="100" t="s">
        <v>3158</v>
      </c>
      <c r="L242" s="100" t="s">
        <v>682</v>
      </c>
      <c r="M242" s="100" t="s">
        <v>682</v>
      </c>
      <c r="N242" s="100" t="s">
        <v>682</v>
      </c>
      <c r="O242" s="100" t="s">
        <v>5659</v>
      </c>
      <c r="P242" s="100" t="s">
        <v>3159</v>
      </c>
      <c r="Q242" s="100" t="s">
        <v>3160</v>
      </c>
      <c r="R242" s="100" t="s">
        <v>5660</v>
      </c>
      <c r="S242" s="100" t="s">
        <v>5661</v>
      </c>
      <c r="T242" s="100" t="s">
        <v>4828</v>
      </c>
      <c r="U242" s="100" t="s">
        <v>3161</v>
      </c>
      <c r="V242" s="100" t="s">
        <v>3162</v>
      </c>
      <c r="W242" s="100" t="s">
        <v>682</v>
      </c>
      <c r="X242" s="100" t="s">
        <v>3163</v>
      </c>
      <c r="Y242" s="100" t="s">
        <v>4829</v>
      </c>
      <c r="Z242" s="100" t="s">
        <v>4830</v>
      </c>
      <c r="AA242" s="100" t="s">
        <v>3164</v>
      </c>
      <c r="AB242" s="100" t="s">
        <v>3165</v>
      </c>
      <c r="AC242" s="100" t="s">
        <v>682</v>
      </c>
      <c r="AD242" s="100" t="s">
        <v>682</v>
      </c>
      <c r="AE242" s="100" t="s">
        <v>43</v>
      </c>
      <c r="AF242" s="100" t="s">
        <v>41</v>
      </c>
      <c r="AG242" s="100" t="s">
        <v>63</v>
      </c>
      <c r="AH242" s="100" t="s">
        <v>3166</v>
      </c>
      <c r="AI242" s="100" t="s">
        <v>682</v>
      </c>
      <c r="AJ242" s="100" t="s">
        <v>682</v>
      </c>
      <c r="AK242" s="100" t="s">
        <v>682</v>
      </c>
    </row>
    <row r="243" spans="1:37">
      <c r="A243" s="100" t="s">
        <v>3167</v>
      </c>
      <c r="B243" s="100" t="s">
        <v>3168</v>
      </c>
      <c r="C243" s="100" t="s">
        <v>682</v>
      </c>
      <c r="D243" s="100" t="s">
        <v>1138</v>
      </c>
      <c r="E243" s="100" t="s">
        <v>3169</v>
      </c>
      <c r="F243" s="100" t="s">
        <v>222</v>
      </c>
      <c r="G243" s="100" t="s">
        <v>417</v>
      </c>
      <c r="H243" s="100" t="s">
        <v>682</v>
      </c>
      <c r="I243" s="100" t="s">
        <v>4831</v>
      </c>
      <c r="J243" s="100" t="s">
        <v>682</v>
      </c>
      <c r="K243" s="100" t="s">
        <v>3170</v>
      </c>
      <c r="L243" s="100" t="s">
        <v>682</v>
      </c>
      <c r="M243" s="100" t="s">
        <v>682</v>
      </c>
      <c r="N243" s="100" t="s">
        <v>682</v>
      </c>
      <c r="O243" s="100" t="s">
        <v>5662</v>
      </c>
      <c r="P243" s="100" t="s">
        <v>3171</v>
      </c>
      <c r="Q243" s="100" t="s">
        <v>3172</v>
      </c>
      <c r="R243" s="100" t="s">
        <v>5663</v>
      </c>
      <c r="S243" s="100" t="s">
        <v>5664</v>
      </c>
      <c r="T243" s="100" t="s">
        <v>4832</v>
      </c>
      <c r="U243" s="100" t="s">
        <v>3173</v>
      </c>
      <c r="V243" s="100" t="s">
        <v>3174</v>
      </c>
      <c r="W243" s="100" t="s">
        <v>682</v>
      </c>
      <c r="X243" s="100" t="s">
        <v>3175</v>
      </c>
      <c r="Y243" s="100" t="s">
        <v>4833</v>
      </c>
      <c r="Z243" s="100" t="s">
        <v>4834</v>
      </c>
      <c r="AA243" s="100" t="s">
        <v>3176</v>
      </c>
      <c r="AB243" s="100" t="s">
        <v>3177</v>
      </c>
      <c r="AC243" s="100" t="s">
        <v>682</v>
      </c>
      <c r="AD243" s="100" t="s">
        <v>682</v>
      </c>
      <c r="AE243" s="100" t="s">
        <v>43</v>
      </c>
      <c r="AF243" s="100" t="s">
        <v>41</v>
      </c>
      <c r="AG243" s="100" t="s">
        <v>63</v>
      </c>
      <c r="AH243" s="100" t="s">
        <v>3178</v>
      </c>
      <c r="AI243" s="100" t="s">
        <v>682</v>
      </c>
      <c r="AJ243" s="100" t="s">
        <v>682</v>
      </c>
      <c r="AK243" s="100" t="s">
        <v>682</v>
      </c>
    </row>
    <row r="244" spans="1:37">
      <c r="A244" s="100" t="s">
        <v>3179</v>
      </c>
      <c r="B244" s="100" t="s">
        <v>3180</v>
      </c>
      <c r="C244" s="100" t="s">
        <v>682</v>
      </c>
      <c r="D244" s="100" t="s">
        <v>1138</v>
      </c>
      <c r="E244" s="100" t="s">
        <v>3181</v>
      </c>
      <c r="F244" s="100" t="s">
        <v>222</v>
      </c>
      <c r="G244" s="100" t="s">
        <v>414</v>
      </c>
      <c r="H244" s="100" t="s">
        <v>682</v>
      </c>
      <c r="I244" s="100" t="s">
        <v>4835</v>
      </c>
      <c r="J244" s="100" t="s">
        <v>682</v>
      </c>
      <c r="K244" s="100" t="s">
        <v>3182</v>
      </c>
      <c r="L244" s="100" t="s">
        <v>682</v>
      </c>
      <c r="M244" s="100" t="s">
        <v>682</v>
      </c>
      <c r="N244" s="100" t="s">
        <v>682</v>
      </c>
      <c r="O244" s="100" t="s">
        <v>5665</v>
      </c>
      <c r="P244" s="100" t="s">
        <v>3183</v>
      </c>
      <c r="Q244" s="100" t="s">
        <v>3184</v>
      </c>
      <c r="R244" s="100" t="s">
        <v>5666</v>
      </c>
      <c r="S244" s="100" t="s">
        <v>5667</v>
      </c>
      <c r="T244" s="100" t="s">
        <v>4836</v>
      </c>
      <c r="U244" s="100" t="s">
        <v>3185</v>
      </c>
      <c r="V244" s="100" t="s">
        <v>3186</v>
      </c>
      <c r="W244" s="100" t="s">
        <v>682</v>
      </c>
      <c r="X244" s="100" t="s">
        <v>3187</v>
      </c>
      <c r="Y244" s="100" t="s">
        <v>4837</v>
      </c>
      <c r="Z244" s="100" t="s">
        <v>4838</v>
      </c>
      <c r="AA244" s="100" t="s">
        <v>3188</v>
      </c>
      <c r="AB244" s="100" t="s">
        <v>3189</v>
      </c>
      <c r="AC244" s="100" t="s">
        <v>682</v>
      </c>
      <c r="AD244" s="100" t="s">
        <v>682</v>
      </c>
      <c r="AE244" s="100" t="s">
        <v>43</v>
      </c>
      <c r="AF244" s="100" t="s">
        <v>41</v>
      </c>
      <c r="AG244" s="100" t="s">
        <v>63</v>
      </c>
      <c r="AH244" s="100" t="s">
        <v>3190</v>
      </c>
      <c r="AI244" s="100" t="s">
        <v>682</v>
      </c>
      <c r="AJ244" s="100" t="s">
        <v>682</v>
      </c>
      <c r="AK244" s="100" t="s">
        <v>682</v>
      </c>
    </row>
    <row r="245" spans="1:37">
      <c r="A245" s="100" t="s">
        <v>3191</v>
      </c>
      <c r="B245" s="100" t="s">
        <v>3192</v>
      </c>
      <c r="C245" s="100" t="s">
        <v>682</v>
      </c>
      <c r="D245" s="100" t="s">
        <v>64</v>
      </c>
      <c r="E245" s="100" t="s">
        <v>3193</v>
      </c>
      <c r="F245" s="100" t="s">
        <v>222</v>
      </c>
      <c r="G245" s="100" t="s">
        <v>553</v>
      </c>
      <c r="H245" s="100" t="s">
        <v>682</v>
      </c>
      <c r="I245" s="100" t="s">
        <v>4839</v>
      </c>
      <c r="J245" s="100" t="s">
        <v>682</v>
      </c>
      <c r="K245" s="100" t="s">
        <v>3195</v>
      </c>
      <c r="L245" s="100" t="s">
        <v>682</v>
      </c>
      <c r="M245" s="100" t="s">
        <v>682</v>
      </c>
      <c r="N245" s="100" t="s">
        <v>682</v>
      </c>
      <c r="O245" s="100" t="s">
        <v>5668</v>
      </c>
      <c r="P245" s="100" t="s">
        <v>3196</v>
      </c>
      <c r="Q245" s="100" t="s">
        <v>3197</v>
      </c>
      <c r="R245" s="100" t="s">
        <v>5669</v>
      </c>
      <c r="S245" s="100" t="s">
        <v>5670</v>
      </c>
      <c r="T245" s="100" t="s">
        <v>4840</v>
      </c>
      <c r="U245" s="100" t="s">
        <v>3198</v>
      </c>
      <c r="V245" s="100" t="s">
        <v>3199</v>
      </c>
      <c r="W245" s="100" t="s">
        <v>682</v>
      </c>
      <c r="X245" s="100" t="s">
        <v>3200</v>
      </c>
      <c r="Y245" s="100" t="s">
        <v>4841</v>
      </c>
      <c r="Z245" s="100" t="s">
        <v>4842</v>
      </c>
      <c r="AA245" s="100" t="s">
        <v>3201</v>
      </c>
      <c r="AB245" s="100" t="s">
        <v>3202</v>
      </c>
      <c r="AC245" s="100" t="s">
        <v>682</v>
      </c>
      <c r="AD245" s="100" t="s">
        <v>682</v>
      </c>
      <c r="AE245" s="100" t="s">
        <v>54</v>
      </c>
      <c r="AF245" s="100" t="s">
        <v>682</v>
      </c>
      <c r="AG245" s="100" t="s">
        <v>682</v>
      </c>
      <c r="AH245" s="100" t="s">
        <v>3203</v>
      </c>
      <c r="AI245" s="100" t="s">
        <v>682</v>
      </c>
      <c r="AJ245" s="100" t="s">
        <v>682</v>
      </c>
      <c r="AK245" s="100" t="s">
        <v>682</v>
      </c>
    </row>
    <row r="246" spans="1:37">
      <c r="A246" s="100" t="s">
        <v>3204</v>
      </c>
      <c r="B246" s="100" t="s">
        <v>3205</v>
      </c>
      <c r="C246" s="100" t="s">
        <v>682</v>
      </c>
      <c r="D246" s="100" t="s">
        <v>66</v>
      </c>
      <c r="E246" s="100" t="s">
        <v>3206</v>
      </c>
      <c r="F246" s="100" t="s">
        <v>222</v>
      </c>
      <c r="G246" s="100" t="s">
        <v>440</v>
      </c>
      <c r="H246" s="100" t="s">
        <v>682</v>
      </c>
      <c r="I246" s="100" t="s">
        <v>4843</v>
      </c>
      <c r="J246" s="100" t="s">
        <v>682</v>
      </c>
      <c r="K246" s="100" t="s">
        <v>3207</v>
      </c>
      <c r="L246" s="100" t="s">
        <v>682</v>
      </c>
      <c r="M246" s="100" t="s">
        <v>682</v>
      </c>
      <c r="N246" s="100" t="s">
        <v>682</v>
      </c>
      <c r="O246" s="100" t="s">
        <v>5671</v>
      </c>
      <c r="P246" s="100" t="s">
        <v>3208</v>
      </c>
      <c r="Q246" s="100" t="s">
        <v>3209</v>
      </c>
      <c r="R246" s="100" t="s">
        <v>5672</v>
      </c>
      <c r="S246" s="100" t="s">
        <v>5673</v>
      </c>
      <c r="T246" s="100" t="s">
        <v>4844</v>
      </c>
      <c r="U246" s="100" t="s">
        <v>3210</v>
      </c>
      <c r="V246" s="100" t="s">
        <v>3211</v>
      </c>
      <c r="W246" s="100" t="s">
        <v>682</v>
      </c>
      <c r="X246" s="100" t="s">
        <v>3212</v>
      </c>
      <c r="Y246" s="100" t="s">
        <v>4845</v>
      </c>
      <c r="Z246" s="100" t="s">
        <v>4846</v>
      </c>
      <c r="AA246" s="100" t="s">
        <v>3213</v>
      </c>
      <c r="AB246" s="100" t="s">
        <v>3214</v>
      </c>
      <c r="AC246" s="100" t="s">
        <v>682</v>
      </c>
      <c r="AD246" s="100" t="s">
        <v>682</v>
      </c>
      <c r="AE246" s="100" t="s">
        <v>54</v>
      </c>
      <c r="AF246" s="100" t="s">
        <v>682</v>
      </c>
      <c r="AG246" s="100" t="s">
        <v>682</v>
      </c>
      <c r="AH246" s="100" t="s">
        <v>3215</v>
      </c>
      <c r="AI246" s="100" t="s">
        <v>682</v>
      </c>
      <c r="AJ246" s="100" t="s">
        <v>682</v>
      </c>
      <c r="AK246" s="100" t="s">
        <v>682</v>
      </c>
    </row>
    <row r="247" spans="1:37">
      <c r="A247" s="100" t="s">
        <v>3216</v>
      </c>
      <c r="B247" s="100" t="s">
        <v>3217</v>
      </c>
      <c r="C247" s="100" t="s">
        <v>682</v>
      </c>
      <c r="D247" s="100" t="s">
        <v>38</v>
      </c>
      <c r="E247" s="100" t="s">
        <v>3218</v>
      </c>
      <c r="F247" s="100" t="s">
        <v>154</v>
      </c>
      <c r="G247" s="100" t="s">
        <v>450</v>
      </c>
      <c r="H247" s="100" t="s">
        <v>1560</v>
      </c>
      <c r="I247" s="100" t="s">
        <v>4847</v>
      </c>
      <c r="J247" s="100" t="s">
        <v>875</v>
      </c>
      <c r="K247" s="100" t="s">
        <v>3219</v>
      </c>
      <c r="L247" s="100" t="s">
        <v>682</v>
      </c>
      <c r="M247" s="100" t="s">
        <v>682</v>
      </c>
      <c r="N247" s="100" t="s">
        <v>682</v>
      </c>
      <c r="O247" s="100" t="s">
        <v>5674</v>
      </c>
      <c r="P247" s="100" t="s">
        <v>3220</v>
      </c>
      <c r="Q247" s="100" t="s">
        <v>3221</v>
      </c>
      <c r="R247" s="100" t="s">
        <v>5675</v>
      </c>
      <c r="S247" s="100" t="s">
        <v>5676</v>
      </c>
      <c r="T247" s="100" t="s">
        <v>4848</v>
      </c>
      <c r="U247" s="100" t="s">
        <v>3222</v>
      </c>
      <c r="V247" s="100" t="s">
        <v>3223</v>
      </c>
      <c r="W247" s="100" t="s">
        <v>682</v>
      </c>
      <c r="X247" s="100" t="s">
        <v>3224</v>
      </c>
      <c r="Y247" s="100" t="s">
        <v>4849</v>
      </c>
      <c r="Z247" s="100" t="s">
        <v>4850</v>
      </c>
      <c r="AA247" s="100" t="s">
        <v>3225</v>
      </c>
      <c r="AB247" s="100" t="s">
        <v>3226</v>
      </c>
      <c r="AC247" s="100" t="s">
        <v>682</v>
      </c>
      <c r="AD247" s="100" t="s">
        <v>682</v>
      </c>
      <c r="AE247" s="100" t="s">
        <v>54</v>
      </c>
      <c r="AF247" s="100" t="s">
        <v>682</v>
      </c>
      <c r="AG247" s="100" t="s">
        <v>682</v>
      </c>
      <c r="AH247" s="100" t="s">
        <v>3227</v>
      </c>
      <c r="AI247" s="100" t="s">
        <v>682</v>
      </c>
      <c r="AJ247" s="100" t="s">
        <v>682</v>
      </c>
      <c r="AK247" s="100" t="s">
        <v>682</v>
      </c>
    </row>
    <row r="248" spans="1:37">
      <c r="A248" s="100" t="s">
        <v>7064</v>
      </c>
      <c r="B248" s="100" t="s">
        <v>7065</v>
      </c>
      <c r="C248" s="100" t="s">
        <v>682</v>
      </c>
      <c r="D248" s="100" t="s">
        <v>47</v>
      </c>
      <c r="E248" s="100" t="s">
        <v>7066</v>
      </c>
      <c r="F248" s="100" t="s">
        <v>175</v>
      </c>
      <c r="G248" s="100" t="s">
        <v>653</v>
      </c>
      <c r="H248" s="100" t="s">
        <v>682</v>
      </c>
      <c r="I248" s="100" t="s">
        <v>7067</v>
      </c>
      <c r="J248" s="100" t="s">
        <v>682</v>
      </c>
      <c r="K248" s="100" t="s">
        <v>7068</v>
      </c>
      <c r="L248" s="100" t="s">
        <v>682</v>
      </c>
      <c r="M248" s="100" t="s">
        <v>682</v>
      </c>
      <c r="N248" s="100" t="s">
        <v>682</v>
      </c>
      <c r="O248" s="100" t="s">
        <v>7069</v>
      </c>
      <c r="P248" s="100" t="s">
        <v>7070</v>
      </c>
      <c r="Q248" s="100" t="s">
        <v>7071</v>
      </c>
      <c r="R248" s="100" t="s">
        <v>7072</v>
      </c>
      <c r="S248" s="100" t="s">
        <v>7073</v>
      </c>
      <c r="T248" s="100" t="s">
        <v>7074</v>
      </c>
      <c r="U248" s="100" t="s">
        <v>7075</v>
      </c>
      <c r="V248" s="100" t="s">
        <v>7076</v>
      </c>
      <c r="W248" s="100" t="s">
        <v>682</v>
      </c>
      <c r="X248" s="100" t="s">
        <v>7077</v>
      </c>
      <c r="Y248" s="100" t="s">
        <v>7078</v>
      </c>
      <c r="Z248" s="100" t="s">
        <v>7079</v>
      </c>
      <c r="AA248" s="100" t="s">
        <v>7080</v>
      </c>
      <c r="AB248" s="100" t="s">
        <v>7081</v>
      </c>
      <c r="AC248" s="100" t="s">
        <v>682</v>
      </c>
      <c r="AD248" s="100" t="s">
        <v>682</v>
      </c>
      <c r="AE248" s="100" t="s">
        <v>43</v>
      </c>
      <c r="AF248" s="100" t="s">
        <v>41</v>
      </c>
      <c r="AG248" s="100" t="s">
        <v>42</v>
      </c>
      <c r="AH248" s="100" t="s">
        <v>7082</v>
      </c>
      <c r="AI248" s="100" t="s">
        <v>682</v>
      </c>
      <c r="AJ248" s="100" t="s">
        <v>682</v>
      </c>
      <c r="AK248" s="100" t="s">
        <v>682</v>
      </c>
    </row>
    <row r="249" spans="1:37">
      <c r="A249" s="100" t="s">
        <v>3228</v>
      </c>
      <c r="B249" s="100" t="s">
        <v>3229</v>
      </c>
      <c r="C249" s="100" t="s">
        <v>682</v>
      </c>
      <c r="D249" s="100" t="s">
        <v>76</v>
      </c>
      <c r="E249" s="100" t="s">
        <v>3230</v>
      </c>
      <c r="F249" s="100" t="s">
        <v>175</v>
      </c>
      <c r="G249" s="100" t="s">
        <v>440</v>
      </c>
      <c r="H249" s="100" t="s">
        <v>682</v>
      </c>
      <c r="I249" s="100" t="s">
        <v>4851</v>
      </c>
      <c r="J249" s="100" t="s">
        <v>682</v>
      </c>
      <c r="K249" s="100" t="s">
        <v>3232</v>
      </c>
      <c r="L249" s="100" t="s">
        <v>682</v>
      </c>
      <c r="M249" s="100" t="s">
        <v>682</v>
      </c>
      <c r="N249" s="100" t="s">
        <v>682</v>
      </c>
      <c r="O249" s="100" t="s">
        <v>5677</v>
      </c>
      <c r="P249" s="100" t="s">
        <v>3233</v>
      </c>
      <c r="Q249" s="100" t="s">
        <v>3234</v>
      </c>
      <c r="R249" s="100" t="s">
        <v>5678</v>
      </c>
      <c r="S249" s="100" t="s">
        <v>5679</v>
      </c>
      <c r="T249" s="100" t="s">
        <v>4852</v>
      </c>
      <c r="U249" s="100" t="s">
        <v>3235</v>
      </c>
      <c r="V249" s="100" t="s">
        <v>3236</v>
      </c>
      <c r="W249" s="100" t="s">
        <v>682</v>
      </c>
      <c r="X249" s="100" t="s">
        <v>3237</v>
      </c>
      <c r="Y249" s="100" t="s">
        <v>4853</v>
      </c>
      <c r="Z249" s="100" t="s">
        <v>4854</v>
      </c>
      <c r="AA249" s="100" t="s">
        <v>3238</v>
      </c>
      <c r="AB249" s="100" t="s">
        <v>3239</v>
      </c>
      <c r="AC249" s="100" t="s">
        <v>682</v>
      </c>
      <c r="AD249" s="100" t="s">
        <v>682</v>
      </c>
      <c r="AE249" s="100" t="s">
        <v>43</v>
      </c>
      <c r="AF249" s="100" t="s">
        <v>46</v>
      </c>
      <c r="AG249" s="100" t="s">
        <v>42</v>
      </c>
      <c r="AH249" s="100" t="s">
        <v>3240</v>
      </c>
      <c r="AI249" s="100" t="s">
        <v>682</v>
      </c>
      <c r="AJ249" s="100" t="s">
        <v>682</v>
      </c>
      <c r="AK249" s="100" t="s">
        <v>682</v>
      </c>
    </row>
    <row r="250" spans="1:37">
      <c r="A250" s="100" t="s">
        <v>3241</v>
      </c>
      <c r="B250" s="100" t="s">
        <v>3242</v>
      </c>
      <c r="C250" s="100" t="s">
        <v>682</v>
      </c>
      <c r="D250" s="100" t="s">
        <v>47</v>
      </c>
      <c r="E250" s="100" t="s">
        <v>3243</v>
      </c>
      <c r="F250" s="100" t="s">
        <v>174</v>
      </c>
      <c r="G250" s="100" t="s">
        <v>653</v>
      </c>
      <c r="H250" s="100" t="s">
        <v>682</v>
      </c>
      <c r="I250" s="100" t="s">
        <v>4855</v>
      </c>
      <c r="J250" s="100" t="s">
        <v>682</v>
      </c>
      <c r="K250" s="100" t="s">
        <v>3245</v>
      </c>
      <c r="L250" s="100" t="s">
        <v>682</v>
      </c>
      <c r="M250" s="100" t="s">
        <v>682</v>
      </c>
      <c r="N250" s="100" t="s">
        <v>682</v>
      </c>
      <c r="O250" s="100" t="s">
        <v>5680</v>
      </c>
      <c r="P250" s="100" t="s">
        <v>3246</v>
      </c>
      <c r="Q250" s="100" t="s">
        <v>3247</v>
      </c>
      <c r="R250" s="100" t="s">
        <v>5681</v>
      </c>
      <c r="S250" s="100" t="s">
        <v>5682</v>
      </c>
      <c r="T250" s="100" t="s">
        <v>4856</v>
      </c>
      <c r="U250" s="100" t="s">
        <v>3248</v>
      </c>
      <c r="V250" s="100" t="s">
        <v>3249</v>
      </c>
      <c r="W250" s="100" t="s">
        <v>682</v>
      </c>
      <c r="X250" s="100" t="s">
        <v>3250</v>
      </c>
      <c r="Y250" s="100" t="s">
        <v>4857</v>
      </c>
      <c r="Z250" s="100" t="s">
        <v>4858</v>
      </c>
      <c r="AA250" s="100" t="s">
        <v>3251</v>
      </c>
      <c r="AB250" s="100" t="s">
        <v>3252</v>
      </c>
      <c r="AC250" s="100" t="s">
        <v>682</v>
      </c>
      <c r="AD250" s="100" t="s">
        <v>682</v>
      </c>
      <c r="AE250" s="100" t="s">
        <v>43</v>
      </c>
      <c r="AF250" s="100" t="s">
        <v>41</v>
      </c>
      <c r="AG250" s="100" t="s">
        <v>42</v>
      </c>
      <c r="AH250" s="100" t="s">
        <v>3253</v>
      </c>
      <c r="AI250" s="100" t="s">
        <v>682</v>
      </c>
      <c r="AJ250" s="100" t="s">
        <v>682</v>
      </c>
      <c r="AK250" s="100" t="s">
        <v>682</v>
      </c>
    </row>
    <row r="251" spans="1:37">
      <c r="A251" s="100" t="s">
        <v>3254</v>
      </c>
      <c r="B251" s="100" t="s">
        <v>3255</v>
      </c>
      <c r="C251" s="100" t="s">
        <v>682</v>
      </c>
      <c r="D251" s="100" t="s">
        <v>71</v>
      </c>
      <c r="E251" s="100" t="s">
        <v>3256</v>
      </c>
      <c r="F251" s="100" t="s">
        <v>174</v>
      </c>
      <c r="G251" s="100" t="s">
        <v>655</v>
      </c>
      <c r="H251" s="100" t="s">
        <v>682</v>
      </c>
      <c r="I251" s="100" t="s">
        <v>4859</v>
      </c>
      <c r="J251" s="100" t="s">
        <v>682</v>
      </c>
      <c r="K251" s="100" t="s">
        <v>3257</v>
      </c>
      <c r="L251" s="100" t="s">
        <v>682</v>
      </c>
      <c r="M251" s="100" t="s">
        <v>682</v>
      </c>
      <c r="N251" s="100" t="s">
        <v>682</v>
      </c>
      <c r="O251" s="100" t="s">
        <v>5683</v>
      </c>
      <c r="P251" s="100" t="s">
        <v>3258</v>
      </c>
      <c r="Q251" s="100" t="s">
        <v>3259</v>
      </c>
      <c r="R251" s="100" t="s">
        <v>5684</v>
      </c>
      <c r="S251" s="100" t="s">
        <v>5685</v>
      </c>
      <c r="T251" s="100" t="s">
        <v>4860</v>
      </c>
      <c r="U251" s="100" t="s">
        <v>3260</v>
      </c>
      <c r="V251" s="100" t="s">
        <v>3261</v>
      </c>
      <c r="W251" s="100" t="s">
        <v>682</v>
      </c>
      <c r="X251" s="100" t="s">
        <v>3262</v>
      </c>
      <c r="Y251" s="100" t="s">
        <v>4861</v>
      </c>
      <c r="Z251" s="100" t="s">
        <v>4862</v>
      </c>
      <c r="AA251" s="100" t="s">
        <v>3263</v>
      </c>
      <c r="AB251" s="100" t="s">
        <v>3264</v>
      </c>
      <c r="AC251" s="100" t="s">
        <v>682</v>
      </c>
      <c r="AD251" s="100" t="s">
        <v>682</v>
      </c>
      <c r="AE251" s="100" t="s">
        <v>54</v>
      </c>
      <c r="AF251" s="100" t="s">
        <v>682</v>
      </c>
      <c r="AG251" s="100" t="s">
        <v>682</v>
      </c>
      <c r="AH251" s="100" t="s">
        <v>3265</v>
      </c>
      <c r="AI251" s="100" t="s">
        <v>682</v>
      </c>
      <c r="AJ251" s="100" t="s">
        <v>682</v>
      </c>
      <c r="AK251" s="100" t="s">
        <v>682</v>
      </c>
    </row>
    <row r="252" spans="1:37">
      <c r="A252" s="100" t="s">
        <v>3266</v>
      </c>
      <c r="B252" s="100" t="s">
        <v>3267</v>
      </c>
      <c r="C252" s="100" t="s">
        <v>682</v>
      </c>
      <c r="D252" s="100" t="s">
        <v>76</v>
      </c>
      <c r="E252" s="100" t="s">
        <v>3268</v>
      </c>
      <c r="F252" s="100" t="s">
        <v>174</v>
      </c>
      <c r="G252" s="100" t="s">
        <v>440</v>
      </c>
      <c r="H252" s="100" t="s">
        <v>682</v>
      </c>
      <c r="I252" s="100" t="s">
        <v>4863</v>
      </c>
      <c r="J252" s="100" t="s">
        <v>682</v>
      </c>
      <c r="K252" s="100" t="s">
        <v>3269</v>
      </c>
      <c r="L252" s="100" t="s">
        <v>682</v>
      </c>
      <c r="M252" s="100" t="s">
        <v>682</v>
      </c>
      <c r="N252" s="100" t="s">
        <v>682</v>
      </c>
      <c r="O252" s="100" t="s">
        <v>5686</v>
      </c>
      <c r="P252" s="100" t="s">
        <v>3270</v>
      </c>
      <c r="Q252" s="100" t="s">
        <v>3271</v>
      </c>
      <c r="R252" s="100" t="s">
        <v>5687</v>
      </c>
      <c r="S252" s="100" t="s">
        <v>5688</v>
      </c>
      <c r="T252" s="100" t="s">
        <v>4864</v>
      </c>
      <c r="U252" s="100" t="s">
        <v>3272</v>
      </c>
      <c r="V252" s="100" t="s">
        <v>3273</v>
      </c>
      <c r="W252" s="100" t="s">
        <v>682</v>
      </c>
      <c r="X252" s="100" t="s">
        <v>3274</v>
      </c>
      <c r="Y252" s="100" t="s">
        <v>4865</v>
      </c>
      <c r="Z252" s="100" t="s">
        <v>4866</v>
      </c>
      <c r="AA252" s="100" t="s">
        <v>3275</v>
      </c>
      <c r="AB252" s="100" t="s">
        <v>3276</v>
      </c>
      <c r="AC252" s="100" t="s">
        <v>682</v>
      </c>
      <c r="AD252" s="100" t="s">
        <v>682</v>
      </c>
      <c r="AE252" s="100" t="s">
        <v>43</v>
      </c>
      <c r="AF252" s="100" t="s">
        <v>46</v>
      </c>
      <c r="AG252" s="100" t="s">
        <v>42</v>
      </c>
      <c r="AH252" s="100" t="s">
        <v>3277</v>
      </c>
      <c r="AI252" s="100" t="s">
        <v>682</v>
      </c>
      <c r="AJ252" s="100" t="s">
        <v>682</v>
      </c>
      <c r="AK252" s="100" t="s">
        <v>682</v>
      </c>
    </row>
    <row r="253" spans="1:37">
      <c r="A253" s="100" t="s">
        <v>3278</v>
      </c>
      <c r="B253" s="100" t="s">
        <v>3279</v>
      </c>
      <c r="C253" s="100" t="s">
        <v>682</v>
      </c>
      <c r="D253" s="100" t="s">
        <v>75</v>
      </c>
      <c r="E253" s="100" t="s">
        <v>3280</v>
      </c>
      <c r="F253" s="100" t="s">
        <v>151</v>
      </c>
      <c r="G253" s="100" t="s">
        <v>184</v>
      </c>
      <c r="H253" s="100" t="s">
        <v>682</v>
      </c>
      <c r="I253" s="100" t="s">
        <v>4867</v>
      </c>
      <c r="J253" s="100" t="s">
        <v>682</v>
      </c>
      <c r="K253" s="100" t="s">
        <v>3281</v>
      </c>
      <c r="L253" s="100" t="s">
        <v>682</v>
      </c>
      <c r="M253" s="100" t="s">
        <v>682</v>
      </c>
      <c r="N253" s="100" t="s">
        <v>682</v>
      </c>
      <c r="O253" s="100" t="s">
        <v>5689</v>
      </c>
      <c r="P253" s="100" t="s">
        <v>3282</v>
      </c>
      <c r="Q253" s="100" t="s">
        <v>3283</v>
      </c>
      <c r="R253" s="100" t="s">
        <v>5690</v>
      </c>
      <c r="S253" s="100" t="s">
        <v>5691</v>
      </c>
      <c r="T253" s="100" t="s">
        <v>4868</v>
      </c>
      <c r="U253" s="100" t="s">
        <v>3284</v>
      </c>
      <c r="V253" s="100" t="s">
        <v>3285</v>
      </c>
      <c r="W253" s="100" t="s">
        <v>682</v>
      </c>
      <c r="X253" s="100" t="s">
        <v>3286</v>
      </c>
      <c r="Y253" s="100" t="s">
        <v>4869</v>
      </c>
      <c r="Z253" s="100" t="s">
        <v>4870</v>
      </c>
      <c r="AA253" s="100" t="s">
        <v>3287</v>
      </c>
      <c r="AB253" s="100" t="s">
        <v>3288</v>
      </c>
      <c r="AC253" s="100" t="s">
        <v>682</v>
      </c>
      <c r="AD253" s="100" t="s">
        <v>682</v>
      </c>
      <c r="AE253" s="100" t="s">
        <v>54</v>
      </c>
      <c r="AF253" s="100" t="s">
        <v>682</v>
      </c>
      <c r="AG253" s="100" t="s">
        <v>682</v>
      </c>
      <c r="AH253" s="100" t="s">
        <v>3289</v>
      </c>
      <c r="AI253" s="100" t="s">
        <v>682</v>
      </c>
      <c r="AJ253" s="100" t="s">
        <v>682</v>
      </c>
      <c r="AK253" s="100" t="s">
        <v>682</v>
      </c>
    </row>
    <row r="254" spans="1:37">
      <c r="A254" s="100" t="s">
        <v>3290</v>
      </c>
      <c r="B254" s="100" t="s">
        <v>3291</v>
      </c>
      <c r="C254" s="100" t="s">
        <v>682</v>
      </c>
      <c r="D254" s="100" t="s">
        <v>38</v>
      </c>
      <c r="E254" s="100" t="s">
        <v>3292</v>
      </c>
      <c r="F254" s="100" t="s">
        <v>154</v>
      </c>
      <c r="G254" s="100" t="s">
        <v>458</v>
      </c>
      <c r="H254" s="100" t="s">
        <v>682</v>
      </c>
      <c r="I254" s="100" t="s">
        <v>4871</v>
      </c>
      <c r="J254" s="100" t="s">
        <v>875</v>
      </c>
      <c r="K254" s="100" t="s">
        <v>3293</v>
      </c>
      <c r="L254" s="100" t="s">
        <v>682</v>
      </c>
      <c r="M254" s="100" t="s">
        <v>682</v>
      </c>
      <c r="N254" s="100" t="s">
        <v>682</v>
      </c>
      <c r="O254" s="100" t="s">
        <v>5692</v>
      </c>
      <c r="P254" s="100" t="s">
        <v>3294</v>
      </c>
      <c r="Q254" s="100" t="s">
        <v>3295</v>
      </c>
      <c r="R254" s="100" t="s">
        <v>5693</v>
      </c>
      <c r="S254" s="100" t="s">
        <v>5694</v>
      </c>
      <c r="T254" s="100" t="s">
        <v>4872</v>
      </c>
      <c r="U254" s="100" t="s">
        <v>3296</v>
      </c>
      <c r="V254" s="100" t="s">
        <v>3297</v>
      </c>
      <c r="W254" s="100" t="s">
        <v>682</v>
      </c>
      <c r="X254" s="100" t="s">
        <v>3298</v>
      </c>
      <c r="Y254" s="100" t="s">
        <v>4873</v>
      </c>
      <c r="Z254" s="100" t="s">
        <v>4874</v>
      </c>
      <c r="AA254" s="100" t="s">
        <v>3299</v>
      </c>
      <c r="AB254" s="100" t="s">
        <v>3300</v>
      </c>
      <c r="AC254" s="100" t="s">
        <v>682</v>
      </c>
      <c r="AD254" s="100" t="s">
        <v>682</v>
      </c>
      <c r="AE254" s="100" t="s">
        <v>54</v>
      </c>
      <c r="AF254" s="100" t="s">
        <v>682</v>
      </c>
      <c r="AG254" s="100" t="s">
        <v>682</v>
      </c>
      <c r="AH254" s="100" t="s">
        <v>3301</v>
      </c>
      <c r="AI254" s="100" t="s">
        <v>682</v>
      </c>
      <c r="AJ254" s="100" t="s">
        <v>682</v>
      </c>
      <c r="AK254" s="100" t="s">
        <v>682</v>
      </c>
    </row>
    <row r="255" spans="1:37">
      <c r="A255" s="100" t="s">
        <v>3302</v>
      </c>
      <c r="B255" s="100" t="s">
        <v>3303</v>
      </c>
      <c r="C255" s="100" t="s">
        <v>682</v>
      </c>
      <c r="D255" s="100" t="s">
        <v>38</v>
      </c>
      <c r="E255" s="100" t="s">
        <v>3304</v>
      </c>
      <c r="F255" s="100" t="s">
        <v>154</v>
      </c>
      <c r="G255" s="100" t="s">
        <v>656</v>
      </c>
      <c r="H255" s="100" t="s">
        <v>682</v>
      </c>
      <c r="I255" s="100" t="s">
        <v>4875</v>
      </c>
      <c r="J255" s="100" t="s">
        <v>682</v>
      </c>
      <c r="K255" s="100" t="s">
        <v>3305</v>
      </c>
      <c r="L255" s="100" t="s">
        <v>682</v>
      </c>
      <c r="M255" s="100" t="s">
        <v>682</v>
      </c>
      <c r="N255" s="100" t="s">
        <v>682</v>
      </c>
      <c r="O255" s="100" t="s">
        <v>5695</v>
      </c>
      <c r="P255" s="100" t="s">
        <v>3306</v>
      </c>
      <c r="Q255" s="100" t="s">
        <v>3307</v>
      </c>
      <c r="R255" s="100" t="s">
        <v>5696</v>
      </c>
      <c r="S255" s="100" t="s">
        <v>5697</v>
      </c>
      <c r="T255" s="100" t="s">
        <v>4876</v>
      </c>
      <c r="U255" s="100" t="s">
        <v>3308</v>
      </c>
      <c r="V255" s="100" t="s">
        <v>3309</v>
      </c>
      <c r="W255" s="100" t="s">
        <v>682</v>
      </c>
      <c r="X255" s="100" t="s">
        <v>3310</v>
      </c>
      <c r="Y255" s="100" t="s">
        <v>4877</v>
      </c>
      <c r="Z255" s="100" t="s">
        <v>4878</v>
      </c>
      <c r="AA255" s="100" t="s">
        <v>3311</v>
      </c>
      <c r="AB255" s="100" t="s">
        <v>3312</v>
      </c>
      <c r="AC255" s="100" t="s">
        <v>682</v>
      </c>
      <c r="AD255" s="100" t="s">
        <v>682</v>
      </c>
      <c r="AE255" s="100" t="s">
        <v>54</v>
      </c>
      <c r="AF255" s="100" t="s">
        <v>682</v>
      </c>
      <c r="AG255" s="100" t="s">
        <v>682</v>
      </c>
      <c r="AH255" s="100" t="s">
        <v>3313</v>
      </c>
      <c r="AI255" s="100" t="s">
        <v>682</v>
      </c>
      <c r="AJ255" s="100" t="s">
        <v>682</v>
      </c>
      <c r="AK255" s="100" t="s">
        <v>682</v>
      </c>
    </row>
    <row r="256" spans="1:37">
      <c r="A256" s="100" t="s">
        <v>3314</v>
      </c>
      <c r="B256" s="100" t="s">
        <v>3315</v>
      </c>
      <c r="C256" s="100" t="s">
        <v>682</v>
      </c>
      <c r="D256" s="100" t="s">
        <v>78</v>
      </c>
      <c r="E256" s="100" t="s">
        <v>3316</v>
      </c>
      <c r="F256" s="100" t="s">
        <v>233</v>
      </c>
      <c r="G256" s="100" t="s">
        <v>553</v>
      </c>
      <c r="H256" s="100" t="s">
        <v>2003</v>
      </c>
      <c r="I256" s="100" t="s">
        <v>4879</v>
      </c>
      <c r="J256" s="100" t="s">
        <v>682</v>
      </c>
      <c r="K256" s="100" t="s">
        <v>3317</v>
      </c>
      <c r="L256" s="100" t="s">
        <v>682</v>
      </c>
      <c r="M256" s="100" t="s">
        <v>682</v>
      </c>
      <c r="N256" s="100" t="s">
        <v>682</v>
      </c>
      <c r="O256" s="100" t="s">
        <v>5698</v>
      </c>
      <c r="P256" s="100" t="s">
        <v>3318</v>
      </c>
      <c r="Q256" s="100" t="s">
        <v>3319</v>
      </c>
      <c r="R256" s="100" t="s">
        <v>5699</v>
      </c>
      <c r="S256" s="100" t="s">
        <v>5700</v>
      </c>
      <c r="T256" s="100" t="s">
        <v>4880</v>
      </c>
      <c r="U256" s="100" t="s">
        <v>3320</v>
      </c>
      <c r="V256" s="100" t="s">
        <v>3321</v>
      </c>
      <c r="W256" s="100" t="s">
        <v>682</v>
      </c>
      <c r="X256" s="100" t="s">
        <v>3322</v>
      </c>
      <c r="Y256" s="100" t="s">
        <v>4881</v>
      </c>
      <c r="Z256" s="100" t="s">
        <v>4882</v>
      </c>
      <c r="AA256" s="100" t="s">
        <v>3323</v>
      </c>
      <c r="AB256" s="100" t="s">
        <v>3324</v>
      </c>
      <c r="AC256" s="100" t="s">
        <v>682</v>
      </c>
      <c r="AD256" s="100" t="s">
        <v>682</v>
      </c>
      <c r="AE256" s="100" t="s">
        <v>54</v>
      </c>
      <c r="AF256" s="100" t="s">
        <v>682</v>
      </c>
      <c r="AG256" s="100" t="s">
        <v>682</v>
      </c>
      <c r="AH256" s="100" t="s">
        <v>3325</v>
      </c>
      <c r="AI256" s="100" t="s">
        <v>682</v>
      </c>
      <c r="AJ256" s="100" t="s">
        <v>682</v>
      </c>
      <c r="AK256" s="100" t="s">
        <v>682</v>
      </c>
    </row>
    <row r="257" spans="1:37">
      <c r="A257" s="100" t="s">
        <v>3326</v>
      </c>
      <c r="B257" s="100" t="s">
        <v>3327</v>
      </c>
      <c r="C257" s="100" t="s">
        <v>682</v>
      </c>
      <c r="D257" s="100" t="s">
        <v>78</v>
      </c>
      <c r="E257" s="100" t="s">
        <v>3328</v>
      </c>
      <c r="F257" s="100" t="s">
        <v>236</v>
      </c>
      <c r="G257" s="100" t="s">
        <v>553</v>
      </c>
      <c r="H257" s="100" t="s">
        <v>2077</v>
      </c>
      <c r="I257" s="100" t="s">
        <v>4883</v>
      </c>
      <c r="J257" s="100" t="s">
        <v>682</v>
      </c>
      <c r="K257" s="100" t="s">
        <v>3329</v>
      </c>
      <c r="L257" s="100" t="s">
        <v>682</v>
      </c>
      <c r="M257" s="100" t="s">
        <v>682</v>
      </c>
      <c r="N257" s="100" t="s">
        <v>682</v>
      </c>
      <c r="O257" s="100" t="s">
        <v>5701</v>
      </c>
      <c r="P257" s="100" t="s">
        <v>3330</v>
      </c>
      <c r="Q257" s="100" t="s">
        <v>3331</v>
      </c>
      <c r="R257" s="100" t="s">
        <v>5702</v>
      </c>
      <c r="S257" s="100" t="s">
        <v>5703</v>
      </c>
      <c r="T257" s="100" t="s">
        <v>4884</v>
      </c>
      <c r="U257" s="100" t="s">
        <v>3332</v>
      </c>
      <c r="V257" s="100" t="s">
        <v>3333</v>
      </c>
      <c r="W257" s="100" t="s">
        <v>682</v>
      </c>
      <c r="X257" s="100" t="s">
        <v>3334</v>
      </c>
      <c r="Y257" s="100" t="s">
        <v>4885</v>
      </c>
      <c r="Z257" s="100" t="s">
        <v>4886</v>
      </c>
      <c r="AA257" s="100" t="s">
        <v>3335</v>
      </c>
      <c r="AB257" s="100" t="s">
        <v>3336</v>
      </c>
      <c r="AC257" s="100" t="s">
        <v>682</v>
      </c>
      <c r="AD257" s="100" t="s">
        <v>682</v>
      </c>
      <c r="AE257" s="100" t="s">
        <v>54</v>
      </c>
      <c r="AF257" s="100" t="s">
        <v>682</v>
      </c>
      <c r="AG257" s="100" t="s">
        <v>682</v>
      </c>
      <c r="AH257" s="100" t="s">
        <v>3337</v>
      </c>
      <c r="AI257" s="100" t="s">
        <v>682</v>
      </c>
      <c r="AJ257" s="100" t="s">
        <v>682</v>
      </c>
      <c r="AK257" s="100" t="s">
        <v>682</v>
      </c>
    </row>
    <row r="258" spans="1:37">
      <c r="A258" s="100" t="s">
        <v>7083</v>
      </c>
      <c r="B258" s="100" t="s">
        <v>7084</v>
      </c>
      <c r="C258" s="100" t="s">
        <v>682</v>
      </c>
      <c r="D258" s="100" t="s">
        <v>78</v>
      </c>
      <c r="E258" s="100" t="s">
        <v>7085</v>
      </c>
      <c r="F258" s="100" t="s">
        <v>234</v>
      </c>
      <c r="G258" s="100" t="s">
        <v>445</v>
      </c>
      <c r="H258" s="100" t="s">
        <v>2003</v>
      </c>
      <c r="I258" s="100" t="s">
        <v>7086</v>
      </c>
      <c r="J258" s="100" t="s">
        <v>682</v>
      </c>
      <c r="K258" s="100" t="s">
        <v>7087</v>
      </c>
      <c r="L258" s="100" t="s">
        <v>682</v>
      </c>
      <c r="M258" s="100" t="s">
        <v>682</v>
      </c>
      <c r="N258" s="100" t="s">
        <v>682</v>
      </c>
      <c r="O258" s="100" t="s">
        <v>7088</v>
      </c>
      <c r="P258" s="100" t="s">
        <v>7089</v>
      </c>
      <c r="Q258" s="100" t="s">
        <v>7090</v>
      </c>
      <c r="R258" s="100" t="s">
        <v>7091</v>
      </c>
      <c r="S258" s="100" t="s">
        <v>7092</v>
      </c>
      <c r="T258" s="100" t="s">
        <v>7093</v>
      </c>
      <c r="U258" s="100" t="s">
        <v>7094</v>
      </c>
      <c r="V258" s="100" t="s">
        <v>7095</v>
      </c>
      <c r="W258" s="100" t="s">
        <v>682</v>
      </c>
      <c r="X258" s="100" t="s">
        <v>7096</v>
      </c>
      <c r="Y258" s="100" t="s">
        <v>7097</v>
      </c>
      <c r="Z258" s="100" t="s">
        <v>7098</v>
      </c>
      <c r="AA258" s="100" t="s">
        <v>7099</v>
      </c>
      <c r="AB258" s="100" t="s">
        <v>7100</v>
      </c>
      <c r="AC258" s="100" t="s">
        <v>682</v>
      </c>
      <c r="AD258" s="100" t="s">
        <v>682</v>
      </c>
      <c r="AE258" s="100" t="s">
        <v>54</v>
      </c>
      <c r="AF258" s="100" t="s">
        <v>682</v>
      </c>
      <c r="AG258" s="100" t="s">
        <v>682</v>
      </c>
      <c r="AH258" s="100" t="s">
        <v>7101</v>
      </c>
      <c r="AI258" s="100" t="s">
        <v>682</v>
      </c>
      <c r="AJ258" s="100" t="s">
        <v>682</v>
      </c>
      <c r="AK258" s="100" t="s">
        <v>682</v>
      </c>
    </row>
    <row r="259" spans="1:37">
      <c r="A259" s="100" t="s">
        <v>3338</v>
      </c>
      <c r="B259" s="100" t="s">
        <v>3339</v>
      </c>
      <c r="C259" s="100" t="s">
        <v>682</v>
      </c>
      <c r="D259" s="100" t="s">
        <v>78</v>
      </c>
      <c r="E259" s="100" t="s">
        <v>3340</v>
      </c>
      <c r="F259" s="100" t="s">
        <v>234</v>
      </c>
      <c r="G259" s="100" t="s">
        <v>553</v>
      </c>
      <c r="H259" s="100" t="s">
        <v>2003</v>
      </c>
      <c r="I259" s="100" t="s">
        <v>4887</v>
      </c>
      <c r="J259" s="100" t="s">
        <v>682</v>
      </c>
      <c r="K259" s="100" t="s">
        <v>3341</v>
      </c>
      <c r="L259" s="100" t="s">
        <v>682</v>
      </c>
      <c r="M259" s="100" t="s">
        <v>682</v>
      </c>
      <c r="N259" s="100" t="s">
        <v>682</v>
      </c>
      <c r="O259" s="100" t="s">
        <v>5704</v>
      </c>
      <c r="P259" s="100" t="s">
        <v>3342</v>
      </c>
      <c r="Q259" s="100" t="s">
        <v>3343</v>
      </c>
      <c r="R259" s="100" t="s">
        <v>5705</v>
      </c>
      <c r="S259" s="100" t="s">
        <v>5706</v>
      </c>
      <c r="T259" s="100" t="s">
        <v>4888</v>
      </c>
      <c r="U259" s="100" t="s">
        <v>3344</v>
      </c>
      <c r="V259" s="100" t="s">
        <v>3345</v>
      </c>
      <c r="W259" s="100" t="s">
        <v>682</v>
      </c>
      <c r="X259" s="100" t="s">
        <v>3346</v>
      </c>
      <c r="Y259" s="100" t="s">
        <v>4889</v>
      </c>
      <c r="Z259" s="100" t="s">
        <v>4890</v>
      </c>
      <c r="AA259" s="100" t="s">
        <v>3347</v>
      </c>
      <c r="AB259" s="100" t="s">
        <v>3348</v>
      </c>
      <c r="AC259" s="100" t="s">
        <v>682</v>
      </c>
      <c r="AD259" s="100" t="s">
        <v>682</v>
      </c>
      <c r="AE259" s="100" t="s">
        <v>54</v>
      </c>
      <c r="AF259" s="100" t="s">
        <v>682</v>
      </c>
      <c r="AG259" s="100" t="s">
        <v>682</v>
      </c>
      <c r="AH259" s="100" t="s">
        <v>3349</v>
      </c>
      <c r="AI259" s="100" t="s">
        <v>682</v>
      </c>
      <c r="AJ259" s="100" t="s">
        <v>682</v>
      </c>
      <c r="AK259" s="100" t="s">
        <v>682</v>
      </c>
    </row>
    <row r="260" spans="1:37">
      <c r="A260" s="100" t="s">
        <v>3350</v>
      </c>
      <c r="B260" s="100" t="s">
        <v>3351</v>
      </c>
      <c r="C260" s="100" t="s">
        <v>682</v>
      </c>
      <c r="D260" s="100" t="s">
        <v>78</v>
      </c>
      <c r="E260" s="100" t="s">
        <v>3352</v>
      </c>
      <c r="F260" s="100" t="s">
        <v>232</v>
      </c>
      <c r="G260" s="100" t="s">
        <v>553</v>
      </c>
      <c r="H260" s="100" t="s">
        <v>2003</v>
      </c>
      <c r="I260" s="100" t="s">
        <v>4891</v>
      </c>
      <c r="J260" s="100" t="s">
        <v>682</v>
      </c>
      <c r="K260" s="100" t="s">
        <v>3353</v>
      </c>
      <c r="L260" s="100" t="s">
        <v>682</v>
      </c>
      <c r="M260" s="100" t="s">
        <v>682</v>
      </c>
      <c r="N260" s="100" t="s">
        <v>682</v>
      </c>
      <c r="O260" s="100" t="s">
        <v>5707</v>
      </c>
      <c r="P260" s="100" t="s">
        <v>3354</v>
      </c>
      <c r="Q260" s="100" t="s">
        <v>3355</v>
      </c>
      <c r="R260" s="100" t="s">
        <v>5708</v>
      </c>
      <c r="S260" s="100" t="s">
        <v>5709</v>
      </c>
      <c r="T260" s="100" t="s">
        <v>4892</v>
      </c>
      <c r="U260" s="100" t="s">
        <v>3356</v>
      </c>
      <c r="V260" s="100" t="s">
        <v>3357</v>
      </c>
      <c r="W260" s="100" t="s">
        <v>682</v>
      </c>
      <c r="X260" s="100" t="s">
        <v>3358</v>
      </c>
      <c r="Y260" s="100" t="s">
        <v>4893</v>
      </c>
      <c r="Z260" s="100" t="s">
        <v>4894</v>
      </c>
      <c r="AA260" s="100" t="s">
        <v>3359</v>
      </c>
      <c r="AB260" s="100" t="s">
        <v>3360</v>
      </c>
      <c r="AC260" s="100" t="s">
        <v>682</v>
      </c>
      <c r="AD260" s="100" t="s">
        <v>682</v>
      </c>
      <c r="AE260" s="100" t="s">
        <v>54</v>
      </c>
      <c r="AF260" s="100" t="s">
        <v>682</v>
      </c>
      <c r="AG260" s="100" t="s">
        <v>682</v>
      </c>
      <c r="AH260" s="100" t="s">
        <v>3361</v>
      </c>
      <c r="AI260" s="100" t="s">
        <v>682</v>
      </c>
      <c r="AJ260" s="100" t="s">
        <v>682</v>
      </c>
      <c r="AK260" s="100" t="s">
        <v>682</v>
      </c>
    </row>
    <row r="261" spans="1:37">
      <c r="A261" s="100" t="s">
        <v>3362</v>
      </c>
      <c r="B261" s="100" t="s">
        <v>3363</v>
      </c>
      <c r="C261" s="100" t="s">
        <v>682</v>
      </c>
      <c r="D261" s="100" t="s">
        <v>78</v>
      </c>
      <c r="E261" s="100" t="s">
        <v>3364</v>
      </c>
      <c r="F261" s="100" t="s">
        <v>237</v>
      </c>
      <c r="G261" s="100" t="s">
        <v>553</v>
      </c>
      <c r="H261" s="100" t="s">
        <v>2285</v>
      </c>
      <c r="I261" s="100" t="s">
        <v>4895</v>
      </c>
      <c r="J261" s="100" t="s">
        <v>682</v>
      </c>
      <c r="K261" s="100" t="s">
        <v>3365</v>
      </c>
      <c r="L261" s="100" t="s">
        <v>682</v>
      </c>
      <c r="M261" s="100" t="s">
        <v>682</v>
      </c>
      <c r="N261" s="100" t="s">
        <v>682</v>
      </c>
      <c r="O261" s="100" t="s">
        <v>5710</v>
      </c>
      <c r="P261" s="100" t="s">
        <v>3366</v>
      </c>
      <c r="Q261" s="100" t="s">
        <v>3367</v>
      </c>
      <c r="R261" s="100" t="s">
        <v>5711</v>
      </c>
      <c r="S261" s="100" t="s">
        <v>5712</v>
      </c>
      <c r="T261" s="100" t="s">
        <v>4896</v>
      </c>
      <c r="U261" s="100" t="s">
        <v>3368</v>
      </c>
      <c r="V261" s="100" t="s">
        <v>3369</v>
      </c>
      <c r="W261" s="100" t="s">
        <v>682</v>
      </c>
      <c r="X261" s="100" t="s">
        <v>3370</v>
      </c>
      <c r="Y261" s="100" t="s">
        <v>4897</v>
      </c>
      <c r="Z261" s="100" t="s">
        <v>4898</v>
      </c>
      <c r="AA261" s="100" t="s">
        <v>3371</v>
      </c>
      <c r="AB261" s="100" t="s">
        <v>3372</v>
      </c>
      <c r="AC261" s="100" t="s">
        <v>682</v>
      </c>
      <c r="AD261" s="100" t="s">
        <v>682</v>
      </c>
      <c r="AE261" s="100" t="s">
        <v>54</v>
      </c>
      <c r="AF261" s="100" t="s">
        <v>682</v>
      </c>
      <c r="AG261" s="100" t="s">
        <v>682</v>
      </c>
      <c r="AH261" s="100" t="s">
        <v>3373</v>
      </c>
      <c r="AI261" s="100" t="s">
        <v>682</v>
      </c>
      <c r="AJ261" s="100" t="s">
        <v>682</v>
      </c>
      <c r="AK261" s="100" t="s">
        <v>682</v>
      </c>
    </row>
    <row r="262" spans="1:37">
      <c r="A262" s="100" t="s">
        <v>7102</v>
      </c>
      <c r="B262" s="100" t="s">
        <v>7103</v>
      </c>
      <c r="C262" s="100" t="s">
        <v>682</v>
      </c>
      <c r="D262" s="100" t="s">
        <v>78</v>
      </c>
      <c r="E262" s="100" t="s">
        <v>7104</v>
      </c>
      <c r="F262" s="100" t="s">
        <v>238</v>
      </c>
      <c r="G262" s="100" t="s">
        <v>553</v>
      </c>
      <c r="H262" s="100" t="s">
        <v>2285</v>
      </c>
      <c r="I262" s="100" t="s">
        <v>7105</v>
      </c>
      <c r="J262" s="100" t="s">
        <v>682</v>
      </c>
      <c r="K262" s="100" t="s">
        <v>7106</v>
      </c>
      <c r="L262" s="100" t="s">
        <v>682</v>
      </c>
      <c r="M262" s="100" t="s">
        <v>682</v>
      </c>
      <c r="N262" s="100" t="s">
        <v>682</v>
      </c>
      <c r="O262" s="100" t="s">
        <v>7107</v>
      </c>
      <c r="P262" s="100" t="s">
        <v>7108</v>
      </c>
      <c r="Q262" s="100" t="s">
        <v>7109</v>
      </c>
      <c r="R262" s="100" t="s">
        <v>7110</v>
      </c>
      <c r="S262" s="100" t="s">
        <v>7111</v>
      </c>
      <c r="T262" s="100" t="s">
        <v>7112</v>
      </c>
      <c r="U262" s="100" t="s">
        <v>7113</v>
      </c>
      <c r="V262" s="100" t="s">
        <v>7114</v>
      </c>
      <c r="W262" s="100" t="s">
        <v>682</v>
      </c>
      <c r="X262" s="100" t="s">
        <v>7115</v>
      </c>
      <c r="Y262" s="100" t="s">
        <v>7116</v>
      </c>
      <c r="Z262" s="100" t="s">
        <v>7117</v>
      </c>
      <c r="AA262" s="100" t="s">
        <v>7118</v>
      </c>
      <c r="AB262" s="100" t="s">
        <v>7119</v>
      </c>
      <c r="AC262" s="100" t="s">
        <v>682</v>
      </c>
      <c r="AD262" s="100" t="s">
        <v>682</v>
      </c>
      <c r="AE262" s="100" t="s">
        <v>54</v>
      </c>
      <c r="AF262" s="100" t="s">
        <v>682</v>
      </c>
      <c r="AG262" s="100" t="s">
        <v>682</v>
      </c>
      <c r="AH262" s="100" t="s">
        <v>7120</v>
      </c>
      <c r="AI262" s="100" t="s">
        <v>682</v>
      </c>
      <c r="AJ262" s="100" t="s">
        <v>682</v>
      </c>
      <c r="AK262" s="100" t="s">
        <v>682</v>
      </c>
    </row>
    <row r="263" spans="1:37">
      <c r="A263" s="100" t="s">
        <v>3374</v>
      </c>
      <c r="B263" s="100" t="s">
        <v>3375</v>
      </c>
      <c r="C263" s="100" t="s">
        <v>682</v>
      </c>
      <c r="D263" s="100" t="s">
        <v>79</v>
      </c>
      <c r="E263" s="100" t="s">
        <v>3376</v>
      </c>
      <c r="F263" s="100" t="s">
        <v>235</v>
      </c>
      <c r="G263" s="100" t="s">
        <v>657</v>
      </c>
      <c r="H263" s="100" t="s">
        <v>682</v>
      </c>
      <c r="I263" s="100" t="s">
        <v>4899</v>
      </c>
      <c r="J263" s="100" t="s">
        <v>682</v>
      </c>
      <c r="K263" s="100" t="s">
        <v>3377</v>
      </c>
      <c r="L263" s="100" t="s">
        <v>682</v>
      </c>
      <c r="M263" s="100" t="s">
        <v>682</v>
      </c>
      <c r="N263" s="100" t="s">
        <v>682</v>
      </c>
      <c r="O263" s="100" t="s">
        <v>5713</v>
      </c>
      <c r="P263" s="100" t="s">
        <v>3378</v>
      </c>
      <c r="Q263" s="100" t="s">
        <v>3379</v>
      </c>
      <c r="R263" s="100" t="s">
        <v>5714</v>
      </c>
      <c r="S263" s="100" t="s">
        <v>5715</v>
      </c>
      <c r="T263" s="100" t="s">
        <v>4900</v>
      </c>
      <c r="U263" s="100" t="s">
        <v>3380</v>
      </c>
      <c r="V263" s="100" t="s">
        <v>3381</v>
      </c>
      <c r="W263" s="100" t="s">
        <v>682</v>
      </c>
      <c r="X263" s="100" t="s">
        <v>3382</v>
      </c>
      <c r="Y263" s="100" t="s">
        <v>4901</v>
      </c>
      <c r="Z263" s="100" t="s">
        <v>4902</v>
      </c>
      <c r="AA263" s="100" t="s">
        <v>3383</v>
      </c>
      <c r="AB263" s="100" t="s">
        <v>3384</v>
      </c>
      <c r="AC263" s="100" t="s">
        <v>682</v>
      </c>
      <c r="AD263" s="100" t="s">
        <v>682</v>
      </c>
      <c r="AE263" s="100" t="s">
        <v>54</v>
      </c>
      <c r="AF263" s="100" t="s">
        <v>682</v>
      </c>
      <c r="AG263" s="100" t="s">
        <v>682</v>
      </c>
      <c r="AH263" s="100" t="s">
        <v>3385</v>
      </c>
      <c r="AI263" s="100" t="s">
        <v>682</v>
      </c>
      <c r="AJ263" s="100" t="s">
        <v>682</v>
      </c>
      <c r="AK263" s="100" t="s">
        <v>682</v>
      </c>
    </row>
    <row r="264" spans="1:37">
      <c r="A264" s="100" t="s">
        <v>3386</v>
      </c>
      <c r="B264" s="100" t="s">
        <v>3387</v>
      </c>
      <c r="C264" s="100" t="s">
        <v>682</v>
      </c>
      <c r="D264" s="100" t="s">
        <v>79</v>
      </c>
      <c r="E264" s="100" t="s">
        <v>3388</v>
      </c>
      <c r="F264" s="100" t="s">
        <v>235</v>
      </c>
      <c r="G264" s="100" t="s">
        <v>658</v>
      </c>
      <c r="H264" s="100" t="s">
        <v>682</v>
      </c>
      <c r="I264" s="100" t="s">
        <v>4903</v>
      </c>
      <c r="J264" s="100" t="s">
        <v>682</v>
      </c>
      <c r="K264" s="100" t="s">
        <v>3390</v>
      </c>
      <c r="L264" s="100" t="s">
        <v>682</v>
      </c>
      <c r="M264" s="100" t="s">
        <v>682</v>
      </c>
      <c r="N264" s="100" t="s">
        <v>682</v>
      </c>
      <c r="O264" s="100" t="s">
        <v>5716</v>
      </c>
      <c r="P264" s="100" t="s">
        <v>3391</v>
      </c>
      <c r="Q264" s="100" t="s">
        <v>3392</v>
      </c>
      <c r="R264" s="100" t="s">
        <v>5717</v>
      </c>
      <c r="S264" s="100" t="s">
        <v>5718</v>
      </c>
      <c r="T264" s="100" t="s">
        <v>4904</v>
      </c>
      <c r="U264" s="100" t="s">
        <v>3393</v>
      </c>
      <c r="V264" s="100" t="s">
        <v>3394</v>
      </c>
      <c r="W264" s="100" t="s">
        <v>682</v>
      </c>
      <c r="X264" s="100" t="s">
        <v>3395</v>
      </c>
      <c r="Y264" s="100" t="s">
        <v>4905</v>
      </c>
      <c r="Z264" s="100" t="s">
        <v>4906</v>
      </c>
      <c r="AA264" s="100" t="s">
        <v>3396</v>
      </c>
      <c r="AB264" s="100" t="s">
        <v>3397</v>
      </c>
      <c r="AC264" s="100" t="s">
        <v>682</v>
      </c>
      <c r="AD264" s="100" t="s">
        <v>682</v>
      </c>
      <c r="AE264" s="100" t="s">
        <v>54</v>
      </c>
      <c r="AF264" s="100" t="s">
        <v>682</v>
      </c>
      <c r="AG264" s="100" t="s">
        <v>682</v>
      </c>
      <c r="AH264" s="100" t="s">
        <v>3398</v>
      </c>
      <c r="AI264" s="100" t="s">
        <v>682</v>
      </c>
      <c r="AJ264" s="100" t="s">
        <v>682</v>
      </c>
      <c r="AK264" s="100" t="s">
        <v>682</v>
      </c>
    </row>
    <row r="265" spans="1:37">
      <c r="A265" s="100" t="s">
        <v>3399</v>
      </c>
      <c r="B265" s="100" t="s">
        <v>3400</v>
      </c>
      <c r="C265" s="100" t="s">
        <v>682</v>
      </c>
      <c r="D265" s="100" t="s">
        <v>79</v>
      </c>
      <c r="E265" s="100" t="s">
        <v>3401</v>
      </c>
      <c r="F265" s="100" t="s">
        <v>235</v>
      </c>
      <c r="G265" s="100" t="s">
        <v>82</v>
      </c>
      <c r="H265" s="100" t="s">
        <v>682</v>
      </c>
      <c r="I265" s="100" t="s">
        <v>4907</v>
      </c>
      <c r="J265" s="100" t="s">
        <v>682</v>
      </c>
      <c r="K265" s="100" t="s">
        <v>3402</v>
      </c>
      <c r="L265" s="100" t="s">
        <v>682</v>
      </c>
      <c r="M265" s="100" t="s">
        <v>682</v>
      </c>
      <c r="N265" s="100" t="s">
        <v>682</v>
      </c>
      <c r="O265" s="100" t="s">
        <v>5719</v>
      </c>
      <c r="P265" s="100" t="s">
        <v>3403</v>
      </c>
      <c r="Q265" s="100" t="s">
        <v>3404</v>
      </c>
      <c r="R265" s="100" t="s">
        <v>5720</v>
      </c>
      <c r="S265" s="100" t="s">
        <v>5721</v>
      </c>
      <c r="T265" s="100" t="s">
        <v>4908</v>
      </c>
      <c r="U265" s="100" t="s">
        <v>3405</v>
      </c>
      <c r="V265" s="100" t="s">
        <v>3406</v>
      </c>
      <c r="W265" s="100" t="s">
        <v>682</v>
      </c>
      <c r="X265" s="100" t="s">
        <v>3407</v>
      </c>
      <c r="Y265" s="100" t="s">
        <v>4909</v>
      </c>
      <c r="Z265" s="100" t="s">
        <v>4910</v>
      </c>
      <c r="AA265" s="100" t="s">
        <v>3408</v>
      </c>
      <c r="AB265" s="100" t="s">
        <v>3409</v>
      </c>
      <c r="AC265" s="100" t="s">
        <v>682</v>
      </c>
      <c r="AD265" s="100" t="s">
        <v>682</v>
      </c>
      <c r="AE265" s="100" t="s">
        <v>54</v>
      </c>
      <c r="AF265" s="100" t="s">
        <v>682</v>
      </c>
      <c r="AG265" s="100" t="s">
        <v>682</v>
      </c>
      <c r="AH265" s="100" t="s">
        <v>3410</v>
      </c>
      <c r="AI265" s="100" t="s">
        <v>682</v>
      </c>
      <c r="AJ265" s="100" t="s">
        <v>682</v>
      </c>
      <c r="AK265" s="100" t="s">
        <v>682</v>
      </c>
    </row>
    <row r="266" spans="1:37">
      <c r="A266" s="100" t="s">
        <v>3411</v>
      </c>
      <c r="B266" s="100" t="s">
        <v>3412</v>
      </c>
      <c r="C266" s="100" t="s">
        <v>682</v>
      </c>
      <c r="D266" s="100" t="s">
        <v>83</v>
      </c>
      <c r="E266" s="100" t="s">
        <v>3413</v>
      </c>
      <c r="F266" s="100" t="s">
        <v>156</v>
      </c>
      <c r="G266" s="100" t="s">
        <v>84</v>
      </c>
      <c r="H266" s="100" t="s">
        <v>682</v>
      </c>
      <c r="I266" s="100" t="s">
        <v>4911</v>
      </c>
      <c r="J266" s="100" t="s">
        <v>682</v>
      </c>
      <c r="K266" s="100" t="s">
        <v>3414</v>
      </c>
      <c r="L266" s="100" t="s">
        <v>682</v>
      </c>
      <c r="M266" s="100" t="s">
        <v>682</v>
      </c>
      <c r="N266" s="100" t="s">
        <v>682</v>
      </c>
      <c r="O266" s="100" t="s">
        <v>5722</v>
      </c>
      <c r="P266" s="100" t="s">
        <v>3415</v>
      </c>
      <c r="Q266" s="100" t="s">
        <v>3416</v>
      </c>
      <c r="R266" s="100" t="s">
        <v>5723</v>
      </c>
      <c r="S266" s="100" t="s">
        <v>5724</v>
      </c>
      <c r="T266" s="100" t="s">
        <v>4912</v>
      </c>
      <c r="U266" s="100" t="s">
        <v>3417</v>
      </c>
      <c r="V266" s="100" t="s">
        <v>3418</v>
      </c>
      <c r="W266" s="100" t="s">
        <v>682</v>
      </c>
      <c r="X266" s="100" t="s">
        <v>3419</v>
      </c>
      <c r="Y266" s="100" t="s">
        <v>4913</v>
      </c>
      <c r="Z266" s="100" t="s">
        <v>4914</v>
      </c>
      <c r="AA266" s="100" t="s">
        <v>3420</v>
      </c>
      <c r="AB266" s="100" t="s">
        <v>3421</v>
      </c>
      <c r="AC266" s="100" t="s">
        <v>682</v>
      </c>
      <c r="AD266" s="100" t="s">
        <v>682</v>
      </c>
      <c r="AE266" s="100" t="s">
        <v>54</v>
      </c>
      <c r="AF266" s="100" t="s">
        <v>682</v>
      </c>
      <c r="AG266" s="100" t="s">
        <v>682</v>
      </c>
      <c r="AH266" s="100" t="s">
        <v>3422</v>
      </c>
      <c r="AI266" s="100" t="s">
        <v>682</v>
      </c>
      <c r="AJ266" s="100" t="s">
        <v>682</v>
      </c>
      <c r="AK266" s="100" t="s">
        <v>682</v>
      </c>
    </row>
    <row r="267" spans="1:37">
      <c r="A267" s="100" t="s">
        <v>7121</v>
      </c>
      <c r="B267" s="100" t="s">
        <v>7122</v>
      </c>
      <c r="C267" s="100" t="s">
        <v>682</v>
      </c>
      <c r="D267" s="100" t="s">
        <v>85</v>
      </c>
      <c r="E267" s="100" t="s">
        <v>7123</v>
      </c>
      <c r="F267" s="100" t="s">
        <v>156</v>
      </c>
      <c r="G267" s="100" t="s">
        <v>86</v>
      </c>
      <c r="H267" s="100" t="s">
        <v>682</v>
      </c>
      <c r="I267" s="100" t="s">
        <v>7124</v>
      </c>
      <c r="J267" s="100" t="s">
        <v>682</v>
      </c>
      <c r="K267" s="100" t="s">
        <v>7125</v>
      </c>
      <c r="L267" s="100" t="s">
        <v>682</v>
      </c>
      <c r="M267" s="100" t="s">
        <v>682</v>
      </c>
      <c r="N267" s="100" t="s">
        <v>682</v>
      </c>
      <c r="O267" s="100" t="s">
        <v>7126</v>
      </c>
      <c r="P267" s="100" t="s">
        <v>7127</v>
      </c>
      <c r="Q267" s="100" t="s">
        <v>7128</v>
      </c>
      <c r="R267" s="100" t="s">
        <v>7129</v>
      </c>
      <c r="S267" s="100" t="s">
        <v>7130</v>
      </c>
      <c r="T267" s="100" t="s">
        <v>7131</v>
      </c>
      <c r="U267" s="100" t="s">
        <v>7132</v>
      </c>
      <c r="V267" s="100" t="s">
        <v>7133</v>
      </c>
      <c r="W267" s="100" t="s">
        <v>682</v>
      </c>
      <c r="X267" s="100" t="s">
        <v>7134</v>
      </c>
      <c r="Y267" s="100" t="s">
        <v>7135</v>
      </c>
      <c r="Z267" s="100" t="s">
        <v>7136</v>
      </c>
      <c r="AA267" s="100" t="s">
        <v>7137</v>
      </c>
      <c r="AB267" s="100" t="s">
        <v>7138</v>
      </c>
      <c r="AC267" s="100" t="s">
        <v>682</v>
      </c>
      <c r="AD267" s="100" t="s">
        <v>682</v>
      </c>
      <c r="AE267" s="100" t="s">
        <v>54</v>
      </c>
      <c r="AF267" s="100" t="s">
        <v>682</v>
      </c>
      <c r="AG267" s="100" t="s">
        <v>682</v>
      </c>
      <c r="AH267" s="100" t="s">
        <v>7139</v>
      </c>
      <c r="AI267" s="100" t="s">
        <v>682</v>
      </c>
      <c r="AJ267" s="100" t="s">
        <v>682</v>
      </c>
      <c r="AK267" s="100" t="s">
        <v>682</v>
      </c>
    </row>
    <row r="268" spans="1:37">
      <c r="A268" s="100" t="s">
        <v>3423</v>
      </c>
      <c r="B268" s="100" t="s">
        <v>3424</v>
      </c>
      <c r="C268" s="100" t="s">
        <v>682</v>
      </c>
      <c r="D268" s="100" t="s">
        <v>2477</v>
      </c>
      <c r="E268" s="100" t="s">
        <v>3425</v>
      </c>
      <c r="F268" s="100" t="s">
        <v>208</v>
      </c>
      <c r="G268" s="100" t="s">
        <v>659</v>
      </c>
      <c r="H268" s="100" t="s">
        <v>682</v>
      </c>
      <c r="I268" s="100" t="s">
        <v>4915</v>
      </c>
      <c r="J268" s="100" t="s">
        <v>682</v>
      </c>
      <c r="K268" s="100" t="s">
        <v>3426</v>
      </c>
      <c r="L268" s="100" t="s">
        <v>682</v>
      </c>
      <c r="M268" s="100" t="s">
        <v>682</v>
      </c>
      <c r="N268" s="100" t="s">
        <v>682</v>
      </c>
      <c r="O268" s="100" t="s">
        <v>5725</v>
      </c>
      <c r="P268" s="100" t="s">
        <v>3427</v>
      </c>
      <c r="Q268" s="100" t="s">
        <v>3428</v>
      </c>
      <c r="R268" s="100" t="s">
        <v>5726</v>
      </c>
      <c r="S268" s="100" t="s">
        <v>5727</v>
      </c>
      <c r="T268" s="100" t="s">
        <v>4916</v>
      </c>
      <c r="U268" s="100" t="s">
        <v>3429</v>
      </c>
      <c r="V268" s="100" t="s">
        <v>3430</v>
      </c>
      <c r="W268" s="100" t="s">
        <v>682</v>
      </c>
      <c r="X268" s="100" t="s">
        <v>3431</v>
      </c>
      <c r="Y268" s="100" t="s">
        <v>4917</v>
      </c>
      <c r="Z268" s="100" t="s">
        <v>4918</v>
      </c>
      <c r="AA268" s="100" t="s">
        <v>3432</v>
      </c>
      <c r="AB268" s="100" t="s">
        <v>3433</v>
      </c>
      <c r="AC268" s="100" t="s">
        <v>682</v>
      </c>
      <c r="AD268" s="100" t="s">
        <v>682</v>
      </c>
      <c r="AE268" s="100" t="s">
        <v>54</v>
      </c>
      <c r="AF268" s="100" t="s">
        <v>682</v>
      </c>
      <c r="AG268" s="100" t="s">
        <v>682</v>
      </c>
      <c r="AH268" s="100" t="s">
        <v>3434</v>
      </c>
      <c r="AI268" s="100" t="s">
        <v>682</v>
      </c>
      <c r="AJ268" s="100" t="s">
        <v>682</v>
      </c>
      <c r="AK268" s="100" t="s">
        <v>682</v>
      </c>
    </row>
    <row r="269" spans="1:37">
      <c r="A269" s="100" t="s">
        <v>3435</v>
      </c>
      <c r="B269" s="100" t="s">
        <v>3436</v>
      </c>
      <c r="C269" s="100" t="s">
        <v>682</v>
      </c>
      <c r="D269" s="100" t="s">
        <v>92</v>
      </c>
      <c r="E269" s="100" t="s">
        <v>3437</v>
      </c>
      <c r="F269" s="100" t="s">
        <v>296</v>
      </c>
      <c r="G269" s="100" t="s">
        <v>660</v>
      </c>
      <c r="H269" s="100" t="s">
        <v>682</v>
      </c>
      <c r="I269" s="100" t="s">
        <v>4919</v>
      </c>
      <c r="J269" s="100" t="s">
        <v>682</v>
      </c>
      <c r="K269" s="100" t="s">
        <v>3438</v>
      </c>
      <c r="L269" s="100" t="s">
        <v>682</v>
      </c>
      <c r="M269" s="100" t="s">
        <v>682</v>
      </c>
      <c r="N269" s="100" t="s">
        <v>682</v>
      </c>
      <c r="O269" s="100" t="s">
        <v>5728</v>
      </c>
      <c r="P269" s="100" t="s">
        <v>3439</v>
      </c>
      <c r="Q269" s="100" t="s">
        <v>3440</v>
      </c>
      <c r="R269" s="100" t="s">
        <v>5729</v>
      </c>
      <c r="S269" s="100" t="s">
        <v>5730</v>
      </c>
      <c r="T269" s="100" t="s">
        <v>4920</v>
      </c>
      <c r="U269" s="100" t="s">
        <v>3441</v>
      </c>
      <c r="V269" s="100" t="s">
        <v>3442</v>
      </c>
      <c r="W269" s="100" t="s">
        <v>682</v>
      </c>
      <c r="X269" s="100" t="s">
        <v>3443</v>
      </c>
      <c r="Y269" s="100" t="s">
        <v>4921</v>
      </c>
      <c r="Z269" s="100" t="s">
        <v>4922</v>
      </c>
      <c r="AA269" s="100" t="s">
        <v>3444</v>
      </c>
      <c r="AB269" s="100" t="s">
        <v>3445</v>
      </c>
      <c r="AC269" s="100" t="s">
        <v>682</v>
      </c>
      <c r="AD269" s="100" t="s">
        <v>682</v>
      </c>
      <c r="AE269" s="100" t="s">
        <v>54</v>
      </c>
      <c r="AF269" s="100" t="s">
        <v>682</v>
      </c>
      <c r="AG269" s="100" t="s">
        <v>682</v>
      </c>
      <c r="AH269" s="100" t="s">
        <v>3446</v>
      </c>
      <c r="AI269" s="100" t="s">
        <v>682</v>
      </c>
      <c r="AJ269" s="100" t="s">
        <v>682</v>
      </c>
      <c r="AK269" s="100" t="s">
        <v>682</v>
      </c>
    </row>
    <row r="270" spans="1:37">
      <c r="A270" s="100" t="s">
        <v>3447</v>
      </c>
      <c r="B270" s="100" t="s">
        <v>3448</v>
      </c>
      <c r="C270" s="100" t="s">
        <v>682</v>
      </c>
      <c r="D270" s="100" t="s">
        <v>89</v>
      </c>
      <c r="E270" s="100" t="s">
        <v>3449</v>
      </c>
      <c r="F270" s="100" t="s">
        <v>297</v>
      </c>
      <c r="G270" s="100" t="s">
        <v>661</v>
      </c>
      <c r="H270" s="100" t="s">
        <v>682</v>
      </c>
      <c r="I270" s="100" t="s">
        <v>4923</v>
      </c>
      <c r="J270" s="100" t="s">
        <v>682</v>
      </c>
      <c r="K270" s="100" t="s">
        <v>3450</v>
      </c>
      <c r="L270" s="100" t="s">
        <v>682</v>
      </c>
      <c r="M270" s="100" t="s">
        <v>682</v>
      </c>
      <c r="N270" s="100" t="s">
        <v>682</v>
      </c>
      <c r="O270" s="100" t="s">
        <v>5731</v>
      </c>
      <c r="P270" s="100" t="s">
        <v>3451</v>
      </c>
      <c r="Q270" s="100" t="s">
        <v>3452</v>
      </c>
      <c r="R270" s="100" t="s">
        <v>5732</v>
      </c>
      <c r="S270" s="100" t="s">
        <v>5733</v>
      </c>
      <c r="T270" s="100" t="s">
        <v>4924</v>
      </c>
      <c r="U270" s="100" t="s">
        <v>3453</v>
      </c>
      <c r="V270" s="100" t="s">
        <v>3454</v>
      </c>
      <c r="W270" s="100" t="s">
        <v>682</v>
      </c>
      <c r="X270" s="100" t="s">
        <v>3455</v>
      </c>
      <c r="Y270" s="100" t="s">
        <v>4925</v>
      </c>
      <c r="Z270" s="100" t="s">
        <v>4926</v>
      </c>
      <c r="AA270" s="100" t="s">
        <v>3456</v>
      </c>
      <c r="AB270" s="100" t="s">
        <v>3457</v>
      </c>
      <c r="AC270" s="100" t="s">
        <v>682</v>
      </c>
      <c r="AD270" s="100" t="s">
        <v>682</v>
      </c>
      <c r="AE270" s="100" t="s">
        <v>54</v>
      </c>
      <c r="AF270" s="100" t="s">
        <v>682</v>
      </c>
      <c r="AG270" s="100" t="s">
        <v>682</v>
      </c>
      <c r="AH270" s="100" t="s">
        <v>3458</v>
      </c>
      <c r="AI270" s="100" t="s">
        <v>682</v>
      </c>
      <c r="AJ270" s="100" t="s">
        <v>682</v>
      </c>
      <c r="AK270" s="100" t="s">
        <v>682</v>
      </c>
    </row>
    <row r="271" spans="1:37">
      <c r="A271" s="100" t="s">
        <v>3459</v>
      </c>
      <c r="B271" s="100" t="s">
        <v>3460</v>
      </c>
      <c r="C271" s="100" t="s">
        <v>682</v>
      </c>
      <c r="D271" s="100" t="s">
        <v>89</v>
      </c>
      <c r="E271" s="100" t="s">
        <v>3461</v>
      </c>
      <c r="F271" s="100" t="s">
        <v>300</v>
      </c>
      <c r="G271" s="100" t="s">
        <v>91</v>
      </c>
      <c r="H271" s="100" t="s">
        <v>682</v>
      </c>
      <c r="I271" s="100" t="s">
        <v>4927</v>
      </c>
      <c r="J271" s="100" t="s">
        <v>682</v>
      </c>
      <c r="K271" s="100" t="s">
        <v>3462</v>
      </c>
      <c r="L271" s="100" t="s">
        <v>682</v>
      </c>
      <c r="M271" s="100" t="s">
        <v>682</v>
      </c>
      <c r="N271" s="100" t="s">
        <v>682</v>
      </c>
      <c r="O271" s="100" t="s">
        <v>5734</v>
      </c>
      <c r="P271" s="100" t="s">
        <v>3463</v>
      </c>
      <c r="Q271" s="100" t="s">
        <v>3464</v>
      </c>
      <c r="R271" s="100" t="s">
        <v>5735</v>
      </c>
      <c r="S271" s="100" t="s">
        <v>5736</v>
      </c>
      <c r="T271" s="100" t="s">
        <v>4928</v>
      </c>
      <c r="U271" s="100" t="s">
        <v>3465</v>
      </c>
      <c r="V271" s="100" t="s">
        <v>3466</v>
      </c>
      <c r="W271" s="100" t="s">
        <v>682</v>
      </c>
      <c r="X271" s="100" t="s">
        <v>3467</v>
      </c>
      <c r="Y271" s="100" t="s">
        <v>4929</v>
      </c>
      <c r="Z271" s="100" t="s">
        <v>4930</v>
      </c>
      <c r="AA271" s="100" t="s">
        <v>3468</v>
      </c>
      <c r="AB271" s="100" t="s">
        <v>3469</v>
      </c>
      <c r="AC271" s="100" t="s">
        <v>682</v>
      </c>
      <c r="AD271" s="100" t="s">
        <v>682</v>
      </c>
      <c r="AE271" s="100" t="s">
        <v>54</v>
      </c>
      <c r="AF271" s="100" t="s">
        <v>682</v>
      </c>
      <c r="AG271" s="100" t="s">
        <v>682</v>
      </c>
      <c r="AH271" s="100" t="s">
        <v>3470</v>
      </c>
      <c r="AI271" s="100" t="s">
        <v>682</v>
      </c>
      <c r="AJ271" s="100" t="s">
        <v>682</v>
      </c>
      <c r="AK271" s="100" t="s">
        <v>682</v>
      </c>
    </row>
    <row r="272" spans="1:37">
      <c r="A272" s="100" t="s">
        <v>3471</v>
      </c>
      <c r="B272" s="100" t="s">
        <v>3472</v>
      </c>
      <c r="C272" s="100" t="s">
        <v>682</v>
      </c>
      <c r="D272" s="100" t="s">
        <v>89</v>
      </c>
      <c r="E272" s="100" t="s">
        <v>3473</v>
      </c>
      <c r="F272" s="100" t="s">
        <v>299</v>
      </c>
      <c r="G272" s="100" t="s">
        <v>662</v>
      </c>
      <c r="H272" s="100" t="s">
        <v>682</v>
      </c>
      <c r="I272" s="100" t="s">
        <v>4931</v>
      </c>
      <c r="J272" s="100" t="s">
        <v>682</v>
      </c>
      <c r="K272" s="100" t="s">
        <v>3474</v>
      </c>
      <c r="L272" s="100" t="s">
        <v>682</v>
      </c>
      <c r="M272" s="100" t="s">
        <v>682</v>
      </c>
      <c r="N272" s="100" t="s">
        <v>682</v>
      </c>
      <c r="O272" s="100" t="s">
        <v>5737</v>
      </c>
      <c r="P272" s="100" t="s">
        <v>3475</v>
      </c>
      <c r="Q272" s="100" t="s">
        <v>3476</v>
      </c>
      <c r="R272" s="100" t="s">
        <v>5738</v>
      </c>
      <c r="S272" s="100" t="s">
        <v>5739</v>
      </c>
      <c r="T272" s="100" t="s">
        <v>4932</v>
      </c>
      <c r="U272" s="100" t="s">
        <v>3477</v>
      </c>
      <c r="V272" s="100" t="s">
        <v>3478</v>
      </c>
      <c r="W272" s="100" t="s">
        <v>682</v>
      </c>
      <c r="X272" s="100" t="s">
        <v>3479</v>
      </c>
      <c r="Y272" s="100" t="s">
        <v>4933</v>
      </c>
      <c r="Z272" s="100" t="s">
        <v>4934</v>
      </c>
      <c r="AA272" s="100" t="s">
        <v>3480</v>
      </c>
      <c r="AB272" s="100" t="s">
        <v>3481</v>
      </c>
      <c r="AC272" s="100" t="s">
        <v>682</v>
      </c>
      <c r="AD272" s="100" t="s">
        <v>682</v>
      </c>
      <c r="AE272" s="100" t="s">
        <v>54</v>
      </c>
      <c r="AF272" s="100" t="s">
        <v>682</v>
      </c>
      <c r="AG272" s="100" t="s">
        <v>682</v>
      </c>
      <c r="AH272" s="100" t="s">
        <v>3482</v>
      </c>
      <c r="AI272" s="100" t="s">
        <v>682</v>
      </c>
      <c r="AJ272" s="100" t="s">
        <v>682</v>
      </c>
      <c r="AK272" s="100" t="s">
        <v>682</v>
      </c>
    </row>
    <row r="273" spans="1:37">
      <c r="A273" s="100" t="s">
        <v>3483</v>
      </c>
      <c r="B273" s="100" t="s">
        <v>3484</v>
      </c>
      <c r="C273" s="100" t="s">
        <v>682</v>
      </c>
      <c r="D273" s="100" t="s">
        <v>89</v>
      </c>
      <c r="E273" s="100" t="s">
        <v>3485</v>
      </c>
      <c r="F273" s="100" t="s">
        <v>298</v>
      </c>
      <c r="G273" s="100" t="s">
        <v>200</v>
      </c>
      <c r="H273" s="100" t="s">
        <v>682</v>
      </c>
      <c r="I273" s="100" t="s">
        <v>4935</v>
      </c>
      <c r="J273" s="100" t="s">
        <v>682</v>
      </c>
      <c r="K273" s="100" t="s">
        <v>3486</v>
      </c>
      <c r="L273" s="100" t="s">
        <v>682</v>
      </c>
      <c r="M273" s="100" t="s">
        <v>682</v>
      </c>
      <c r="N273" s="100" t="s">
        <v>682</v>
      </c>
      <c r="O273" s="100" t="s">
        <v>5740</v>
      </c>
      <c r="P273" s="100" t="s">
        <v>3487</v>
      </c>
      <c r="Q273" s="100" t="s">
        <v>3488</v>
      </c>
      <c r="R273" s="100" t="s">
        <v>5741</v>
      </c>
      <c r="S273" s="100" t="s">
        <v>5742</v>
      </c>
      <c r="T273" s="100" t="s">
        <v>4936</v>
      </c>
      <c r="U273" s="100" t="s">
        <v>3489</v>
      </c>
      <c r="V273" s="100" t="s">
        <v>3490</v>
      </c>
      <c r="W273" s="100" t="s">
        <v>682</v>
      </c>
      <c r="X273" s="100" t="s">
        <v>3491</v>
      </c>
      <c r="Y273" s="100" t="s">
        <v>4937</v>
      </c>
      <c r="Z273" s="100" t="s">
        <v>4938</v>
      </c>
      <c r="AA273" s="100" t="s">
        <v>3492</v>
      </c>
      <c r="AB273" s="100" t="s">
        <v>3493</v>
      </c>
      <c r="AC273" s="100" t="s">
        <v>682</v>
      </c>
      <c r="AD273" s="100" t="s">
        <v>682</v>
      </c>
      <c r="AE273" s="100" t="s">
        <v>54</v>
      </c>
      <c r="AF273" s="100" t="s">
        <v>682</v>
      </c>
      <c r="AG273" s="100" t="s">
        <v>682</v>
      </c>
      <c r="AH273" s="100" t="s">
        <v>3494</v>
      </c>
      <c r="AI273" s="100" t="s">
        <v>682</v>
      </c>
      <c r="AJ273" s="100" t="s">
        <v>682</v>
      </c>
      <c r="AK273" s="100" t="s">
        <v>682</v>
      </c>
    </row>
    <row r="274" spans="1:37">
      <c r="A274" s="100" t="s">
        <v>3495</v>
      </c>
      <c r="B274" s="100" t="s">
        <v>3496</v>
      </c>
      <c r="C274" s="100" t="s">
        <v>682</v>
      </c>
      <c r="D274" s="100" t="s">
        <v>2619</v>
      </c>
      <c r="E274" s="100" t="s">
        <v>3497</v>
      </c>
      <c r="F274" s="100" t="s">
        <v>223</v>
      </c>
      <c r="G274" s="100" t="s">
        <v>440</v>
      </c>
      <c r="H274" s="100" t="s">
        <v>682</v>
      </c>
      <c r="I274" s="100" t="s">
        <v>4939</v>
      </c>
      <c r="J274" s="100" t="s">
        <v>682</v>
      </c>
      <c r="K274" s="100" t="s">
        <v>3498</v>
      </c>
      <c r="L274" s="100" t="s">
        <v>682</v>
      </c>
      <c r="M274" s="100" t="s">
        <v>682</v>
      </c>
      <c r="N274" s="100" t="s">
        <v>682</v>
      </c>
      <c r="O274" s="100" t="s">
        <v>5743</v>
      </c>
      <c r="P274" s="100" t="s">
        <v>3499</v>
      </c>
      <c r="Q274" s="100" t="s">
        <v>3500</v>
      </c>
      <c r="R274" s="100" t="s">
        <v>5744</v>
      </c>
      <c r="S274" s="100" t="s">
        <v>5745</v>
      </c>
      <c r="T274" s="100" t="s">
        <v>4940</v>
      </c>
      <c r="U274" s="100" t="s">
        <v>3501</v>
      </c>
      <c r="V274" s="100" t="s">
        <v>3502</v>
      </c>
      <c r="W274" s="100" t="s">
        <v>682</v>
      </c>
      <c r="X274" s="100" t="s">
        <v>3503</v>
      </c>
      <c r="Y274" s="100" t="s">
        <v>4941</v>
      </c>
      <c r="Z274" s="100" t="s">
        <v>4942</v>
      </c>
      <c r="AA274" s="100" t="s">
        <v>3504</v>
      </c>
      <c r="AB274" s="100" t="s">
        <v>3505</v>
      </c>
      <c r="AC274" s="100" t="s">
        <v>682</v>
      </c>
      <c r="AD274" s="100" t="s">
        <v>682</v>
      </c>
      <c r="AE274" s="100" t="s">
        <v>43</v>
      </c>
      <c r="AF274" s="100" t="s">
        <v>41</v>
      </c>
      <c r="AG274" s="100" t="s">
        <v>42</v>
      </c>
      <c r="AH274" s="100" t="s">
        <v>3506</v>
      </c>
      <c r="AI274" s="100" t="s">
        <v>682</v>
      </c>
      <c r="AJ274" s="100" t="s">
        <v>682</v>
      </c>
      <c r="AK274" s="100" t="s">
        <v>682</v>
      </c>
    </row>
    <row r="275" spans="1:37">
      <c r="A275" s="100" t="s">
        <v>3507</v>
      </c>
      <c r="B275" s="100" t="s">
        <v>3508</v>
      </c>
      <c r="C275" s="100" t="s">
        <v>682</v>
      </c>
      <c r="D275" s="100" t="s">
        <v>2619</v>
      </c>
      <c r="E275" s="100" t="s">
        <v>7140</v>
      </c>
      <c r="F275" s="100" t="s">
        <v>224</v>
      </c>
      <c r="G275" s="100" t="s">
        <v>440</v>
      </c>
      <c r="H275" s="100" t="s">
        <v>682</v>
      </c>
      <c r="I275" s="100" t="s">
        <v>4943</v>
      </c>
      <c r="J275" s="100" t="s">
        <v>682</v>
      </c>
      <c r="K275" s="100" t="s">
        <v>3509</v>
      </c>
      <c r="L275" s="100" t="s">
        <v>682</v>
      </c>
      <c r="M275" s="100" t="s">
        <v>682</v>
      </c>
      <c r="N275" s="100" t="s">
        <v>682</v>
      </c>
      <c r="O275" s="100" t="s">
        <v>5746</v>
      </c>
      <c r="P275" s="100" t="s">
        <v>3510</v>
      </c>
      <c r="Q275" s="100" t="s">
        <v>3511</v>
      </c>
      <c r="R275" s="100" t="s">
        <v>5747</v>
      </c>
      <c r="S275" s="100" t="s">
        <v>5748</v>
      </c>
      <c r="T275" s="100" t="s">
        <v>4944</v>
      </c>
      <c r="U275" s="100" t="s">
        <v>3512</v>
      </c>
      <c r="V275" s="100" t="s">
        <v>3513</v>
      </c>
      <c r="W275" s="100" t="s">
        <v>682</v>
      </c>
      <c r="X275" s="100" t="s">
        <v>3514</v>
      </c>
      <c r="Y275" s="100" t="s">
        <v>4945</v>
      </c>
      <c r="Z275" s="100" t="s">
        <v>4946</v>
      </c>
      <c r="AA275" s="100" t="s">
        <v>3515</v>
      </c>
      <c r="AB275" s="100" t="s">
        <v>3516</v>
      </c>
      <c r="AC275" s="100" t="s">
        <v>682</v>
      </c>
      <c r="AD275" s="100" t="s">
        <v>682</v>
      </c>
      <c r="AE275" s="100" t="s">
        <v>43</v>
      </c>
      <c r="AF275" s="100" t="s">
        <v>41</v>
      </c>
      <c r="AG275" s="100" t="s">
        <v>42</v>
      </c>
      <c r="AH275" s="100" t="s">
        <v>3517</v>
      </c>
      <c r="AI275" s="100" t="s">
        <v>682</v>
      </c>
      <c r="AJ275" s="100" t="s">
        <v>682</v>
      </c>
      <c r="AK275" s="100" t="s">
        <v>682</v>
      </c>
    </row>
    <row r="276" spans="1:37">
      <c r="A276" s="100" t="s">
        <v>3518</v>
      </c>
      <c r="B276" s="100" t="s">
        <v>3519</v>
      </c>
      <c r="C276" s="100" t="s">
        <v>682</v>
      </c>
      <c r="D276" s="100" t="s">
        <v>2619</v>
      </c>
      <c r="E276" s="100" t="s">
        <v>3520</v>
      </c>
      <c r="F276" s="100" t="s">
        <v>225</v>
      </c>
      <c r="G276" s="100" t="s">
        <v>367</v>
      </c>
      <c r="H276" s="100" t="s">
        <v>682</v>
      </c>
      <c r="I276" s="100" t="s">
        <v>4947</v>
      </c>
      <c r="J276" s="100" t="s">
        <v>682</v>
      </c>
      <c r="K276" s="100" t="s">
        <v>3521</v>
      </c>
      <c r="L276" s="100" t="s">
        <v>682</v>
      </c>
      <c r="M276" s="100" t="s">
        <v>682</v>
      </c>
      <c r="N276" s="100" t="s">
        <v>682</v>
      </c>
      <c r="O276" s="100" t="s">
        <v>5749</v>
      </c>
      <c r="P276" s="100" t="s">
        <v>3522</v>
      </c>
      <c r="Q276" s="100" t="s">
        <v>3523</v>
      </c>
      <c r="R276" s="100" t="s">
        <v>5750</v>
      </c>
      <c r="S276" s="100" t="s">
        <v>5751</v>
      </c>
      <c r="T276" s="100" t="s">
        <v>4948</v>
      </c>
      <c r="U276" s="100" t="s">
        <v>3524</v>
      </c>
      <c r="V276" s="100" t="s">
        <v>3525</v>
      </c>
      <c r="W276" s="100" t="s">
        <v>682</v>
      </c>
      <c r="X276" s="100" t="s">
        <v>3526</v>
      </c>
      <c r="Y276" s="100" t="s">
        <v>4949</v>
      </c>
      <c r="Z276" s="100" t="s">
        <v>4950</v>
      </c>
      <c r="AA276" s="100" t="s">
        <v>3527</v>
      </c>
      <c r="AB276" s="100" t="s">
        <v>3528</v>
      </c>
      <c r="AC276" s="100" t="s">
        <v>682</v>
      </c>
      <c r="AD276" s="100" t="s">
        <v>682</v>
      </c>
      <c r="AE276" s="100" t="s">
        <v>43</v>
      </c>
      <c r="AF276" s="100" t="s">
        <v>41</v>
      </c>
      <c r="AG276" s="100" t="s">
        <v>42</v>
      </c>
      <c r="AH276" s="100" t="s">
        <v>3529</v>
      </c>
      <c r="AI276" s="100" t="s">
        <v>682</v>
      </c>
      <c r="AJ276" s="100" t="s">
        <v>682</v>
      </c>
      <c r="AK276" s="100" t="s">
        <v>682</v>
      </c>
    </row>
    <row r="277" spans="1:37">
      <c r="A277" s="100" t="s">
        <v>3530</v>
      </c>
      <c r="B277" s="100" t="s">
        <v>3531</v>
      </c>
      <c r="C277" s="100" t="s">
        <v>682</v>
      </c>
      <c r="D277" s="100" t="s">
        <v>2619</v>
      </c>
      <c r="E277" s="100" t="s">
        <v>3532</v>
      </c>
      <c r="F277" s="100" t="s">
        <v>225</v>
      </c>
      <c r="G277" s="100" t="s">
        <v>440</v>
      </c>
      <c r="H277" s="100" t="s">
        <v>682</v>
      </c>
      <c r="I277" s="100" t="s">
        <v>4951</v>
      </c>
      <c r="J277" s="100" t="s">
        <v>682</v>
      </c>
      <c r="K277" s="100" t="s">
        <v>3533</v>
      </c>
      <c r="L277" s="100" t="s">
        <v>682</v>
      </c>
      <c r="M277" s="100" t="s">
        <v>682</v>
      </c>
      <c r="N277" s="100" t="s">
        <v>682</v>
      </c>
      <c r="O277" s="100" t="s">
        <v>5752</v>
      </c>
      <c r="P277" s="100" t="s">
        <v>3534</v>
      </c>
      <c r="Q277" s="100" t="s">
        <v>3535</v>
      </c>
      <c r="R277" s="100" t="s">
        <v>5753</v>
      </c>
      <c r="S277" s="100" t="s">
        <v>5754</v>
      </c>
      <c r="T277" s="100" t="s">
        <v>4952</v>
      </c>
      <c r="U277" s="100" t="s">
        <v>3536</v>
      </c>
      <c r="V277" s="100" t="s">
        <v>3537</v>
      </c>
      <c r="W277" s="100" t="s">
        <v>682</v>
      </c>
      <c r="X277" s="100" t="s">
        <v>3538</v>
      </c>
      <c r="Y277" s="100" t="s">
        <v>4953</v>
      </c>
      <c r="Z277" s="100" t="s">
        <v>4954</v>
      </c>
      <c r="AA277" s="100" t="s">
        <v>3539</v>
      </c>
      <c r="AB277" s="100" t="s">
        <v>3540</v>
      </c>
      <c r="AC277" s="100" t="s">
        <v>682</v>
      </c>
      <c r="AD277" s="100" t="s">
        <v>682</v>
      </c>
      <c r="AE277" s="100" t="s">
        <v>43</v>
      </c>
      <c r="AF277" s="100" t="s">
        <v>41</v>
      </c>
      <c r="AG277" s="100" t="s">
        <v>42</v>
      </c>
      <c r="AH277" s="100" t="s">
        <v>3541</v>
      </c>
      <c r="AI277" s="100" t="s">
        <v>682</v>
      </c>
      <c r="AJ277" s="100" t="s">
        <v>682</v>
      </c>
      <c r="AK277" s="100" t="s">
        <v>682</v>
      </c>
    </row>
    <row r="278" spans="1:37">
      <c r="A278" s="100" t="s">
        <v>3542</v>
      </c>
      <c r="B278" s="100" t="s">
        <v>3543</v>
      </c>
      <c r="C278" s="100" t="s">
        <v>682</v>
      </c>
      <c r="D278" s="100" t="s">
        <v>2619</v>
      </c>
      <c r="E278" s="100" t="s">
        <v>3544</v>
      </c>
      <c r="F278" s="100" t="s">
        <v>227</v>
      </c>
      <c r="G278" s="100" t="s">
        <v>440</v>
      </c>
      <c r="H278" s="100" t="s">
        <v>682</v>
      </c>
      <c r="I278" s="100" t="s">
        <v>4955</v>
      </c>
      <c r="J278" s="100" t="s">
        <v>682</v>
      </c>
      <c r="K278" s="100" t="s">
        <v>3545</v>
      </c>
      <c r="L278" s="100" t="s">
        <v>682</v>
      </c>
      <c r="M278" s="100" t="s">
        <v>682</v>
      </c>
      <c r="N278" s="100" t="s">
        <v>682</v>
      </c>
      <c r="O278" s="100" t="s">
        <v>5755</v>
      </c>
      <c r="P278" s="100" t="s">
        <v>3546</v>
      </c>
      <c r="Q278" s="100" t="s">
        <v>3547</v>
      </c>
      <c r="R278" s="100" t="s">
        <v>5756</v>
      </c>
      <c r="S278" s="100" t="s">
        <v>5757</v>
      </c>
      <c r="T278" s="100" t="s">
        <v>4956</v>
      </c>
      <c r="U278" s="100" t="s">
        <v>3548</v>
      </c>
      <c r="V278" s="100" t="s">
        <v>3549</v>
      </c>
      <c r="W278" s="100" t="s">
        <v>682</v>
      </c>
      <c r="X278" s="100" t="s">
        <v>3550</v>
      </c>
      <c r="Y278" s="100" t="s">
        <v>4957</v>
      </c>
      <c r="Z278" s="100" t="s">
        <v>4958</v>
      </c>
      <c r="AA278" s="100" t="s">
        <v>3551</v>
      </c>
      <c r="AB278" s="100" t="s">
        <v>3552</v>
      </c>
      <c r="AC278" s="100" t="s">
        <v>682</v>
      </c>
      <c r="AD278" s="100" t="s">
        <v>682</v>
      </c>
      <c r="AE278" s="100" t="s">
        <v>43</v>
      </c>
      <c r="AF278" s="100" t="s">
        <v>46</v>
      </c>
      <c r="AG278" s="100" t="s">
        <v>42</v>
      </c>
      <c r="AH278" s="100" t="s">
        <v>3553</v>
      </c>
      <c r="AI278" s="100" t="s">
        <v>682</v>
      </c>
      <c r="AJ278" s="100" t="s">
        <v>682</v>
      </c>
      <c r="AK278" s="100" t="s">
        <v>682</v>
      </c>
    </row>
    <row r="279" spans="1:37">
      <c r="A279" s="100" t="s">
        <v>3554</v>
      </c>
      <c r="B279" s="100" t="s">
        <v>3555</v>
      </c>
      <c r="C279" s="100" t="s">
        <v>682</v>
      </c>
      <c r="D279" s="100" t="s">
        <v>2619</v>
      </c>
      <c r="E279" s="100" t="s">
        <v>3556</v>
      </c>
      <c r="F279" s="100" t="s">
        <v>226</v>
      </c>
      <c r="G279" s="100" t="s">
        <v>440</v>
      </c>
      <c r="H279" s="100" t="s">
        <v>682</v>
      </c>
      <c r="I279" s="100" t="s">
        <v>4959</v>
      </c>
      <c r="J279" s="100" t="s">
        <v>682</v>
      </c>
      <c r="K279" s="100" t="s">
        <v>3557</v>
      </c>
      <c r="L279" s="100" t="s">
        <v>682</v>
      </c>
      <c r="M279" s="100" t="s">
        <v>682</v>
      </c>
      <c r="N279" s="100" t="s">
        <v>682</v>
      </c>
      <c r="O279" s="100" t="s">
        <v>5758</v>
      </c>
      <c r="P279" s="100" t="s">
        <v>3558</v>
      </c>
      <c r="Q279" s="100" t="s">
        <v>3559</v>
      </c>
      <c r="R279" s="100" t="s">
        <v>5759</v>
      </c>
      <c r="S279" s="100" t="s">
        <v>5760</v>
      </c>
      <c r="T279" s="100" t="s">
        <v>4960</v>
      </c>
      <c r="U279" s="100" t="s">
        <v>3560</v>
      </c>
      <c r="V279" s="100" t="s">
        <v>3561</v>
      </c>
      <c r="W279" s="100" t="s">
        <v>682</v>
      </c>
      <c r="X279" s="100" t="s">
        <v>3562</v>
      </c>
      <c r="Y279" s="100" t="s">
        <v>4961</v>
      </c>
      <c r="Z279" s="100" t="s">
        <v>4962</v>
      </c>
      <c r="AA279" s="100" t="s">
        <v>3563</v>
      </c>
      <c r="AB279" s="100" t="s">
        <v>3564</v>
      </c>
      <c r="AC279" s="100" t="s">
        <v>682</v>
      </c>
      <c r="AD279" s="100" t="s">
        <v>682</v>
      </c>
      <c r="AE279" s="100" t="s">
        <v>43</v>
      </c>
      <c r="AF279" s="100" t="s">
        <v>46</v>
      </c>
      <c r="AG279" s="100" t="s">
        <v>42</v>
      </c>
      <c r="AH279" s="100" t="s">
        <v>3565</v>
      </c>
      <c r="AI279" s="100" t="s">
        <v>682</v>
      </c>
      <c r="AJ279" s="100" t="s">
        <v>682</v>
      </c>
      <c r="AK279" s="100" t="s">
        <v>682</v>
      </c>
    </row>
    <row r="280" spans="1:37">
      <c r="A280" s="100" t="s">
        <v>3566</v>
      </c>
      <c r="B280" s="100" t="s">
        <v>3567</v>
      </c>
      <c r="C280" s="100" t="s">
        <v>682</v>
      </c>
      <c r="D280" s="100" t="s">
        <v>2619</v>
      </c>
      <c r="E280" s="100" t="s">
        <v>3568</v>
      </c>
      <c r="F280" s="100" t="s">
        <v>231</v>
      </c>
      <c r="G280" s="100" t="s">
        <v>440</v>
      </c>
      <c r="H280" s="100" t="s">
        <v>682</v>
      </c>
      <c r="I280" s="100" t="s">
        <v>4963</v>
      </c>
      <c r="J280" s="100" t="s">
        <v>682</v>
      </c>
      <c r="K280" s="100" t="s">
        <v>3569</v>
      </c>
      <c r="L280" s="100" t="s">
        <v>682</v>
      </c>
      <c r="M280" s="100" t="s">
        <v>682</v>
      </c>
      <c r="N280" s="100" t="s">
        <v>682</v>
      </c>
      <c r="O280" s="100" t="s">
        <v>5761</v>
      </c>
      <c r="P280" s="100" t="s">
        <v>3570</v>
      </c>
      <c r="Q280" s="100" t="s">
        <v>3571</v>
      </c>
      <c r="R280" s="100" t="s">
        <v>5762</v>
      </c>
      <c r="S280" s="100" t="s">
        <v>5763</v>
      </c>
      <c r="T280" s="100" t="s">
        <v>4964</v>
      </c>
      <c r="U280" s="100" t="s">
        <v>3572</v>
      </c>
      <c r="V280" s="100" t="s">
        <v>3573</v>
      </c>
      <c r="W280" s="100" t="s">
        <v>682</v>
      </c>
      <c r="X280" s="100" t="s">
        <v>3574</v>
      </c>
      <c r="Y280" s="100" t="s">
        <v>4965</v>
      </c>
      <c r="Z280" s="100" t="s">
        <v>4966</v>
      </c>
      <c r="AA280" s="100" t="s">
        <v>3575</v>
      </c>
      <c r="AB280" s="100" t="s">
        <v>3576</v>
      </c>
      <c r="AC280" s="100" t="s">
        <v>682</v>
      </c>
      <c r="AD280" s="100" t="s">
        <v>682</v>
      </c>
      <c r="AE280" s="100" t="s">
        <v>43</v>
      </c>
      <c r="AF280" s="100" t="s">
        <v>46</v>
      </c>
      <c r="AG280" s="100" t="s">
        <v>42</v>
      </c>
      <c r="AH280" s="100" t="s">
        <v>3577</v>
      </c>
      <c r="AI280" s="100" t="s">
        <v>682</v>
      </c>
      <c r="AJ280" s="100" t="s">
        <v>682</v>
      </c>
      <c r="AK280" s="100" t="s">
        <v>682</v>
      </c>
    </row>
    <row r="281" spans="1:37">
      <c r="A281" s="100" t="s">
        <v>3578</v>
      </c>
      <c r="B281" s="100" t="s">
        <v>3579</v>
      </c>
      <c r="C281" s="100" t="s">
        <v>682</v>
      </c>
      <c r="D281" s="100" t="s">
        <v>2619</v>
      </c>
      <c r="E281" s="100" t="s">
        <v>3580</v>
      </c>
      <c r="F281" s="100" t="s">
        <v>228</v>
      </c>
      <c r="G281" s="100" t="s">
        <v>440</v>
      </c>
      <c r="H281" s="100" t="s">
        <v>682</v>
      </c>
      <c r="I281" s="100" t="s">
        <v>4967</v>
      </c>
      <c r="J281" s="100" t="s">
        <v>682</v>
      </c>
      <c r="K281" s="100" t="s">
        <v>3581</v>
      </c>
      <c r="L281" s="100" t="s">
        <v>682</v>
      </c>
      <c r="M281" s="100" t="s">
        <v>682</v>
      </c>
      <c r="N281" s="100" t="s">
        <v>682</v>
      </c>
      <c r="O281" s="100" t="s">
        <v>5764</v>
      </c>
      <c r="P281" s="100" t="s">
        <v>3582</v>
      </c>
      <c r="Q281" s="100" t="s">
        <v>3583</v>
      </c>
      <c r="R281" s="100" t="s">
        <v>5765</v>
      </c>
      <c r="S281" s="100" t="s">
        <v>5766</v>
      </c>
      <c r="T281" s="100" t="s">
        <v>4968</v>
      </c>
      <c r="U281" s="100" t="s">
        <v>3584</v>
      </c>
      <c r="V281" s="100" t="s">
        <v>3585</v>
      </c>
      <c r="W281" s="100" t="s">
        <v>682</v>
      </c>
      <c r="X281" s="100" t="s">
        <v>3586</v>
      </c>
      <c r="Y281" s="100" t="s">
        <v>4969</v>
      </c>
      <c r="Z281" s="100" t="s">
        <v>4970</v>
      </c>
      <c r="AA281" s="100" t="s">
        <v>3587</v>
      </c>
      <c r="AB281" s="100" t="s">
        <v>3588</v>
      </c>
      <c r="AC281" s="100" t="s">
        <v>682</v>
      </c>
      <c r="AD281" s="100" t="s">
        <v>682</v>
      </c>
      <c r="AE281" s="100" t="s">
        <v>43</v>
      </c>
      <c r="AF281" s="100" t="s">
        <v>46</v>
      </c>
      <c r="AG281" s="100" t="s">
        <v>42</v>
      </c>
      <c r="AH281" s="100" t="s">
        <v>3589</v>
      </c>
      <c r="AI281" s="100" t="s">
        <v>682</v>
      </c>
      <c r="AJ281" s="100" t="s">
        <v>682</v>
      </c>
      <c r="AK281" s="100" t="s">
        <v>682</v>
      </c>
    </row>
    <row r="282" spans="1:37">
      <c r="A282" s="100" t="s">
        <v>3590</v>
      </c>
      <c r="B282" s="100" t="s">
        <v>3591</v>
      </c>
      <c r="C282" s="100" t="s">
        <v>682</v>
      </c>
      <c r="D282" s="100" t="s">
        <v>2619</v>
      </c>
      <c r="E282" s="100" t="s">
        <v>3592</v>
      </c>
      <c r="F282" s="100" t="s">
        <v>229</v>
      </c>
      <c r="G282" s="100" t="s">
        <v>682</v>
      </c>
      <c r="H282" s="100" t="s">
        <v>682</v>
      </c>
      <c r="I282" s="100" t="s">
        <v>4971</v>
      </c>
      <c r="J282" s="100" t="s">
        <v>682</v>
      </c>
      <c r="K282" s="100" t="s">
        <v>3593</v>
      </c>
      <c r="L282" s="100" t="s">
        <v>682</v>
      </c>
      <c r="M282" s="100" t="s">
        <v>682</v>
      </c>
      <c r="N282" s="100" t="s">
        <v>682</v>
      </c>
      <c r="O282" s="100" t="s">
        <v>5767</v>
      </c>
      <c r="P282" s="100" t="s">
        <v>3594</v>
      </c>
      <c r="Q282" s="100" t="s">
        <v>3595</v>
      </c>
      <c r="R282" s="100" t="s">
        <v>5768</v>
      </c>
      <c r="S282" s="100" t="s">
        <v>5769</v>
      </c>
      <c r="T282" s="100" t="s">
        <v>4972</v>
      </c>
      <c r="U282" s="100" t="s">
        <v>3596</v>
      </c>
      <c r="V282" s="100" t="s">
        <v>3597</v>
      </c>
      <c r="W282" s="100" t="s">
        <v>682</v>
      </c>
      <c r="X282" s="100" t="s">
        <v>3598</v>
      </c>
      <c r="Y282" s="100" t="s">
        <v>4973</v>
      </c>
      <c r="Z282" s="100" t="s">
        <v>4974</v>
      </c>
      <c r="AA282" s="100" t="s">
        <v>3599</v>
      </c>
      <c r="AB282" s="100" t="s">
        <v>3600</v>
      </c>
      <c r="AC282" s="100" t="s">
        <v>682</v>
      </c>
      <c r="AD282" s="100" t="s">
        <v>682</v>
      </c>
      <c r="AE282" s="100" t="s">
        <v>43</v>
      </c>
      <c r="AF282" s="100" t="s">
        <v>46</v>
      </c>
      <c r="AG282" s="100" t="s">
        <v>42</v>
      </c>
      <c r="AH282" s="100" t="s">
        <v>3601</v>
      </c>
      <c r="AI282" s="100" t="s">
        <v>682</v>
      </c>
      <c r="AJ282" s="100" t="s">
        <v>682</v>
      </c>
      <c r="AK282" s="100" t="s">
        <v>682</v>
      </c>
    </row>
    <row r="283" spans="1:37">
      <c r="A283" s="100" t="s">
        <v>3602</v>
      </c>
      <c r="B283" s="100" t="s">
        <v>3603</v>
      </c>
      <c r="C283" s="100" t="s">
        <v>682</v>
      </c>
      <c r="D283" s="100" t="s">
        <v>2619</v>
      </c>
      <c r="E283" s="100" t="s">
        <v>3604</v>
      </c>
      <c r="F283" s="100" t="s">
        <v>152</v>
      </c>
      <c r="G283" s="100" t="s">
        <v>663</v>
      </c>
      <c r="H283" s="100" t="s">
        <v>682</v>
      </c>
      <c r="I283" s="100" t="s">
        <v>4975</v>
      </c>
      <c r="J283" s="100" t="s">
        <v>682</v>
      </c>
      <c r="K283" s="100" t="s">
        <v>3605</v>
      </c>
      <c r="L283" s="100" t="s">
        <v>682</v>
      </c>
      <c r="M283" s="100" t="s">
        <v>682</v>
      </c>
      <c r="N283" s="100" t="s">
        <v>682</v>
      </c>
      <c r="O283" s="100" t="s">
        <v>5770</v>
      </c>
      <c r="P283" s="100" t="s">
        <v>3606</v>
      </c>
      <c r="Q283" s="100" t="s">
        <v>3607</v>
      </c>
      <c r="R283" s="100" t="s">
        <v>5771</v>
      </c>
      <c r="S283" s="100" t="s">
        <v>5772</v>
      </c>
      <c r="T283" s="100" t="s">
        <v>4976</v>
      </c>
      <c r="U283" s="100" t="s">
        <v>3608</v>
      </c>
      <c r="V283" s="100" t="s">
        <v>3609</v>
      </c>
      <c r="W283" s="100" t="s">
        <v>682</v>
      </c>
      <c r="X283" s="100" t="s">
        <v>3610</v>
      </c>
      <c r="Y283" s="100" t="s">
        <v>4977</v>
      </c>
      <c r="Z283" s="100" t="s">
        <v>4978</v>
      </c>
      <c r="AA283" s="100" t="s">
        <v>3611</v>
      </c>
      <c r="AB283" s="100" t="s">
        <v>3612</v>
      </c>
      <c r="AC283" s="100" t="s">
        <v>682</v>
      </c>
      <c r="AD283" s="100" t="s">
        <v>682</v>
      </c>
      <c r="AE283" s="100" t="s">
        <v>43</v>
      </c>
      <c r="AF283" s="100" t="s">
        <v>46</v>
      </c>
      <c r="AG283" s="100" t="s">
        <v>42</v>
      </c>
      <c r="AH283" s="100" t="s">
        <v>3613</v>
      </c>
      <c r="AI283" s="100" t="s">
        <v>682</v>
      </c>
      <c r="AJ283" s="100" t="s">
        <v>682</v>
      </c>
      <c r="AK283" s="100" t="s">
        <v>682</v>
      </c>
    </row>
    <row r="284" spans="1:37">
      <c r="A284" s="100" t="s">
        <v>3614</v>
      </c>
      <c r="B284" s="100" t="s">
        <v>3615</v>
      </c>
      <c r="C284" s="100" t="s">
        <v>682</v>
      </c>
      <c r="D284" s="100" t="s">
        <v>111</v>
      </c>
      <c r="E284" s="100" t="s">
        <v>682</v>
      </c>
      <c r="F284" s="100" t="s">
        <v>647</v>
      </c>
      <c r="G284" s="100" t="s">
        <v>673</v>
      </c>
      <c r="H284" s="100" t="s">
        <v>682</v>
      </c>
      <c r="I284" s="100" t="s">
        <v>4979</v>
      </c>
      <c r="J284" s="100" t="s">
        <v>682</v>
      </c>
      <c r="K284" s="100" t="s">
        <v>3617</v>
      </c>
      <c r="L284" s="100" t="s">
        <v>682</v>
      </c>
      <c r="M284" s="100" t="s">
        <v>682</v>
      </c>
      <c r="N284" s="100" t="s">
        <v>682</v>
      </c>
      <c r="O284" s="100" t="s">
        <v>5773</v>
      </c>
      <c r="P284" s="100" t="s">
        <v>3618</v>
      </c>
      <c r="Q284" s="100" t="s">
        <v>3619</v>
      </c>
      <c r="R284" s="100" t="s">
        <v>5774</v>
      </c>
      <c r="S284" s="100" t="s">
        <v>5775</v>
      </c>
      <c r="T284" s="100" t="s">
        <v>4980</v>
      </c>
      <c r="U284" s="100" t="s">
        <v>3620</v>
      </c>
      <c r="V284" s="100" t="s">
        <v>3621</v>
      </c>
      <c r="W284" s="100" t="s">
        <v>682</v>
      </c>
      <c r="X284" s="100" t="s">
        <v>3622</v>
      </c>
      <c r="Y284" s="100" t="s">
        <v>4981</v>
      </c>
      <c r="Z284" s="100" t="s">
        <v>4982</v>
      </c>
      <c r="AA284" s="100" t="s">
        <v>3623</v>
      </c>
      <c r="AB284" s="100" t="s">
        <v>3624</v>
      </c>
      <c r="AC284" s="100" t="s">
        <v>682</v>
      </c>
      <c r="AD284" s="100" t="s">
        <v>682</v>
      </c>
      <c r="AE284" s="100" t="s">
        <v>43</v>
      </c>
      <c r="AF284" s="100" t="s">
        <v>41</v>
      </c>
      <c r="AG284" s="100" t="s">
        <v>42</v>
      </c>
      <c r="AH284" s="100" t="s">
        <v>3625</v>
      </c>
      <c r="AI284" s="100" t="s">
        <v>682</v>
      </c>
      <c r="AJ284" s="100" t="s">
        <v>682</v>
      </c>
      <c r="AK284" s="100" t="s">
        <v>682</v>
      </c>
    </row>
    <row r="285" spans="1:37">
      <c r="A285" s="100" t="s">
        <v>3626</v>
      </c>
      <c r="B285" s="100" t="s">
        <v>3627</v>
      </c>
      <c r="C285" s="100" t="s">
        <v>682</v>
      </c>
      <c r="D285" s="100" t="s">
        <v>99</v>
      </c>
      <c r="E285" s="100" t="s">
        <v>3629</v>
      </c>
      <c r="F285" s="100" t="s">
        <v>155</v>
      </c>
      <c r="G285" s="100" t="s">
        <v>100</v>
      </c>
      <c r="H285" s="100" t="s">
        <v>3616</v>
      </c>
      <c r="I285" s="100" t="s">
        <v>4983</v>
      </c>
      <c r="J285" s="100" t="s">
        <v>682</v>
      </c>
      <c r="K285" s="100" t="s">
        <v>3631</v>
      </c>
      <c r="L285" s="100" t="s">
        <v>682</v>
      </c>
      <c r="M285" s="100" t="s">
        <v>682</v>
      </c>
      <c r="N285" s="100" t="s">
        <v>682</v>
      </c>
      <c r="O285" s="100" t="s">
        <v>5776</v>
      </c>
      <c r="P285" s="100" t="s">
        <v>3632</v>
      </c>
      <c r="Q285" s="100" t="s">
        <v>3633</v>
      </c>
      <c r="R285" s="100" t="s">
        <v>5777</v>
      </c>
      <c r="S285" s="100" t="s">
        <v>5778</v>
      </c>
      <c r="T285" s="100" t="s">
        <v>4984</v>
      </c>
      <c r="U285" s="100" t="s">
        <v>3634</v>
      </c>
      <c r="V285" s="100" t="s">
        <v>3635</v>
      </c>
      <c r="W285" s="100" t="s">
        <v>682</v>
      </c>
      <c r="X285" s="100" t="s">
        <v>3636</v>
      </c>
      <c r="Y285" s="100" t="s">
        <v>4985</v>
      </c>
      <c r="Z285" s="100" t="s">
        <v>4986</v>
      </c>
      <c r="AA285" s="100" t="s">
        <v>3637</v>
      </c>
      <c r="AB285" s="100" t="s">
        <v>3638</v>
      </c>
      <c r="AC285" s="100" t="s">
        <v>682</v>
      </c>
      <c r="AD285" s="100" t="s">
        <v>682</v>
      </c>
      <c r="AE285" s="100" t="s">
        <v>43</v>
      </c>
      <c r="AF285" s="100" t="s">
        <v>41</v>
      </c>
      <c r="AG285" s="100" t="s">
        <v>42</v>
      </c>
      <c r="AH285" s="100" t="s">
        <v>3639</v>
      </c>
      <c r="AI285" s="100" t="s">
        <v>682</v>
      </c>
      <c r="AJ285" s="100" t="s">
        <v>682</v>
      </c>
      <c r="AK285" s="100" t="s">
        <v>682</v>
      </c>
    </row>
    <row r="286" spans="1:37">
      <c r="A286" s="100" t="s">
        <v>3640</v>
      </c>
      <c r="B286" s="100" t="s">
        <v>3641</v>
      </c>
      <c r="C286" s="100" t="s">
        <v>682</v>
      </c>
      <c r="D286" s="100" t="s">
        <v>3628</v>
      </c>
      <c r="E286" s="100" t="s">
        <v>3643</v>
      </c>
      <c r="F286" s="100" t="s">
        <v>155</v>
      </c>
      <c r="G286" s="100" t="s">
        <v>664</v>
      </c>
      <c r="H286" s="100" t="s">
        <v>3630</v>
      </c>
      <c r="I286" s="100" t="s">
        <v>4987</v>
      </c>
      <c r="J286" s="100" t="s">
        <v>682</v>
      </c>
      <c r="K286" s="100" t="s">
        <v>3645</v>
      </c>
      <c r="L286" s="100" t="s">
        <v>682</v>
      </c>
      <c r="M286" s="100" t="s">
        <v>682</v>
      </c>
      <c r="N286" s="100" t="s">
        <v>682</v>
      </c>
      <c r="O286" s="100" t="s">
        <v>5779</v>
      </c>
      <c r="P286" s="100" t="s">
        <v>3646</v>
      </c>
      <c r="Q286" s="100" t="s">
        <v>3647</v>
      </c>
      <c r="R286" s="100" t="s">
        <v>5780</v>
      </c>
      <c r="S286" s="100" t="s">
        <v>5781</v>
      </c>
      <c r="T286" s="100" t="s">
        <v>4988</v>
      </c>
      <c r="U286" s="100" t="s">
        <v>3648</v>
      </c>
      <c r="V286" s="100" t="s">
        <v>3649</v>
      </c>
      <c r="W286" s="100" t="s">
        <v>682</v>
      </c>
      <c r="X286" s="100" t="s">
        <v>3650</v>
      </c>
      <c r="Y286" s="100" t="s">
        <v>4989</v>
      </c>
      <c r="Z286" s="100" t="s">
        <v>4990</v>
      </c>
      <c r="AA286" s="100" t="s">
        <v>3651</v>
      </c>
      <c r="AB286" s="100" t="s">
        <v>3652</v>
      </c>
      <c r="AC286" s="100" t="s">
        <v>682</v>
      </c>
      <c r="AD286" s="100" t="s">
        <v>682</v>
      </c>
      <c r="AE286" s="100" t="s">
        <v>43</v>
      </c>
      <c r="AF286" s="100" t="s">
        <v>41</v>
      </c>
      <c r="AG286" s="100" t="s">
        <v>42</v>
      </c>
      <c r="AH286" s="100" t="s">
        <v>3653</v>
      </c>
      <c r="AI286" s="100" t="s">
        <v>682</v>
      </c>
      <c r="AJ286" s="100" t="s">
        <v>682</v>
      </c>
      <c r="AK286" s="100" t="s">
        <v>682</v>
      </c>
    </row>
    <row r="287" spans="1:37">
      <c r="A287" s="100" t="s">
        <v>3654</v>
      </c>
      <c r="B287" s="100" t="s">
        <v>3655</v>
      </c>
      <c r="C287" s="100" t="s">
        <v>682</v>
      </c>
      <c r="D287" s="100" t="s">
        <v>3642</v>
      </c>
      <c r="E287" s="100" t="s">
        <v>3656</v>
      </c>
      <c r="F287" s="100" t="s">
        <v>155</v>
      </c>
      <c r="G287" s="100" t="s">
        <v>665</v>
      </c>
      <c r="H287" s="100" t="s">
        <v>3644</v>
      </c>
      <c r="I287" s="100" t="s">
        <v>4991</v>
      </c>
      <c r="J287" s="100" t="s">
        <v>682</v>
      </c>
      <c r="K287" s="100" t="s">
        <v>3658</v>
      </c>
      <c r="L287" s="100" t="s">
        <v>682</v>
      </c>
      <c r="M287" s="100" t="s">
        <v>682</v>
      </c>
      <c r="N287" s="100" t="s">
        <v>682</v>
      </c>
      <c r="O287" s="100" t="s">
        <v>5782</v>
      </c>
      <c r="P287" s="100" t="s">
        <v>3659</v>
      </c>
      <c r="Q287" s="100" t="s">
        <v>3660</v>
      </c>
      <c r="R287" s="100" t="s">
        <v>5783</v>
      </c>
      <c r="S287" s="100" t="s">
        <v>5784</v>
      </c>
      <c r="T287" s="100" t="s">
        <v>4992</v>
      </c>
      <c r="U287" s="100" t="s">
        <v>3661</v>
      </c>
      <c r="V287" s="100" t="s">
        <v>3662</v>
      </c>
      <c r="W287" s="100" t="s">
        <v>682</v>
      </c>
      <c r="X287" s="100" t="s">
        <v>3663</v>
      </c>
      <c r="Y287" s="100" t="s">
        <v>4993</v>
      </c>
      <c r="Z287" s="100" t="s">
        <v>4994</v>
      </c>
      <c r="AA287" s="100" t="s">
        <v>3664</v>
      </c>
      <c r="AB287" s="100" t="s">
        <v>3665</v>
      </c>
      <c r="AC287" s="100" t="s">
        <v>682</v>
      </c>
      <c r="AD287" s="100" t="s">
        <v>682</v>
      </c>
      <c r="AE287" s="100" t="s">
        <v>43</v>
      </c>
      <c r="AF287" s="100" t="s">
        <v>41</v>
      </c>
      <c r="AG287" s="100" t="s">
        <v>42</v>
      </c>
      <c r="AH287" s="100" t="s">
        <v>3666</v>
      </c>
      <c r="AI287" s="100" t="s">
        <v>682</v>
      </c>
      <c r="AJ287" s="100" t="s">
        <v>682</v>
      </c>
      <c r="AK287" s="100" t="s">
        <v>682</v>
      </c>
    </row>
    <row r="288" spans="1:37">
      <c r="A288" s="100" t="s">
        <v>3667</v>
      </c>
      <c r="B288" s="100" t="s">
        <v>3668</v>
      </c>
      <c r="C288" s="100" t="s">
        <v>682</v>
      </c>
      <c r="D288" s="100" t="s">
        <v>103</v>
      </c>
      <c r="E288" s="100" t="s">
        <v>3669</v>
      </c>
      <c r="F288" s="100" t="s">
        <v>155</v>
      </c>
      <c r="G288" s="100" t="s">
        <v>666</v>
      </c>
      <c r="H288" s="100" t="s">
        <v>3657</v>
      </c>
      <c r="I288" s="100" t="s">
        <v>4995</v>
      </c>
      <c r="J288" s="100" t="s">
        <v>682</v>
      </c>
      <c r="K288" s="100" t="s">
        <v>3671</v>
      </c>
      <c r="L288" s="100" t="s">
        <v>682</v>
      </c>
      <c r="M288" s="100" t="s">
        <v>682</v>
      </c>
      <c r="N288" s="100" t="s">
        <v>682</v>
      </c>
      <c r="O288" s="100" t="s">
        <v>5785</v>
      </c>
      <c r="P288" s="100" t="s">
        <v>3672</v>
      </c>
      <c r="Q288" s="100" t="s">
        <v>3673</v>
      </c>
      <c r="R288" s="100" t="s">
        <v>5786</v>
      </c>
      <c r="S288" s="100" t="s">
        <v>5787</v>
      </c>
      <c r="T288" s="100" t="s">
        <v>4996</v>
      </c>
      <c r="U288" s="100" t="s">
        <v>3674</v>
      </c>
      <c r="V288" s="100" t="s">
        <v>3675</v>
      </c>
      <c r="W288" s="100" t="s">
        <v>682</v>
      </c>
      <c r="X288" s="100" t="s">
        <v>3676</v>
      </c>
      <c r="Y288" s="100" t="s">
        <v>4997</v>
      </c>
      <c r="Z288" s="100" t="s">
        <v>4998</v>
      </c>
      <c r="AA288" s="100" t="s">
        <v>3677</v>
      </c>
      <c r="AB288" s="100" t="s">
        <v>3678</v>
      </c>
      <c r="AC288" s="100" t="s">
        <v>682</v>
      </c>
      <c r="AD288" s="100" t="s">
        <v>682</v>
      </c>
      <c r="AE288" s="100" t="s">
        <v>43</v>
      </c>
      <c r="AF288" s="100" t="s">
        <v>41</v>
      </c>
      <c r="AG288" s="100" t="s">
        <v>42</v>
      </c>
      <c r="AH288" s="100" t="s">
        <v>3679</v>
      </c>
      <c r="AI288" s="100" t="s">
        <v>682</v>
      </c>
      <c r="AJ288" s="100" t="s">
        <v>682</v>
      </c>
      <c r="AK288" s="100" t="s">
        <v>682</v>
      </c>
    </row>
    <row r="289" spans="1:37">
      <c r="A289" s="100" t="s">
        <v>3680</v>
      </c>
      <c r="B289" s="100" t="s">
        <v>3681</v>
      </c>
      <c r="C289" s="100" t="s">
        <v>682</v>
      </c>
      <c r="D289" s="100" t="s">
        <v>104</v>
      </c>
      <c r="E289" s="100" t="s">
        <v>3682</v>
      </c>
      <c r="F289" s="100" t="s">
        <v>155</v>
      </c>
      <c r="G289" s="100" t="s">
        <v>667</v>
      </c>
      <c r="H289" s="100" t="s">
        <v>3670</v>
      </c>
      <c r="I289" s="100" t="s">
        <v>4999</v>
      </c>
      <c r="J289" s="100" t="s">
        <v>682</v>
      </c>
      <c r="K289" s="100" t="s">
        <v>3683</v>
      </c>
      <c r="L289" s="100" t="s">
        <v>682</v>
      </c>
      <c r="M289" s="100" t="s">
        <v>682</v>
      </c>
      <c r="N289" s="100" t="s">
        <v>682</v>
      </c>
      <c r="O289" s="100" t="s">
        <v>5788</v>
      </c>
      <c r="P289" s="100" t="s">
        <v>3684</v>
      </c>
      <c r="Q289" s="100" t="s">
        <v>3685</v>
      </c>
      <c r="R289" s="100" t="s">
        <v>5789</v>
      </c>
      <c r="S289" s="100" t="s">
        <v>5790</v>
      </c>
      <c r="T289" s="100" t="s">
        <v>5000</v>
      </c>
      <c r="U289" s="100" t="s">
        <v>3686</v>
      </c>
      <c r="V289" s="100" t="s">
        <v>3687</v>
      </c>
      <c r="W289" s="100" t="s">
        <v>682</v>
      </c>
      <c r="X289" s="100" t="s">
        <v>3688</v>
      </c>
      <c r="Y289" s="100" t="s">
        <v>5001</v>
      </c>
      <c r="Z289" s="100" t="s">
        <v>5002</v>
      </c>
      <c r="AA289" s="100" t="s">
        <v>3689</v>
      </c>
      <c r="AB289" s="100" t="s">
        <v>3690</v>
      </c>
      <c r="AC289" s="100" t="s">
        <v>682</v>
      </c>
      <c r="AD289" s="100" t="s">
        <v>682</v>
      </c>
      <c r="AE289" s="100" t="s">
        <v>43</v>
      </c>
      <c r="AF289" s="100" t="s">
        <v>41</v>
      </c>
      <c r="AG289" s="100" t="s">
        <v>42</v>
      </c>
      <c r="AH289" s="100" t="s">
        <v>3691</v>
      </c>
      <c r="AI289" s="100" t="s">
        <v>682</v>
      </c>
      <c r="AJ289" s="100" t="s">
        <v>682</v>
      </c>
      <c r="AK289" s="100" t="s">
        <v>682</v>
      </c>
    </row>
    <row r="290" spans="1:37">
      <c r="A290" s="100" t="s">
        <v>7141</v>
      </c>
      <c r="B290" s="100" t="s">
        <v>7142</v>
      </c>
      <c r="C290" s="100" t="s">
        <v>682</v>
      </c>
      <c r="D290" s="100" t="s">
        <v>103</v>
      </c>
      <c r="E290" s="100" t="s">
        <v>7143</v>
      </c>
      <c r="F290" s="100" t="s">
        <v>155</v>
      </c>
      <c r="G290" s="100" t="s">
        <v>668</v>
      </c>
      <c r="H290" s="100" t="s">
        <v>3657</v>
      </c>
      <c r="I290" s="100" t="s">
        <v>7144</v>
      </c>
      <c r="J290" s="100" t="s">
        <v>682</v>
      </c>
      <c r="K290" s="100" t="s">
        <v>3692</v>
      </c>
      <c r="L290" s="100" t="s">
        <v>682</v>
      </c>
      <c r="M290" s="100" t="s">
        <v>682</v>
      </c>
      <c r="N290" s="100" t="s">
        <v>682</v>
      </c>
      <c r="O290" s="100" t="s">
        <v>7145</v>
      </c>
      <c r="P290" s="100" t="s">
        <v>7146</v>
      </c>
      <c r="Q290" s="100" t="s">
        <v>7147</v>
      </c>
      <c r="R290" s="100" t="s">
        <v>7148</v>
      </c>
      <c r="S290" s="100" t="s">
        <v>7149</v>
      </c>
      <c r="T290" s="100" t="s">
        <v>7150</v>
      </c>
      <c r="U290" s="100" t="s">
        <v>7151</v>
      </c>
      <c r="V290" s="100" t="s">
        <v>7152</v>
      </c>
      <c r="W290" s="100" t="s">
        <v>682</v>
      </c>
      <c r="X290" s="100" t="s">
        <v>7153</v>
      </c>
      <c r="Y290" s="100" t="s">
        <v>7154</v>
      </c>
      <c r="Z290" s="100" t="s">
        <v>7155</v>
      </c>
      <c r="AA290" s="100" t="s">
        <v>7156</v>
      </c>
      <c r="AB290" s="100" t="s">
        <v>7157</v>
      </c>
      <c r="AC290" s="100" t="s">
        <v>682</v>
      </c>
      <c r="AD290" s="100" t="s">
        <v>682</v>
      </c>
      <c r="AE290" s="100" t="s">
        <v>43</v>
      </c>
      <c r="AF290" s="100" t="s">
        <v>41</v>
      </c>
      <c r="AG290" s="100" t="s">
        <v>42</v>
      </c>
      <c r="AH290" s="100" t="s">
        <v>3693</v>
      </c>
      <c r="AI290" s="100" t="s">
        <v>682</v>
      </c>
      <c r="AJ290" s="100" t="s">
        <v>682</v>
      </c>
      <c r="AK290" s="100" t="s">
        <v>682</v>
      </c>
    </row>
    <row r="291" spans="1:37">
      <c r="A291" s="100" t="s">
        <v>3694</v>
      </c>
      <c r="B291" s="100" t="s">
        <v>3695</v>
      </c>
      <c r="C291" s="100" t="s">
        <v>682</v>
      </c>
      <c r="D291" s="100" t="s">
        <v>106</v>
      </c>
      <c r="E291" s="100" t="s">
        <v>3696</v>
      </c>
      <c r="F291" s="100" t="s">
        <v>317</v>
      </c>
      <c r="G291" s="100" t="s">
        <v>669</v>
      </c>
      <c r="H291" s="100" t="s">
        <v>682</v>
      </c>
      <c r="I291" s="100" t="s">
        <v>5003</v>
      </c>
      <c r="J291" s="100" t="s">
        <v>682</v>
      </c>
      <c r="K291" s="100" t="s">
        <v>3698</v>
      </c>
      <c r="L291" s="100" t="s">
        <v>682</v>
      </c>
      <c r="M291" s="100" t="s">
        <v>682</v>
      </c>
      <c r="N291" s="100" t="s">
        <v>682</v>
      </c>
      <c r="O291" s="100" t="s">
        <v>5791</v>
      </c>
      <c r="P291" s="100" t="s">
        <v>3699</v>
      </c>
      <c r="Q291" s="100" t="s">
        <v>3700</v>
      </c>
      <c r="R291" s="100" t="s">
        <v>5792</v>
      </c>
      <c r="S291" s="100" t="s">
        <v>5793</v>
      </c>
      <c r="T291" s="100" t="s">
        <v>5004</v>
      </c>
      <c r="U291" s="100" t="s">
        <v>3701</v>
      </c>
      <c r="V291" s="100" t="s">
        <v>3702</v>
      </c>
      <c r="W291" s="100" t="s">
        <v>682</v>
      </c>
      <c r="X291" s="100" t="s">
        <v>3703</v>
      </c>
      <c r="Y291" s="100" t="s">
        <v>5005</v>
      </c>
      <c r="Z291" s="100" t="s">
        <v>5006</v>
      </c>
      <c r="AA291" s="100" t="s">
        <v>3704</v>
      </c>
      <c r="AB291" s="100" t="s">
        <v>3705</v>
      </c>
      <c r="AC291" s="100" t="s">
        <v>682</v>
      </c>
      <c r="AD291" s="100" t="s">
        <v>682</v>
      </c>
      <c r="AE291" s="100" t="s">
        <v>43</v>
      </c>
      <c r="AF291" s="100" t="s">
        <v>46</v>
      </c>
      <c r="AG291" s="100" t="s">
        <v>42</v>
      </c>
      <c r="AH291" s="100" t="s">
        <v>3706</v>
      </c>
      <c r="AI291" s="100" t="s">
        <v>682</v>
      </c>
      <c r="AJ291" s="100" t="s">
        <v>682</v>
      </c>
      <c r="AK291" s="100" t="s">
        <v>682</v>
      </c>
    </row>
    <row r="292" spans="1:37">
      <c r="A292" s="100" t="s">
        <v>3707</v>
      </c>
      <c r="B292" s="100" t="s">
        <v>3708</v>
      </c>
      <c r="C292" s="100" t="s">
        <v>682</v>
      </c>
      <c r="D292" s="100" t="s">
        <v>106</v>
      </c>
      <c r="E292" s="100" t="s">
        <v>3709</v>
      </c>
      <c r="F292" s="100" t="s">
        <v>318</v>
      </c>
      <c r="G292" s="100" t="s">
        <v>669</v>
      </c>
      <c r="H292" s="100" t="s">
        <v>682</v>
      </c>
      <c r="I292" s="100" t="s">
        <v>5007</v>
      </c>
      <c r="J292" s="100" t="s">
        <v>682</v>
      </c>
      <c r="K292" s="100" t="s">
        <v>3710</v>
      </c>
      <c r="L292" s="100" t="s">
        <v>682</v>
      </c>
      <c r="M292" s="100" t="s">
        <v>682</v>
      </c>
      <c r="N292" s="100" t="s">
        <v>682</v>
      </c>
      <c r="O292" s="100" t="s">
        <v>5794</v>
      </c>
      <c r="P292" s="100" t="s">
        <v>4026</v>
      </c>
      <c r="Q292" s="100" t="s">
        <v>3711</v>
      </c>
      <c r="R292" s="100" t="s">
        <v>5795</v>
      </c>
      <c r="S292" s="100" t="s">
        <v>5796</v>
      </c>
      <c r="T292" s="100" t="s">
        <v>5008</v>
      </c>
      <c r="U292" s="100" t="s">
        <v>3712</v>
      </c>
      <c r="V292" s="100" t="s">
        <v>3713</v>
      </c>
      <c r="W292" s="100" t="s">
        <v>682</v>
      </c>
      <c r="X292" s="100" t="s">
        <v>3714</v>
      </c>
      <c r="Y292" s="100" t="s">
        <v>5009</v>
      </c>
      <c r="Z292" s="100" t="s">
        <v>5010</v>
      </c>
      <c r="AA292" s="100" t="s">
        <v>3715</v>
      </c>
      <c r="AB292" s="100" t="s">
        <v>3716</v>
      </c>
      <c r="AC292" s="100" t="s">
        <v>682</v>
      </c>
      <c r="AD292" s="100" t="s">
        <v>682</v>
      </c>
      <c r="AE292" s="100" t="s">
        <v>43</v>
      </c>
      <c r="AF292" s="100" t="s">
        <v>46</v>
      </c>
      <c r="AG292" s="100" t="s">
        <v>42</v>
      </c>
      <c r="AH292" s="100" t="s">
        <v>3717</v>
      </c>
      <c r="AI292" s="100" t="s">
        <v>682</v>
      </c>
      <c r="AJ292" s="100" t="s">
        <v>682</v>
      </c>
      <c r="AK292" s="100" t="s">
        <v>682</v>
      </c>
    </row>
    <row r="293" spans="1:37">
      <c r="A293" s="100" t="s">
        <v>3718</v>
      </c>
      <c r="B293" s="100" t="s">
        <v>3719</v>
      </c>
      <c r="C293" s="100" t="s">
        <v>682</v>
      </c>
      <c r="D293" s="100" t="s">
        <v>106</v>
      </c>
      <c r="E293" s="100" t="s">
        <v>3720</v>
      </c>
      <c r="F293" s="100" t="s">
        <v>319</v>
      </c>
      <c r="G293" s="100" t="s">
        <v>669</v>
      </c>
      <c r="H293" s="100" t="s">
        <v>682</v>
      </c>
      <c r="I293" s="100" t="s">
        <v>5011</v>
      </c>
      <c r="J293" s="100" t="s">
        <v>682</v>
      </c>
      <c r="K293" s="100" t="s">
        <v>3721</v>
      </c>
      <c r="L293" s="100" t="s">
        <v>682</v>
      </c>
      <c r="M293" s="100" t="s">
        <v>682</v>
      </c>
      <c r="N293" s="100" t="s">
        <v>682</v>
      </c>
      <c r="O293" s="100" t="s">
        <v>5797</v>
      </c>
      <c r="P293" s="100" t="s">
        <v>4027</v>
      </c>
      <c r="Q293" s="100" t="s">
        <v>3722</v>
      </c>
      <c r="R293" s="100" t="s">
        <v>5798</v>
      </c>
      <c r="S293" s="100" t="s">
        <v>5799</v>
      </c>
      <c r="T293" s="100" t="s">
        <v>5012</v>
      </c>
      <c r="U293" s="100" t="s">
        <v>3723</v>
      </c>
      <c r="V293" s="100" t="s">
        <v>3724</v>
      </c>
      <c r="W293" s="100" t="s">
        <v>682</v>
      </c>
      <c r="X293" s="100" t="s">
        <v>3725</v>
      </c>
      <c r="Y293" s="100" t="s">
        <v>5013</v>
      </c>
      <c r="Z293" s="100" t="s">
        <v>5014</v>
      </c>
      <c r="AA293" s="100" t="s">
        <v>3726</v>
      </c>
      <c r="AB293" s="100" t="s">
        <v>3727</v>
      </c>
      <c r="AC293" s="100" t="s">
        <v>682</v>
      </c>
      <c r="AD293" s="100" t="s">
        <v>682</v>
      </c>
      <c r="AE293" s="100" t="s">
        <v>43</v>
      </c>
      <c r="AF293" s="100" t="s">
        <v>46</v>
      </c>
      <c r="AG293" s="100" t="s">
        <v>42</v>
      </c>
      <c r="AH293" s="100" t="s">
        <v>3728</v>
      </c>
      <c r="AI293" s="100" t="s">
        <v>682</v>
      </c>
      <c r="AJ293" s="100" t="s">
        <v>682</v>
      </c>
      <c r="AK293" s="100" t="s">
        <v>682</v>
      </c>
    </row>
    <row r="294" spans="1:37">
      <c r="A294" s="100" t="s">
        <v>3729</v>
      </c>
      <c r="B294" s="100" t="s">
        <v>3730</v>
      </c>
      <c r="C294" s="100" t="s">
        <v>682</v>
      </c>
      <c r="D294" s="100" t="s">
        <v>3873</v>
      </c>
      <c r="E294" s="100" t="s">
        <v>682</v>
      </c>
      <c r="F294" s="100" t="s">
        <v>647</v>
      </c>
      <c r="G294" s="100" t="s">
        <v>670</v>
      </c>
      <c r="H294" s="100" t="s">
        <v>682</v>
      </c>
      <c r="I294" s="100" t="s">
        <v>5015</v>
      </c>
      <c r="J294" s="100" t="s">
        <v>682</v>
      </c>
      <c r="K294" s="100" t="s">
        <v>3731</v>
      </c>
      <c r="L294" s="100" t="s">
        <v>682</v>
      </c>
      <c r="M294" s="100" t="s">
        <v>682</v>
      </c>
      <c r="N294" s="100" t="s">
        <v>682</v>
      </c>
      <c r="O294" s="100" t="s">
        <v>5800</v>
      </c>
      <c r="P294" s="100" t="s">
        <v>3732</v>
      </c>
      <c r="Q294" s="100" t="s">
        <v>3733</v>
      </c>
      <c r="R294" s="100" t="s">
        <v>5801</v>
      </c>
      <c r="S294" s="100" t="s">
        <v>5802</v>
      </c>
      <c r="T294" s="100" t="s">
        <v>5016</v>
      </c>
      <c r="U294" s="100" t="s">
        <v>3734</v>
      </c>
      <c r="V294" s="100" t="s">
        <v>3735</v>
      </c>
      <c r="W294" s="100" t="s">
        <v>682</v>
      </c>
      <c r="X294" s="100" t="s">
        <v>3736</v>
      </c>
      <c r="Y294" s="100" t="s">
        <v>5017</v>
      </c>
      <c r="Z294" s="100" t="s">
        <v>5018</v>
      </c>
      <c r="AA294" s="100" t="s">
        <v>3737</v>
      </c>
      <c r="AB294" s="100" t="s">
        <v>3738</v>
      </c>
      <c r="AC294" s="100" t="s">
        <v>682</v>
      </c>
      <c r="AD294" s="100" t="s">
        <v>682</v>
      </c>
      <c r="AE294" s="100" t="s">
        <v>43</v>
      </c>
      <c r="AF294" s="100" t="s">
        <v>41</v>
      </c>
      <c r="AG294" s="100" t="s">
        <v>42</v>
      </c>
      <c r="AH294" s="100" t="s">
        <v>3739</v>
      </c>
      <c r="AI294" s="100" t="s">
        <v>682</v>
      </c>
      <c r="AJ294" s="100" t="s">
        <v>682</v>
      </c>
      <c r="AK294" s="100" t="s">
        <v>682</v>
      </c>
    </row>
    <row r="295" spans="1:37">
      <c r="A295" s="100" t="s">
        <v>3740</v>
      </c>
      <c r="B295" s="100" t="s">
        <v>3741</v>
      </c>
      <c r="C295" s="100" t="s">
        <v>682</v>
      </c>
      <c r="D295" s="100" t="s">
        <v>3873</v>
      </c>
      <c r="E295" s="100" t="s">
        <v>682</v>
      </c>
      <c r="F295" s="100" t="s">
        <v>647</v>
      </c>
      <c r="G295" s="100" t="s">
        <v>671</v>
      </c>
      <c r="H295" s="100" t="s">
        <v>682</v>
      </c>
      <c r="I295" s="100" t="s">
        <v>5019</v>
      </c>
      <c r="J295" s="100" t="s">
        <v>682</v>
      </c>
      <c r="K295" s="100" t="s">
        <v>3742</v>
      </c>
      <c r="L295" s="100" t="s">
        <v>682</v>
      </c>
      <c r="M295" s="100" t="s">
        <v>682</v>
      </c>
      <c r="N295" s="100" t="s">
        <v>682</v>
      </c>
      <c r="O295" s="100" t="s">
        <v>5803</v>
      </c>
      <c r="P295" s="100" t="s">
        <v>3743</v>
      </c>
      <c r="Q295" s="100" t="s">
        <v>3744</v>
      </c>
      <c r="R295" s="100" t="s">
        <v>5804</v>
      </c>
      <c r="S295" s="100" t="s">
        <v>5805</v>
      </c>
      <c r="T295" s="100" t="s">
        <v>5020</v>
      </c>
      <c r="U295" s="100" t="s">
        <v>3745</v>
      </c>
      <c r="V295" s="100" t="s">
        <v>3746</v>
      </c>
      <c r="W295" s="100" t="s">
        <v>682</v>
      </c>
      <c r="X295" s="100" t="s">
        <v>3747</v>
      </c>
      <c r="Y295" s="100" t="s">
        <v>5021</v>
      </c>
      <c r="Z295" s="100" t="s">
        <v>5022</v>
      </c>
      <c r="AA295" s="100" t="s">
        <v>3748</v>
      </c>
      <c r="AB295" s="100" t="s">
        <v>3749</v>
      </c>
      <c r="AC295" s="100" t="s">
        <v>682</v>
      </c>
      <c r="AD295" s="100" t="s">
        <v>682</v>
      </c>
      <c r="AE295" s="100" t="s">
        <v>43</v>
      </c>
      <c r="AF295" s="100" t="s">
        <v>41</v>
      </c>
      <c r="AG295" s="100" t="s">
        <v>42</v>
      </c>
      <c r="AH295" s="100" t="s">
        <v>3750</v>
      </c>
      <c r="AI295" s="100" t="s">
        <v>682</v>
      </c>
      <c r="AJ295" s="100" t="s">
        <v>682</v>
      </c>
      <c r="AK295" s="100" t="s">
        <v>682</v>
      </c>
    </row>
    <row r="296" spans="1:37">
      <c r="A296" s="100" t="s">
        <v>3751</v>
      </c>
      <c r="B296" s="100" t="s">
        <v>3752</v>
      </c>
      <c r="C296" s="100" t="s">
        <v>682</v>
      </c>
      <c r="D296" s="100" t="s">
        <v>109</v>
      </c>
      <c r="E296" s="100" t="s">
        <v>682</v>
      </c>
      <c r="F296" s="100" t="s">
        <v>647</v>
      </c>
      <c r="G296" s="100" t="s">
        <v>672</v>
      </c>
      <c r="H296" s="100" t="s">
        <v>682</v>
      </c>
      <c r="I296" s="100" t="s">
        <v>5023</v>
      </c>
      <c r="J296" s="100" t="s">
        <v>682</v>
      </c>
      <c r="K296" s="100" t="s">
        <v>3753</v>
      </c>
      <c r="L296" s="100" t="s">
        <v>682</v>
      </c>
      <c r="M296" s="100" t="s">
        <v>682</v>
      </c>
      <c r="N296" s="100" t="s">
        <v>682</v>
      </c>
      <c r="O296" s="100" t="s">
        <v>5806</v>
      </c>
      <c r="P296" s="100" t="s">
        <v>4028</v>
      </c>
      <c r="Q296" s="100" t="s">
        <v>3754</v>
      </c>
      <c r="R296" s="100" t="s">
        <v>5807</v>
      </c>
      <c r="S296" s="100" t="s">
        <v>5808</v>
      </c>
      <c r="T296" s="100" t="s">
        <v>5024</v>
      </c>
      <c r="U296" s="100" t="s">
        <v>3755</v>
      </c>
      <c r="V296" s="100" t="s">
        <v>3756</v>
      </c>
      <c r="W296" s="100" t="s">
        <v>682</v>
      </c>
      <c r="X296" s="100" t="s">
        <v>3757</v>
      </c>
      <c r="Y296" s="100" t="s">
        <v>5025</v>
      </c>
      <c r="Z296" s="100" t="s">
        <v>5026</v>
      </c>
      <c r="AA296" s="100" t="s">
        <v>3758</v>
      </c>
      <c r="AB296" s="100" t="s">
        <v>3759</v>
      </c>
      <c r="AC296" s="100" t="s">
        <v>682</v>
      </c>
      <c r="AD296" s="100" t="s">
        <v>682</v>
      </c>
      <c r="AE296" s="100" t="s">
        <v>43</v>
      </c>
      <c r="AF296" s="100" t="s">
        <v>41</v>
      </c>
      <c r="AG296" s="100" t="s">
        <v>42</v>
      </c>
      <c r="AH296" s="100" t="s">
        <v>3760</v>
      </c>
      <c r="AI296" s="100" t="s">
        <v>682</v>
      </c>
      <c r="AJ296" s="100" t="s">
        <v>682</v>
      </c>
      <c r="AK296" s="100" t="s">
        <v>682</v>
      </c>
    </row>
    <row r="297" spans="1:37">
      <c r="A297" s="100" t="s">
        <v>3761</v>
      </c>
      <c r="B297" s="100" t="s">
        <v>3762</v>
      </c>
      <c r="C297" s="100" t="s">
        <v>682</v>
      </c>
      <c r="D297" s="100" t="s">
        <v>113</v>
      </c>
      <c r="E297" s="100" t="s">
        <v>682</v>
      </c>
      <c r="F297" s="100" t="s">
        <v>647</v>
      </c>
      <c r="G297" s="100" t="s">
        <v>114</v>
      </c>
      <c r="H297" s="100" t="s">
        <v>682</v>
      </c>
      <c r="I297" s="100" t="s">
        <v>5027</v>
      </c>
      <c r="J297" s="100" t="s">
        <v>682</v>
      </c>
      <c r="K297" s="100" t="s">
        <v>3763</v>
      </c>
      <c r="L297" s="100" t="s">
        <v>682</v>
      </c>
      <c r="M297" s="100" t="s">
        <v>682</v>
      </c>
      <c r="N297" s="100" t="s">
        <v>682</v>
      </c>
      <c r="O297" s="100" t="s">
        <v>5809</v>
      </c>
      <c r="P297" s="100" t="s">
        <v>4029</v>
      </c>
      <c r="Q297" s="100" t="s">
        <v>3764</v>
      </c>
      <c r="R297" s="100" t="s">
        <v>5810</v>
      </c>
      <c r="S297" s="100" t="s">
        <v>5811</v>
      </c>
      <c r="T297" s="100" t="s">
        <v>5028</v>
      </c>
      <c r="U297" s="100" t="s">
        <v>3765</v>
      </c>
      <c r="V297" s="100" t="s">
        <v>3766</v>
      </c>
      <c r="W297" s="100" t="s">
        <v>682</v>
      </c>
      <c r="X297" s="100" t="s">
        <v>3767</v>
      </c>
      <c r="Y297" s="100" t="s">
        <v>5029</v>
      </c>
      <c r="Z297" s="100" t="s">
        <v>5030</v>
      </c>
      <c r="AA297" s="100" t="s">
        <v>3768</v>
      </c>
      <c r="AB297" s="100" t="s">
        <v>3769</v>
      </c>
      <c r="AC297" s="100" t="s">
        <v>682</v>
      </c>
      <c r="AD297" s="100" t="s">
        <v>682</v>
      </c>
      <c r="AE297" s="100" t="s">
        <v>43</v>
      </c>
      <c r="AF297" s="100" t="s">
        <v>41</v>
      </c>
      <c r="AG297" s="100" t="s">
        <v>42</v>
      </c>
      <c r="AH297" s="100" t="s">
        <v>3770</v>
      </c>
      <c r="AI297" s="100" t="s">
        <v>682</v>
      </c>
      <c r="AJ297" s="100" t="s">
        <v>682</v>
      </c>
      <c r="AK297" s="100" t="s">
        <v>682</v>
      </c>
    </row>
    <row r="298" spans="1:37">
      <c r="A298" s="100" t="s">
        <v>3771</v>
      </c>
      <c r="B298" s="100" t="s">
        <v>3772</v>
      </c>
      <c r="C298" s="100" t="s">
        <v>682</v>
      </c>
      <c r="D298" s="100" t="s">
        <v>113</v>
      </c>
      <c r="E298" s="100" t="s">
        <v>682</v>
      </c>
      <c r="F298" s="100" t="s">
        <v>647</v>
      </c>
      <c r="G298" s="100" t="s">
        <v>674</v>
      </c>
      <c r="H298" s="100" t="s">
        <v>682</v>
      </c>
      <c r="I298" s="100" t="s">
        <v>5031</v>
      </c>
      <c r="J298" s="100" t="s">
        <v>682</v>
      </c>
      <c r="K298" s="100" t="s">
        <v>3773</v>
      </c>
      <c r="L298" s="100" t="s">
        <v>682</v>
      </c>
      <c r="M298" s="100" t="s">
        <v>682</v>
      </c>
      <c r="N298" s="100" t="s">
        <v>682</v>
      </c>
      <c r="O298" s="100" t="s">
        <v>5812</v>
      </c>
      <c r="P298" s="100" t="s">
        <v>3774</v>
      </c>
      <c r="Q298" s="100" t="s">
        <v>3775</v>
      </c>
      <c r="R298" s="100" t="s">
        <v>5813</v>
      </c>
      <c r="S298" s="100" t="s">
        <v>5814</v>
      </c>
      <c r="T298" s="100" t="s">
        <v>5032</v>
      </c>
      <c r="U298" s="100" t="s">
        <v>3776</v>
      </c>
      <c r="V298" s="100" t="s">
        <v>3777</v>
      </c>
      <c r="W298" s="100" t="s">
        <v>682</v>
      </c>
      <c r="X298" s="100" t="s">
        <v>3778</v>
      </c>
      <c r="Y298" s="100" t="s">
        <v>5033</v>
      </c>
      <c r="Z298" s="100" t="s">
        <v>5034</v>
      </c>
      <c r="AA298" s="100" t="s">
        <v>3779</v>
      </c>
      <c r="AB298" s="100" t="s">
        <v>3780</v>
      </c>
      <c r="AC298" s="100" t="s">
        <v>682</v>
      </c>
      <c r="AD298" s="100" t="s">
        <v>682</v>
      </c>
      <c r="AE298" s="100" t="s">
        <v>54</v>
      </c>
      <c r="AF298" s="100" t="s">
        <v>41</v>
      </c>
      <c r="AG298" s="100" t="s">
        <v>42</v>
      </c>
      <c r="AH298" s="100" t="s">
        <v>3781</v>
      </c>
      <c r="AI298" s="100" t="s">
        <v>682</v>
      </c>
      <c r="AJ298" s="100" t="s">
        <v>682</v>
      </c>
      <c r="AK298" s="100" t="s">
        <v>682</v>
      </c>
    </row>
    <row r="299" spans="1:37">
      <c r="A299" s="100" t="s">
        <v>3782</v>
      </c>
      <c r="B299" s="100" t="s">
        <v>3783</v>
      </c>
      <c r="C299" s="100" t="s">
        <v>682</v>
      </c>
      <c r="D299" s="100" t="s">
        <v>116</v>
      </c>
      <c r="E299" s="100" t="s">
        <v>682</v>
      </c>
      <c r="F299" s="100" t="s">
        <v>647</v>
      </c>
      <c r="G299" s="100" t="s">
        <v>675</v>
      </c>
      <c r="H299" s="100" t="s">
        <v>682</v>
      </c>
      <c r="I299" s="100" t="s">
        <v>5035</v>
      </c>
      <c r="J299" s="100" t="s">
        <v>682</v>
      </c>
      <c r="K299" s="100" t="s">
        <v>3784</v>
      </c>
      <c r="L299" s="100" t="s">
        <v>682</v>
      </c>
      <c r="M299" s="100" t="s">
        <v>682</v>
      </c>
      <c r="N299" s="100" t="s">
        <v>682</v>
      </c>
      <c r="O299" s="100" t="s">
        <v>5815</v>
      </c>
      <c r="P299" s="100" t="s">
        <v>4030</v>
      </c>
      <c r="Q299" s="100" t="s">
        <v>3785</v>
      </c>
      <c r="R299" s="100" t="s">
        <v>5816</v>
      </c>
      <c r="S299" s="100" t="s">
        <v>5817</v>
      </c>
      <c r="T299" s="100" t="s">
        <v>5036</v>
      </c>
      <c r="U299" s="100" t="s">
        <v>3786</v>
      </c>
      <c r="V299" s="100" t="s">
        <v>3787</v>
      </c>
      <c r="W299" s="100" t="s">
        <v>682</v>
      </c>
      <c r="X299" s="100" t="s">
        <v>3788</v>
      </c>
      <c r="Y299" s="100" t="s">
        <v>5037</v>
      </c>
      <c r="Z299" s="100" t="s">
        <v>5038</v>
      </c>
      <c r="AA299" s="100" t="s">
        <v>3789</v>
      </c>
      <c r="AB299" s="100" t="s">
        <v>3790</v>
      </c>
      <c r="AC299" s="100" t="s">
        <v>682</v>
      </c>
      <c r="AD299" s="100" t="s">
        <v>682</v>
      </c>
      <c r="AE299" s="100" t="s">
        <v>43</v>
      </c>
      <c r="AF299" s="100" t="s">
        <v>41</v>
      </c>
      <c r="AG299" s="100" t="s">
        <v>42</v>
      </c>
      <c r="AH299" s="100" t="s">
        <v>3791</v>
      </c>
      <c r="AI299" s="100" t="s">
        <v>682</v>
      </c>
      <c r="AJ299" s="100" t="s">
        <v>682</v>
      </c>
      <c r="AK299" s="100" t="s">
        <v>682</v>
      </c>
    </row>
    <row r="300" spans="1:37">
      <c r="A300" s="100" t="s">
        <v>3792</v>
      </c>
      <c r="B300" s="100" t="s">
        <v>3793</v>
      </c>
      <c r="C300" s="100" t="s">
        <v>682</v>
      </c>
      <c r="D300" s="100" t="s">
        <v>116</v>
      </c>
      <c r="E300" s="100" t="s">
        <v>682</v>
      </c>
      <c r="F300" s="100" t="s">
        <v>647</v>
      </c>
      <c r="G300" s="100" t="s">
        <v>281</v>
      </c>
      <c r="H300" s="100" t="s">
        <v>682</v>
      </c>
      <c r="I300" s="100" t="s">
        <v>5039</v>
      </c>
      <c r="J300" s="100" t="s">
        <v>682</v>
      </c>
      <c r="K300" s="100" t="s">
        <v>3794</v>
      </c>
      <c r="L300" s="100" t="s">
        <v>682</v>
      </c>
      <c r="M300" s="100" t="s">
        <v>682</v>
      </c>
      <c r="N300" s="100" t="s">
        <v>682</v>
      </c>
      <c r="O300" s="100" t="s">
        <v>5818</v>
      </c>
      <c r="P300" s="100" t="s">
        <v>4031</v>
      </c>
      <c r="Q300" s="100" t="s">
        <v>3795</v>
      </c>
      <c r="R300" s="100" t="s">
        <v>5819</v>
      </c>
      <c r="S300" s="100" t="s">
        <v>5820</v>
      </c>
      <c r="T300" s="100" t="s">
        <v>5040</v>
      </c>
      <c r="U300" s="100" t="s">
        <v>3796</v>
      </c>
      <c r="V300" s="100" t="s">
        <v>3797</v>
      </c>
      <c r="W300" s="100" t="s">
        <v>682</v>
      </c>
      <c r="X300" s="100" t="s">
        <v>3798</v>
      </c>
      <c r="Y300" s="100" t="s">
        <v>5041</v>
      </c>
      <c r="Z300" s="100" t="s">
        <v>5042</v>
      </c>
      <c r="AA300" s="100" t="s">
        <v>3799</v>
      </c>
      <c r="AB300" s="100" t="s">
        <v>3800</v>
      </c>
      <c r="AC300" s="100" t="s">
        <v>682</v>
      </c>
      <c r="AD300" s="100" t="s">
        <v>682</v>
      </c>
      <c r="AE300" s="100" t="s">
        <v>43</v>
      </c>
      <c r="AF300" s="100" t="s">
        <v>41</v>
      </c>
      <c r="AG300" s="100" t="s">
        <v>42</v>
      </c>
      <c r="AH300" s="100" t="s">
        <v>3801</v>
      </c>
      <c r="AI300" s="100" t="s">
        <v>682</v>
      </c>
      <c r="AJ300" s="100" t="s">
        <v>682</v>
      </c>
      <c r="AK300" s="100" t="s">
        <v>682</v>
      </c>
    </row>
    <row r="301" spans="1:37">
      <c r="A301" s="100" t="s">
        <v>3802</v>
      </c>
      <c r="B301" s="100" t="s">
        <v>3803</v>
      </c>
      <c r="C301" s="100" t="s">
        <v>682</v>
      </c>
      <c r="D301" s="100" t="s">
        <v>118</v>
      </c>
      <c r="E301" s="100" t="s">
        <v>682</v>
      </c>
      <c r="F301" s="100" t="s">
        <v>647</v>
      </c>
      <c r="G301" s="100" t="s">
        <v>119</v>
      </c>
      <c r="H301" s="100" t="s">
        <v>682</v>
      </c>
      <c r="I301" s="100" t="s">
        <v>5043</v>
      </c>
      <c r="J301" s="100" t="s">
        <v>682</v>
      </c>
      <c r="K301" s="100" t="s">
        <v>3804</v>
      </c>
      <c r="L301" s="100" t="s">
        <v>682</v>
      </c>
      <c r="M301" s="100" t="s">
        <v>682</v>
      </c>
      <c r="N301" s="100" t="s">
        <v>682</v>
      </c>
      <c r="O301" s="100" t="s">
        <v>5821</v>
      </c>
      <c r="P301" s="100" t="s">
        <v>3805</v>
      </c>
      <c r="Q301" s="100" t="s">
        <v>3806</v>
      </c>
      <c r="R301" s="100" t="s">
        <v>5822</v>
      </c>
      <c r="S301" s="100" t="s">
        <v>5823</v>
      </c>
      <c r="T301" s="100" t="s">
        <v>5044</v>
      </c>
      <c r="U301" s="100" t="s">
        <v>3807</v>
      </c>
      <c r="V301" s="100" t="s">
        <v>3808</v>
      </c>
      <c r="W301" s="100" t="s">
        <v>682</v>
      </c>
      <c r="X301" s="100" t="s">
        <v>3809</v>
      </c>
      <c r="Y301" s="100" t="s">
        <v>5045</v>
      </c>
      <c r="Z301" s="100" t="s">
        <v>5046</v>
      </c>
      <c r="AA301" s="100" t="s">
        <v>3810</v>
      </c>
      <c r="AB301" s="100" t="s">
        <v>3811</v>
      </c>
      <c r="AC301" s="100" t="s">
        <v>682</v>
      </c>
      <c r="AD301" s="100" t="s">
        <v>682</v>
      </c>
      <c r="AE301" s="100" t="s">
        <v>43</v>
      </c>
      <c r="AF301" s="100" t="s">
        <v>46</v>
      </c>
      <c r="AG301" s="100" t="s">
        <v>42</v>
      </c>
      <c r="AH301" s="100" t="s">
        <v>3812</v>
      </c>
      <c r="AI301" s="100" t="s">
        <v>682</v>
      </c>
      <c r="AJ301" s="100" t="s">
        <v>682</v>
      </c>
      <c r="AK301" s="100" t="s">
        <v>682</v>
      </c>
    </row>
    <row r="302" spans="1:37">
      <c r="A302" s="100" t="s">
        <v>3813</v>
      </c>
      <c r="B302" s="100" t="s">
        <v>3814</v>
      </c>
      <c r="C302" s="100" t="s">
        <v>682</v>
      </c>
      <c r="D302" s="100" t="s">
        <v>120</v>
      </c>
      <c r="E302" s="100" t="s">
        <v>682</v>
      </c>
      <c r="F302" s="100" t="s">
        <v>647</v>
      </c>
      <c r="G302" s="100" t="s">
        <v>676</v>
      </c>
      <c r="H302" s="100" t="s">
        <v>682</v>
      </c>
      <c r="I302" s="100" t="s">
        <v>5047</v>
      </c>
      <c r="J302" s="100" t="s">
        <v>682</v>
      </c>
      <c r="K302" s="100" t="s">
        <v>3815</v>
      </c>
      <c r="L302" s="100" t="s">
        <v>682</v>
      </c>
      <c r="M302" s="100" t="s">
        <v>682</v>
      </c>
      <c r="N302" s="100" t="s">
        <v>682</v>
      </c>
      <c r="O302" s="100" t="s">
        <v>5824</v>
      </c>
      <c r="P302" s="100" t="s">
        <v>3816</v>
      </c>
      <c r="Q302" s="100" t="s">
        <v>3817</v>
      </c>
      <c r="R302" s="100" t="s">
        <v>5825</v>
      </c>
      <c r="S302" s="100" t="s">
        <v>5826</v>
      </c>
      <c r="T302" s="100" t="s">
        <v>5048</v>
      </c>
      <c r="U302" s="100" t="s">
        <v>3818</v>
      </c>
      <c r="V302" s="100" t="s">
        <v>3819</v>
      </c>
      <c r="W302" s="100" t="s">
        <v>682</v>
      </c>
      <c r="X302" s="100" t="s">
        <v>3820</v>
      </c>
      <c r="Y302" s="100" t="s">
        <v>5049</v>
      </c>
      <c r="Z302" s="100" t="s">
        <v>5050</v>
      </c>
      <c r="AA302" s="100" t="s">
        <v>3821</v>
      </c>
      <c r="AB302" s="100" t="s">
        <v>3822</v>
      </c>
      <c r="AC302" s="100" t="s">
        <v>682</v>
      </c>
      <c r="AD302" s="100" t="s">
        <v>682</v>
      </c>
      <c r="AE302" s="100" t="s">
        <v>43</v>
      </c>
      <c r="AF302" s="100" t="s">
        <v>41</v>
      </c>
      <c r="AG302" s="100" t="s">
        <v>42</v>
      </c>
      <c r="AH302" s="100" t="s">
        <v>3823</v>
      </c>
      <c r="AI302" s="100" t="s">
        <v>682</v>
      </c>
      <c r="AJ302" s="100" t="s">
        <v>682</v>
      </c>
      <c r="AK302" s="100" t="s">
        <v>682</v>
      </c>
    </row>
    <row r="303" spans="1:37">
      <c r="A303" s="100" t="s">
        <v>3824</v>
      </c>
      <c r="B303" s="100" t="s">
        <v>3825</v>
      </c>
      <c r="C303" s="100" t="s">
        <v>682</v>
      </c>
      <c r="D303" s="100" t="s">
        <v>122</v>
      </c>
      <c r="E303" s="100" t="s">
        <v>682</v>
      </c>
      <c r="F303" s="100" t="s">
        <v>647</v>
      </c>
      <c r="G303" s="100" t="s">
        <v>677</v>
      </c>
      <c r="H303" s="100" t="s">
        <v>682</v>
      </c>
      <c r="I303" s="100" t="s">
        <v>5051</v>
      </c>
      <c r="J303" s="100" t="s">
        <v>682</v>
      </c>
      <c r="K303" s="100" t="s">
        <v>3826</v>
      </c>
      <c r="L303" s="100" t="s">
        <v>682</v>
      </c>
      <c r="M303" s="100" t="s">
        <v>682</v>
      </c>
      <c r="N303" s="100" t="s">
        <v>682</v>
      </c>
      <c r="O303" s="100" t="s">
        <v>5827</v>
      </c>
      <c r="P303" s="100" t="s">
        <v>4032</v>
      </c>
      <c r="Q303" s="100" t="s">
        <v>3827</v>
      </c>
      <c r="R303" s="100" t="s">
        <v>5828</v>
      </c>
      <c r="S303" s="100" t="s">
        <v>5829</v>
      </c>
      <c r="T303" s="100" t="s">
        <v>5052</v>
      </c>
      <c r="U303" s="100" t="s">
        <v>3828</v>
      </c>
      <c r="V303" s="100" t="s">
        <v>3829</v>
      </c>
      <c r="W303" s="100" t="s">
        <v>682</v>
      </c>
      <c r="X303" s="100" t="s">
        <v>3830</v>
      </c>
      <c r="Y303" s="100" t="s">
        <v>5053</v>
      </c>
      <c r="Z303" s="100" t="s">
        <v>5054</v>
      </c>
      <c r="AA303" s="100" t="s">
        <v>3831</v>
      </c>
      <c r="AB303" s="100" t="s">
        <v>3832</v>
      </c>
      <c r="AC303" s="100" t="s">
        <v>682</v>
      </c>
      <c r="AD303" s="100" t="s">
        <v>682</v>
      </c>
      <c r="AE303" s="100" t="s">
        <v>43</v>
      </c>
      <c r="AF303" s="100" t="s">
        <v>41</v>
      </c>
      <c r="AG303" s="100" t="s">
        <v>42</v>
      </c>
      <c r="AH303" s="100" t="s">
        <v>3833</v>
      </c>
      <c r="AI303" s="100" t="s">
        <v>682</v>
      </c>
      <c r="AJ303" s="100" t="s">
        <v>682</v>
      </c>
      <c r="AK303" s="100" t="s">
        <v>682</v>
      </c>
    </row>
    <row r="304" spans="1:37">
      <c r="A304" s="100" t="s">
        <v>3834</v>
      </c>
      <c r="B304" s="100" t="s">
        <v>3835</v>
      </c>
      <c r="C304" s="100" t="s">
        <v>682</v>
      </c>
      <c r="D304" s="100" t="s">
        <v>122</v>
      </c>
      <c r="E304" s="100" t="s">
        <v>682</v>
      </c>
      <c r="F304" s="100" t="s">
        <v>647</v>
      </c>
      <c r="G304" s="100" t="s">
        <v>375</v>
      </c>
      <c r="H304" s="100" t="s">
        <v>682</v>
      </c>
      <c r="I304" s="100" t="s">
        <v>5055</v>
      </c>
      <c r="J304" s="100" t="s">
        <v>682</v>
      </c>
      <c r="K304" s="100" t="s">
        <v>3836</v>
      </c>
      <c r="L304" s="100" t="s">
        <v>682</v>
      </c>
      <c r="M304" s="100" t="s">
        <v>682</v>
      </c>
      <c r="N304" s="100" t="s">
        <v>682</v>
      </c>
      <c r="O304" s="100" t="s">
        <v>5830</v>
      </c>
      <c r="P304" s="100" t="s">
        <v>3837</v>
      </c>
      <c r="Q304" s="100" t="s">
        <v>3838</v>
      </c>
      <c r="R304" s="100" t="s">
        <v>5831</v>
      </c>
      <c r="S304" s="100" t="s">
        <v>5832</v>
      </c>
      <c r="T304" s="100" t="s">
        <v>5056</v>
      </c>
      <c r="U304" s="100" t="s">
        <v>3839</v>
      </c>
      <c r="V304" s="100" t="s">
        <v>3840</v>
      </c>
      <c r="W304" s="100" t="s">
        <v>682</v>
      </c>
      <c r="X304" s="100" t="s">
        <v>3841</v>
      </c>
      <c r="Y304" s="100" t="s">
        <v>5057</v>
      </c>
      <c r="Z304" s="100" t="s">
        <v>5058</v>
      </c>
      <c r="AA304" s="100" t="s">
        <v>3842</v>
      </c>
      <c r="AB304" s="100" t="s">
        <v>3843</v>
      </c>
      <c r="AC304" s="100" t="s">
        <v>682</v>
      </c>
      <c r="AD304" s="100" t="s">
        <v>682</v>
      </c>
      <c r="AE304" s="100" t="s">
        <v>43</v>
      </c>
      <c r="AF304" s="100" t="s">
        <v>41</v>
      </c>
      <c r="AG304" s="100" t="s">
        <v>42</v>
      </c>
      <c r="AH304" s="100" t="s">
        <v>3844</v>
      </c>
      <c r="AI304" s="100" t="s">
        <v>682</v>
      </c>
      <c r="AJ304" s="100" t="s">
        <v>682</v>
      </c>
      <c r="AK304" s="100" t="s">
        <v>682</v>
      </c>
    </row>
    <row r="305" spans="1:37">
      <c r="A305" s="100" t="s">
        <v>3845</v>
      </c>
      <c r="B305" s="100" t="s">
        <v>3846</v>
      </c>
      <c r="C305" s="100" t="s">
        <v>682</v>
      </c>
      <c r="D305" s="100" t="s">
        <v>122</v>
      </c>
      <c r="E305" s="100" t="s">
        <v>682</v>
      </c>
      <c r="F305" s="100" t="s">
        <v>647</v>
      </c>
      <c r="G305" s="100" t="s">
        <v>678</v>
      </c>
      <c r="H305" s="100" t="s">
        <v>682</v>
      </c>
      <c r="I305" s="100" t="s">
        <v>5059</v>
      </c>
      <c r="J305" s="100" t="s">
        <v>682</v>
      </c>
      <c r="K305" s="100" t="s">
        <v>3847</v>
      </c>
      <c r="L305" s="100" t="s">
        <v>682</v>
      </c>
      <c r="M305" s="100" t="s">
        <v>682</v>
      </c>
      <c r="N305" s="100" t="s">
        <v>682</v>
      </c>
      <c r="O305" s="100" t="s">
        <v>5833</v>
      </c>
      <c r="P305" s="100" t="s">
        <v>3848</v>
      </c>
      <c r="Q305" s="100" t="s">
        <v>3849</v>
      </c>
      <c r="R305" s="100" t="s">
        <v>5834</v>
      </c>
      <c r="S305" s="100" t="s">
        <v>5835</v>
      </c>
      <c r="T305" s="100" t="s">
        <v>5060</v>
      </c>
      <c r="U305" s="100" t="s">
        <v>3850</v>
      </c>
      <c r="V305" s="100" t="s">
        <v>3851</v>
      </c>
      <c r="W305" s="100" t="s">
        <v>682</v>
      </c>
      <c r="X305" s="100" t="s">
        <v>3852</v>
      </c>
      <c r="Y305" s="100" t="s">
        <v>5061</v>
      </c>
      <c r="Z305" s="100" t="s">
        <v>5062</v>
      </c>
      <c r="AA305" s="100" t="s">
        <v>3853</v>
      </c>
      <c r="AB305" s="100" t="s">
        <v>3854</v>
      </c>
      <c r="AC305" s="100" t="s">
        <v>682</v>
      </c>
      <c r="AD305" s="100" t="s">
        <v>682</v>
      </c>
      <c r="AE305" s="100" t="s">
        <v>43</v>
      </c>
      <c r="AF305" s="100" t="s">
        <v>41</v>
      </c>
      <c r="AG305" s="100" t="s">
        <v>42</v>
      </c>
      <c r="AH305" s="100" t="s">
        <v>3855</v>
      </c>
      <c r="AI305" s="100" t="s">
        <v>682</v>
      </c>
      <c r="AJ305" s="100" t="s">
        <v>682</v>
      </c>
      <c r="AK305" s="100" t="s">
        <v>682</v>
      </c>
    </row>
    <row r="306" spans="1:37">
      <c r="A306" s="100" t="s">
        <v>3856</v>
      </c>
      <c r="B306" s="100" t="s">
        <v>3857</v>
      </c>
      <c r="C306" s="100" t="s">
        <v>682</v>
      </c>
      <c r="D306" s="100" t="s">
        <v>125</v>
      </c>
      <c r="E306" s="100" t="s">
        <v>3858</v>
      </c>
      <c r="F306" s="100" t="s">
        <v>157</v>
      </c>
      <c r="G306" s="100" t="s">
        <v>679</v>
      </c>
      <c r="H306" s="100" t="s">
        <v>682</v>
      </c>
      <c r="I306" s="100" t="s">
        <v>5063</v>
      </c>
      <c r="J306" s="100" t="s">
        <v>682</v>
      </c>
      <c r="K306" s="100" t="s">
        <v>3860</v>
      </c>
      <c r="L306" s="100" t="s">
        <v>682</v>
      </c>
      <c r="M306" s="100" t="s">
        <v>682</v>
      </c>
      <c r="N306" s="100" t="s">
        <v>682</v>
      </c>
      <c r="O306" s="100" t="s">
        <v>5836</v>
      </c>
      <c r="P306" s="100" t="s">
        <v>3861</v>
      </c>
      <c r="Q306" s="100" t="s">
        <v>3862</v>
      </c>
      <c r="R306" s="100" t="s">
        <v>5837</v>
      </c>
      <c r="S306" s="100" t="s">
        <v>5838</v>
      </c>
      <c r="T306" s="100" t="s">
        <v>5064</v>
      </c>
      <c r="U306" s="100" t="s">
        <v>3863</v>
      </c>
      <c r="V306" s="100" t="s">
        <v>3864</v>
      </c>
      <c r="W306" s="100" t="s">
        <v>682</v>
      </c>
      <c r="X306" s="100" t="s">
        <v>3865</v>
      </c>
      <c r="Y306" s="100" t="s">
        <v>5065</v>
      </c>
      <c r="Z306" s="100" t="s">
        <v>5066</v>
      </c>
      <c r="AA306" s="100" t="s">
        <v>3866</v>
      </c>
      <c r="AB306" s="100" t="s">
        <v>3867</v>
      </c>
      <c r="AC306" s="100" t="s">
        <v>682</v>
      </c>
      <c r="AD306" s="100" t="s">
        <v>682</v>
      </c>
      <c r="AE306" s="100" t="s">
        <v>43</v>
      </c>
      <c r="AF306" s="100" t="s">
        <v>46</v>
      </c>
      <c r="AG306" s="100" t="s">
        <v>42</v>
      </c>
      <c r="AH306" s="100" t="s">
        <v>3868</v>
      </c>
      <c r="AI306" s="100" t="s">
        <v>682</v>
      </c>
      <c r="AJ306" s="100" t="s">
        <v>682</v>
      </c>
      <c r="AK306" s="100" t="s">
        <v>682</v>
      </c>
    </row>
    <row r="307" spans="1:37">
      <c r="A307" s="100" t="s">
        <v>7158</v>
      </c>
      <c r="B307" s="100" t="s">
        <v>7159</v>
      </c>
      <c r="C307" s="100" t="s">
        <v>682</v>
      </c>
      <c r="D307" s="100" t="s">
        <v>125</v>
      </c>
      <c r="E307" s="100" t="s">
        <v>7160</v>
      </c>
      <c r="F307" s="100" t="s">
        <v>157</v>
      </c>
      <c r="G307" s="100" t="s">
        <v>680</v>
      </c>
      <c r="H307" s="100" t="s">
        <v>682</v>
      </c>
      <c r="I307" s="100" t="s">
        <v>7161</v>
      </c>
      <c r="J307" s="100" t="s">
        <v>682</v>
      </c>
      <c r="K307" s="100" t="s">
        <v>3869</v>
      </c>
      <c r="L307" s="100" t="s">
        <v>682</v>
      </c>
      <c r="M307" s="100" t="s">
        <v>682</v>
      </c>
      <c r="N307" s="100" t="s">
        <v>682</v>
      </c>
      <c r="O307" s="100" t="s">
        <v>7162</v>
      </c>
      <c r="P307" s="100" t="s">
        <v>7163</v>
      </c>
      <c r="Q307" s="100" t="s">
        <v>7164</v>
      </c>
      <c r="R307" s="100" t="s">
        <v>7165</v>
      </c>
      <c r="S307" s="100" t="s">
        <v>7166</v>
      </c>
      <c r="T307" s="100" t="s">
        <v>7167</v>
      </c>
      <c r="U307" s="100" t="s">
        <v>7168</v>
      </c>
      <c r="V307" s="100" t="s">
        <v>7169</v>
      </c>
      <c r="W307" s="100" t="s">
        <v>682</v>
      </c>
      <c r="X307" s="100" t="s">
        <v>7170</v>
      </c>
      <c r="Y307" s="100" t="s">
        <v>7171</v>
      </c>
      <c r="Z307" s="100" t="s">
        <v>7172</v>
      </c>
      <c r="AA307" s="100" t="s">
        <v>7173</v>
      </c>
      <c r="AB307" s="100" t="s">
        <v>7174</v>
      </c>
      <c r="AC307" s="100" t="s">
        <v>682</v>
      </c>
      <c r="AD307" s="100" t="s">
        <v>682</v>
      </c>
      <c r="AE307" s="100" t="s">
        <v>43</v>
      </c>
      <c r="AF307" s="100" t="s">
        <v>41</v>
      </c>
      <c r="AG307" s="100" t="s">
        <v>42</v>
      </c>
      <c r="AH307" s="100" t="s">
        <v>3870</v>
      </c>
      <c r="AI307" s="100" t="s">
        <v>682</v>
      </c>
      <c r="AJ307" s="100" t="s">
        <v>682</v>
      </c>
      <c r="AK307" s="100" t="s">
        <v>682</v>
      </c>
    </row>
    <row r="308" spans="1:37">
      <c r="A308" s="100" t="s">
        <v>3871</v>
      </c>
      <c r="B308" s="100" t="s">
        <v>3872</v>
      </c>
      <c r="C308" s="100" t="s">
        <v>682</v>
      </c>
      <c r="D308" s="100" t="s">
        <v>125</v>
      </c>
      <c r="E308" s="100" t="s">
        <v>7175</v>
      </c>
      <c r="F308" s="100" t="s">
        <v>153</v>
      </c>
      <c r="G308" s="100" t="s">
        <v>128</v>
      </c>
      <c r="H308" s="100" t="s">
        <v>682</v>
      </c>
      <c r="I308" s="100" t="s">
        <v>5067</v>
      </c>
      <c r="J308" s="100" t="s">
        <v>682</v>
      </c>
      <c r="K308" s="100" t="s">
        <v>3874</v>
      </c>
      <c r="L308" s="100" t="s">
        <v>682</v>
      </c>
      <c r="M308" s="100" t="s">
        <v>682</v>
      </c>
      <c r="N308" s="100" t="s">
        <v>682</v>
      </c>
      <c r="O308" s="100" t="s">
        <v>5839</v>
      </c>
      <c r="P308" s="100" t="s">
        <v>4033</v>
      </c>
      <c r="Q308" s="100" t="s">
        <v>3875</v>
      </c>
      <c r="R308" s="100" t="s">
        <v>5840</v>
      </c>
      <c r="S308" s="100" t="s">
        <v>5841</v>
      </c>
      <c r="T308" s="100" t="s">
        <v>5068</v>
      </c>
      <c r="U308" s="100" t="s">
        <v>3876</v>
      </c>
      <c r="V308" s="100" t="s">
        <v>3877</v>
      </c>
      <c r="W308" s="100" t="s">
        <v>682</v>
      </c>
      <c r="X308" s="100" t="s">
        <v>3878</v>
      </c>
      <c r="Y308" s="100" t="s">
        <v>5069</v>
      </c>
      <c r="Z308" s="100" t="s">
        <v>5070</v>
      </c>
      <c r="AA308" s="100" t="s">
        <v>3879</v>
      </c>
      <c r="AB308" s="100" t="s">
        <v>3880</v>
      </c>
      <c r="AC308" s="100" t="s">
        <v>682</v>
      </c>
      <c r="AD308" s="100" t="s">
        <v>682</v>
      </c>
      <c r="AE308" s="100" t="s">
        <v>43</v>
      </c>
      <c r="AF308" s="100" t="s">
        <v>46</v>
      </c>
      <c r="AG308" s="100" t="s">
        <v>42</v>
      </c>
      <c r="AH308" s="100" t="s">
        <v>3881</v>
      </c>
      <c r="AI308" s="100" t="s">
        <v>682</v>
      </c>
      <c r="AJ308" s="100" t="s">
        <v>682</v>
      </c>
      <c r="AK308" s="100" t="s">
        <v>682</v>
      </c>
    </row>
    <row r="309" spans="1:37">
      <c r="A309" s="100" t="s">
        <v>3882</v>
      </c>
      <c r="B309" s="100" t="s">
        <v>3883</v>
      </c>
      <c r="C309" s="100" t="s">
        <v>682</v>
      </c>
      <c r="D309" s="100" t="s">
        <v>129</v>
      </c>
      <c r="E309" s="100" t="s">
        <v>7176</v>
      </c>
      <c r="F309" s="100" t="s">
        <v>153</v>
      </c>
      <c r="G309" s="100" t="s">
        <v>130</v>
      </c>
      <c r="H309" s="100" t="s">
        <v>682</v>
      </c>
      <c r="I309" s="100" t="s">
        <v>5071</v>
      </c>
      <c r="J309" s="100" t="s">
        <v>682</v>
      </c>
      <c r="K309" s="100" t="s">
        <v>3884</v>
      </c>
      <c r="L309" s="100" t="s">
        <v>682</v>
      </c>
      <c r="M309" s="100" t="s">
        <v>682</v>
      </c>
      <c r="N309" s="100" t="s">
        <v>682</v>
      </c>
      <c r="O309" s="100" t="s">
        <v>5842</v>
      </c>
      <c r="P309" s="100" t="s">
        <v>4034</v>
      </c>
      <c r="Q309" s="100" t="s">
        <v>3885</v>
      </c>
      <c r="R309" s="100" t="s">
        <v>5843</v>
      </c>
      <c r="S309" s="100" t="s">
        <v>5844</v>
      </c>
      <c r="T309" s="100" t="s">
        <v>5072</v>
      </c>
      <c r="U309" s="100" t="s">
        <v>3886</v>
      </c>
      <c r="V309" s="100" t="s">
        <v>3887</v>
      </c>
      <c r="W309" s="100" t="s">
        <v>682</v>
      </c>
      <c r="X309" s="100" t="s">
        <v>3888</v>
      </c>
      <c r="Y309" s="100" t="s">
        <v>5073</v>
      </c>
      <c r="Z309" s="100" t="s">
        <v>5074</v>
      </c>
      <c r="AA309" s="100" t="s">
        <v>3889</v>
      </c>
      <c r="AB309" s="100" t="s">
        <v>3890</v>
      </c>
      <c r="AC309" s="100" t="s">
        <v>682</v>
      </c>
      <c r="AD309" s="100" t="s">
        <v>682</v>
      </c>
      <c r="AE309" s="100" t="s">
        <v>43</v>
      </c>
      <c r="AF309" s="100" t="s">
        <v>41</v>
      </c>
      <c r="AG309" s="100" t="s">
        <v>42</v>
      </c>
      <c r="AH309" s="100" t="s">
        <v>3891</v>
      </c>
      <c r="AI309" s="100" t="s">
        <v>682</v>
      </c>
      <c r="AJ309" s="100" t="s">
        <v>682</v>
      </c>
      <c r="AK309" s="100" t="s">
        <v>682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395A7-A7CF-45BA-9BED-E6E9AD1DD989}">
  <sheetPr codeName="Sheet2"/>
  <dimension ref="A1:U79"/>
  <sheetViews>
    <sheetView showGridLines="0" tabSelected="1" zoomScale="70" zoomScaleNormal="75" workbookViewId="0">
      <selection activeCell="B6" sqref="B6:J6"/>
    </sheetView>
  </sheetViews>
  <sheetFormatPr defaultRowHeight="13.8"/>
  <cols>
    <col min="1" max="1" width="22.77734375" customWidth="1"/>
    <col min="2" max="10" width="14.77734375" customWidth="1"/>
    <col min="11" max="11" width="3.77734375" customWidth="1"/>
    <col min="12" max="13" width="14.77734375" customWidth="1"/>
  </cols>
  <sheetData>
    <row r="1" spans="1:21" ht="25.05" customHeight="1">
      <c r="A1" s="234" t="s">
        <v>6443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112"/>
      <c r="O1" s="112"/>
      <c r="P1" s="112"/>
      <c r="Q1" s="112"/>
      <c r="R1" s="112"/>
      <c r="S1" s="112"/>
      <c r="T1" s="112"/>
      <c r="U1" s="112"/>
    </row>
    <row r="2" spans="1:21" s="95" customFormat="1" ht="25.05" customHeight="1">
      <c r="A2" s="235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113"/>
      <c r="O2" s="113"/>
      <c r="P2" s="113"/>
      <c r="Q2" s="113"/>
      <c r="R2" s="113"/>
      <c r="S2" s="113"/>
      <c r="T2" s="113"/>
      <c r="U2" s="113"/>
    </row>
    <row r="3" spans="1:21" s="95" customFormat="1" ht="25.05" customHeight="1">
      <c r="A3" s="135" t="s">
        <v>6444</v>
      </c>
      <c r="B3" s="147"/>
      <c r="C3" s="147"/>
      <c r="D3" s="147"/>
      <c r="E3" s="147"/>
      <c r="F3" s="147"/>
      <c r="G3" s="147"/>
      <c r="H3" s="147"/>
      <c r="I3" s="147"/>
      <c r="J3" s="147"/>
      <c r="K3" s="114"/>
      <c r="L3" s="139"/>
      <c r="M3" s="139"/>
      <c r="N3" s="113"/>
      <c r="O3" s="113"/>
      <c r="P3" s="113"/>
      <c r="Q3" s="113"/>
      <c r="R3" s="113"/>
      <c r="S3" s="113"/>
      <c r="T3" s="113"/>
      <c r="U3" s="113"/>
    </row>
    <row r="4" spans="1:21" s="95" customFormat="1" ht="28.95" customHeight="1">
      <c r="A4" s="121" t="s">
        <v>6445</v>
      </c>
      <c r="B4" s="233"/>
      <c r="C4" s="233"/>
      <c r="D4" s="233"/>
      <c r="E4" s="233"/>
      <c r="F4" s="233"/>
      <c r="G4" s="233"/>
      <c r="H4" s="233"/>
      <c r="I4" s="233"/>
      <c r="J4" s="233"/>
      <c r="K4" s="114"/>
      <c r="L4" s="139"/>
      <c r="M4" s="139"/>
      <c r="N4" s="113"/>
      <c r="O4" s="113"/>
      <c r="P4" s="113"/>
      <c r="Q4" s="113"/>
      <c r="R4" s="113"/>
      <c r="S4" s="113"/>
      <c r="T4" s="113"/>
      <c r="U4" s="113"/>
    </row>
    <row r="5" spans="1:21" s="95" customFormat="1" ht="28.95" customHeight="1">
      <c r="A5" s="121" t="s">
        <v>6446</v>
      </c>
      <c r="B5" s="233"/>
      <c r="C5" s="233"/>
      <c r="D5" s="233"/>
      <c r="E5" s="233"/>
      <c r="F5" s="233"/>
      <c r="G5" s="233"/>
      <c r="H5" s="233"/>
      <c r="I5" s="233"/>
      <c r="J5" s="233"/>
      <c r="K5" s="114"/>
      <c r="L5" s="114"/>
      <c r="M5" s="114"/>
      <c r="N5" s="113"/>
      <c r="O5" s="113"/>
      <c r="P5" s="113"/>
      <c r="Q5" s="113"/>
      <c r="R5" s="113"/>
      <c r="S5" s="113"/>
      <c r="T5" s="113"/>
      <c r="U5" s="113"/>
    </row>
    <row r="6" spans="1:21" s="95" customFormat="1" ht="28.95" customHeight="1">
      <c r="A6" s="121" t="s">
        <v>6447</v>
      </c>
      <c r="B6" s="233"/>
      <c r="C6" s="233"/>
      <c r="D6" s="233"/>
      <c r="E6" s="233"/>
      <c r="F6" s="233"/>
      <c r="G6" s="233"/>
      <c r="H6" s="233"/>
      <c r="I6" s="233"/>
      <c r="J6" s="233"/>
      <c r="K6" s="114"/>
      <c r="L6" s="114"/>
      <c r="M6" s="114"/>
      <c r="N6" s="113"/>
      <c r="O6" s="113"/>
      <c r="P6" s="113"/>
      <c r="Q6" s="113"/>
      <c r="R6" s="113"/>
      <c r="S6" s="113"/>
      <c r="T6" s="113"/>
      <c r="U6" s="113"/>
    </row>
    <row r="7" spans="1:21" s="95" customFormat="1" ht="28.95" customHeight="1">
      <c r="A7" s="121" t="s">
        <v>6448</v>
      </c>
      <c r="B7" s="233"/>
      <c r="C7" s="233"/>
      <c r="D7" s="233"/>
      <c r="E7" s="233"/>
      <c r="F7" s="233"/>
      <c r="G7" s="233"/>
      <c r="H7" s="233"/>
      <c r="I7" s="233"/>
      <c r="J7" s="233"/>
      <c r="K7" s="114"/>
      <c r="L7" s="114"/>
      <c r="M7" s="114"/>
      <c r="N7" s="113"/>
      <c r="O7" s="113"/>
      <c r="P7" s="113"/>
      <c r="Q7" s="113"/>
      <c r="R7" s="113"/>
      <c r="S7" s="113"/>
      <c r="T7" s="113"/>
      <c r="U7" s="113"/>
    </row>
    <row r="8" spans="1:21" s="95" customFormat="1" ht="25.05" customHeight="1">
      <c r="A8" s="135" t="s">
        <v>6449</v>
      </c>
      <c r="B8" s="136"/>
      <c r="C8" s="136"/>
      <c r="D8" s="136"/>
      <c r="E8" s="136"/>
      <c r="F8" s="136"/>
      <c r="G8" s="136"/>
      <c r="H8" s="136"/>
      <c r="I8" s="136"/>
      <c r="J8" s="136"/>
      <c r="K8" s="114"/>
      <c r="L8" s="114"/>
      <c r="M8" s="114"/>
      <c r="N8" s="113"/>
      <c r="O8" s="113"/>
      <c r="P8" s="113"/>
      <c r="Q8" s="113"/>
      <c r="R8" s="113"/>
      <c r="S8" s="113"/>
      <c r="T8" s="113"/>
      <c r="U8" s="113"/>
    </row>
    <row r="9" spans="1:21" s="95" customFormat="1" ht="42" customHeight="1">
      <c r="A9" s="124" t="s">
        <v>6450</v>
      </c>
      <c r="B9" s="122">
        <v>7</v>
      </c>
      <c r="C9" s="124" t="s">
        <v>6451</v>
      </c>
      <c r="D9" s="122">
        <v>10</v>
      </c>
      <c r="E9" s="124" t="s">
        <v>6452</v>
      </c>
      <c r="F9" s="122">
        <v>30</v>
      </c>
      <c r="G9" s="124" t="s">
        <v>6453</v>
      </c>
      <c r="H9" s="122">
        <v>7</v>
      </c>
      <c r="I9" s="115"/>
      <c r="J9" s="114"/>
      <c r="K9" s="114"/>
      <c r="L9" s="114"/>
      <c r="M9" s="114"/>
      <c r="N9" s="113"/>
      <c r="O9" s="113"/>
      <c r="P9" s="113"/>
      <c r="Q9" s="113"/>
      <c r="R9" s="113"/>
      <c r="S9" s="113"/>
      <c r="T9" s="113"/>
      <c r="U9" s="113"/>
    </row>
    <row r="10" spans="1:21" s="95" customFormat="1" ht="25.05" customHeight="1">
      <c r="A10" s="115"/>
      <c r="B10" s="115"/>
      <c r="C10" s="115"/>
      <c r="D10" s="115"/>
      <c r="E10" s="115"/>
      <c r="F10" s="115"/>
      <c r="G10" s="115"/>
      <c r="H10" s="115"/>
      <c r="I10" s="115"/>
      <c r="J10" s="114"/>
      <c r="K10" s="114"/>
      <c r="L10" s="114"/>
      <c r="M10" s="114"/>
      <c r="N10" s="113"/>
      <c r="O10" s="113"/>
      <c r="P10" s="113"/>
      <c r="Q10" s="113"/>
      <c r="R10" s="113"/>
      <c r="S10" s="113"/>
      <c r="T10" s="113"/>
      <c r="U10" s="113"/>
    </row>
    <row r="11" spans="1:21" s="95" customFormat="1" ht="28.05" customHeight="1" thickBot="1">
      <c r="A11" s="116" t="s">
        <v>6454</v>
      </c>
      <c r="B11" s="144">
        <v>46447</v>
      </c>
      <c r="C11" s="145"/>
      <c r="D11" s="146"/>
      <c r="E11" s="125" t="s">
        <v>6455</v>
      </c>
      <c r="F11" s="126">
        <v>30</v>
      </c>
      <c r="G11" s="116"/>
      <c r="H11" s="116"/>
      <c r="I11" s="116"/>
      <c r="J11" s="117"/>
      <c r="K11" s="114"/>
      <c r="L11" s="114"/>
      <c r="M11" s="114"/>
      <c r="N11" s="113"/>
      <c r="O11" s="113"/>
      <c r="P11" s="113"/>
      <c r="Q11" s="113"/>
      <c r="R11" s="113"/>
      <c r="S11" s="113"/>
      <c r="T11" s="113"/>
      <c r="U11" s="113"/>
    </row>
    <row r="12" spans="1:21" s="95" customFormat="1" ht="25.05" customHeight="1">
      <c r="A12" s="115"/>
      <c r="B12" s="115"/>
      <c r="C12" s="115"/>
      <c r="D12" s="115"/>
      <c r="E12" s="115"/>
      <c r="F12" s="115"/>
      <c r="G12" s="115"/>
      <c r="H12" s="115"/>
      <c r="I12" s="115"/>
      <c r="J12" s="114"/>
      <c r="K12" s="114"/>
      <c r="L12" s="114"/>
      <c r="M12" s="114"/>
      <c r="N12" s="113"/>
      <c r="O12" s="113"/>
      <c r="P12" s="113"/>
      <c r="Q12" s="113"/>
      <c r="R12" s="113"/>
      <c r="S12" s="113"/>
      <c r="T12" s="113"/>
      <c r="U12" s="113"/>
    </row>
    <row r="13" spans="1:21" s="95" customFormat="1" ht="25.05" customHeight="1">
      <c r="A13" s="139" t="s">
        <v>6456</v>
      </c>
      <c r="B13" s="139"/>
      <c r="C13" s="139"/>
      <c r="D13" s="139"/>
      <c r="E13" s="139"/>
      <c r="F13" s="139"/>
      <c r="G13" s="139"/>
      <c r="H13" s="139"/>
      <c r="I13" s="139"/>
      <c r="J13" s="139"/>
      <c r="K13" s="114"/>
      <c r="L13" s="114"/>
      <c r="M13" s="114"/>
      <c r="N13" s="113"/>
      <c r="O13" s="113"/>
      <c r="P13" s="113"/>
      <c r="Q13" s="113"/>
      <c r="R13" s="113"/>
      <c r="S13" s="113"/>
      <c r="T13" s="113"/>
      <c r="U13" s="113"/>
    </row>
    <row r="14" spans="1:21" s="95" customFormat="1" ht="25.05" customHeight="1">
      <c r="A14" s="139"/>
      <c r="B14" s="139"/>
      <c r="C14" s="139"/>
      <c r="D14" s="139"/>
      <c r="E14" s="139"/>
      <c r="F14" s="139"/>
      <c r="G14" s="139"/>
      <c r="H14" s="139"/>
      <c r="I14" s="139"/>
      <c r="J14" s="139"/>
      <c r="K14" s="114"/>
      <c r="L14" s="114"/>
      <c r="M14" s="114"/>
      <c r="N14" s="113"/>
      <c r="O14" s="113"/>
      <c r="P14" s="113"/>
      <c r="Q14" s="113"/>
      <c r="R14" s="113"/>
      <c r="S14" s="113"/>
      <c r="T14" s="113"/>
      <c r="U14" s="113"/>
    </row>
    <row r="15" spans="1:21" s="95" customFormat="1" ht="25.05" customHeight="1">
      <c r="A15" s="137" t="s">
        <v>6457</v>
      </c>
      <c r="B15" s="137"/>
      <c r="C15" s="137"/>
      <c r="D15" s="137"/>
      <c r="E15" s="137"/>
      <c r="F15" s="137"/>
      <c r="G15" s="137"/>
      <c r="H15" s="137"/>
      <c r="I15" s="137"/>
      <c r="J15" s="137"/>
      <c r="K15" s="114"/>
      <c r="L15" s="114"/>
      <c r="M15" s="114"/>
      <c r="N15" s="113"/>
      <c r="O15" s="113"/>
      <c r="P15" s="113"/>
      <c r="Q15" s="113"/>
      <c r="R15" s="113"/>
      <c r="S15" s="113"/>
      <c r="T15" s="113"/>
      <c r="U15" s="113"/>
    </row>
    <row r="16" spans="1:21" s="95" customFormat="1" ht="25.05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14"/>
      <c r="L16" s="114"/>
      <c r="M16" s="114"/>
      <c r="N16" s="113"/>
      <c r="O16" s="113"/>
      <c r="P16" s="113"/>
      <c r="Q16" s="113"/>
      <c r="R16" s="113"/>
      <c r="S16" s="113"/>
      <c r="T16" s="113"/>
      <c r="U16" s="113"/>
    </row>
    <row r="17" spans="1:21" s="95" customFormat="1" ht="25.05" customHeight="1">
      <c r="A17" s="115"/>
      <c r="B17" s="115"/>
      <c r="C17" s="115"/>
      <c r="D17" s="115"/>
      <c r="E17" s="115"/>
      <c r="F17" s="115"/>
      <c r="G17" s="115"/>
      <c r="H17" s="115"/>
      <c r="I17" s="115"/>
      <c r="J17" s="114"/>
      <c r="K17" s="114"/>
      <c r="L17" s="114"/>
      <c r="M17" s="114"/>
      <c r="N17" s="113"/>
      <c r="O17" s="113"/>
      <c r="P17" s="113"/>
      <c r="Q17" s="113"/>
      <c r="R17" s="113"/>
      <c r="S17" s="113"/>
      <c r="T17" s="113"/>
      <c r="U17" s="113"/>
    </row>
    <row r="18" spans="1:21" s="95" customFormat="1" ht="34.799999999999997" customHeight="1">
      <c r="A18" s="140" t="s">
        <v>6458</v>
      </c>
      <c r="B18" s="141"/>
      <c r="C18" s="141"/>
      <c r="D18" s="140" t="s">
        <v>6459</v>
      </c>
      <c r="E18" s="141"/>
      <c r="F18" s="141"/>
      <c r="G18" s="140" t="s">
        <v>6460</v>
      </c>
      <c r="H18" s="141"/>
      <c r="I18" s="141"/>
      <c r="J18" s="140" t="s">
        <v>6461</v>
      </c>
      <c r="K18" s="141"/>
      <c r="L18" s="141"/>
      <c r="M18" s="141"/>
      <c r="N18" s="113"/>
      <c r="O18" s="113"/>
      <c r="P18" s="113"/>
      <c r="Q18" s="113"/>
      <c r="R18" s="113"/>
      <c r="S18" s="113"/>
      <c r="T18" s="113"/>
      <c r="U18" s="113"/>
    </row>
    <row r="19" spans="1:21" s="95" customFormat="1" ht="25.05" customHeight="1">
      <c r="A19" s="141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13"/>
      <c r="O19" s="113"/>
      <c r="P19" s="113"/>
      <c r="Q19" s="113"/>
      <c r="R19" s="113"/>
      <c r="S19" s="113"/>
      <c r="T19" s="113"/>
      <c r="U19" s="113"/>
    </row>
    <row r="20" spans="1:21" s="95" customFormat="1" ht="25.05" customHeight="1">
      <c r="A20" s="142">
        <v>288</v>
      </c>
      <c r="B20" s="143"/>
      <c r="C20" s="143"/>
      <c r="D20" s="142">
        <v>60</v>
      </c>
      <c r="E20" s="143"/>
      <c r="F20" s="143"/>
      <c r="G20" s="142">
        <v>80</v>
      </c>
      <c r="H20" s="143"/>
      <c r="I20" s="143"/>
      <c r="J20" s="142">
        <v>87</v>
      </c>
      <c r="K20" s="143"/>
      <c r="L20" s="143"/>
      <c r="M20" s="143"/>
      <c r="N20" s="113"/>
      <c r="O20" s="113"/>
      <c r="P20" s="113"/>
      <c r="Q20" s="113"/>
      <c r="R20" s="113"/>
      <c r="S20" s="113"/>
      <c r="T20" s="113"/>
      <c r="U20" s="113"/>
    </row>
    <row r="21" spans="1:21" s="95" customFormat="1" ht="25.05" customHeight="1">
      <c r="A21" s="143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13"/>
      <c r="O21" s="113"/>
      <c r="P21" s="113"/>
      <c r="Q21" s="113"/>
      <c r="R21" s="113"/>
      <c r="S21" s="113"/>
      <c r="T21" s="113"/>
      <c r="U21" s="113"/>
    </row>
    <row r="22" spans="1:21" s="95" customFormat="1" ht="25.05" customHeight="1">
      <c r="A22" s="123" t="s">
        <v>6462</v>
      </c>
      <c r="B22" s="137" t="s">
        <v>5075</v>
      </c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13"/>
      <c r="O22" s="113"/>
      <c r="P22" s="113"/>
      <c r="Q22" s="113"/>
      <c r="R22" s="113"/>
      <c r="S22" s="113"/>
      <c r="T22" s="113"/>
      <c r="U22" s="113"/>
    </row>
    <row r="23" spans="1:21" s="95" customFormat="1" ht="25.05" customHeight="1">
      <c r="A23" s="123" t="s">
        <v>6463</v>
      </c>
      <c r="B23" s="138">
        <v>46304.503854166665</v>
      </c>
      <c r="C23" s="137"/>
      <c r="D23" s="137"/>
      <c r="E23" s="137"/>
      <c r="F23" s="137"/>
      <c r="G23" s="123" t="s">
        <v>6464</v>
      </c>
      <c r="H23" s="137">
        <v>1060</v>
      </c>
      <c r="I23" s="137"/>
      <c r="J23" s="137"/>
      <c r="K23" s="137"/>
      <c r="L23" s="137"/>
      <c r="M23" s="137"/>
      <c r="N23" s="113"/>
      <c r="O23" s="113"/>
      <c r="P23" s="113"/>
      <c r="Q23" s="113"/>
      <c r="R23" s="113"/>
      <c r="S23" s="113"/>
      <c r="T23" s="113"/>
      <c r="U23" s="113"/>
    </row>
    <row r="24" spans="1:21" s="95" customFormat="1" ht="25.05" customHeight="1">
      <c r="A24" s="123" t="s">
        <v>6465</v>
      </c>
      <c r="B24" s="138">
        <v>46304.503877314812</v>
      </c>
      <c r="C24" s="137"/>
      <c r="D24" s="137"/>
      <c r="E24" s="137"/>
      <c r="F24" s="137"/>
      <c r="G24" s="123" t="s">
        <v>6466</v>
      </c>
      <c r="H24" s="138">
        <v>46304.506574074076</v>
      </c>
      <c r="I24" s="137"/>
      <c r="J24" s="137"/>
      <c r="K24" s="137"/>
      <c r="L24" s="137"/>
      <c r="M24" s="137"/>
      <c r="N24" s="113"/>
      <c r="O24" s="113"/>
      <c r="P24" s="113"/>
      <c r="Q24" s="113"/>
      <c r="R24" s="113"/>
      <c r="S24" s="113"/>
      <c r="T24" s="113"/>
      <c r="U24" s="113"/>
    </row>
    <row r="25" spans="1:21" s="95" customFormat="1" ht="25.05" customHeight="1">
      <c r="A25" s="123"/>
      <c r="B25" s="115"/>
      <c r="C25" s="115"/>
      <c r="D25" s="115"/>
      <c r="E25" s="115"/>
      <c r="F25" s="115"/>
      <c r="G25" s="115"/>
      <c r="H25" s="115"/>
      <c r="I25" s="115"/>
      <c r="J25" s="114"/>
      <c r="K25" s="114"/>
      <c r="L25" s="114"/>
      <c r="M25" s="114"/>
      <c r="N25" s="113"/>
      <c r="O25" s="113"/>
      <c r="P25" s="113"/>
      <c r="Q25" s="113"/>
      <c r="R25" s="113"/>
      <c r="S25" s="113"/>
      <c r="T25" s="113"/>
      <c r="U25" s="113"/>
    </row>
    <row r="26" spans="1:21" s="95" customFormat="1" ht="25.05" customHeight="1">
      <c r="A26" s="123" t="s">
        <v>6467</v>
      </c>
      <c r="B26" s="137" t="s">
        <v>9062</v>
      </c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13"/>
      <c r="O26" s="113"/>
      <c r="P26" s="113"/>
      <c r="Q26" s="113"/>
      <c r="R26" s="113"/>
      <c r="S26" s="113"/>
      <c r="T26" s="113"/>
      <c r="U26" s="113"/>
    </row>
    <row r="27" spans="1:21" s="95" customFormat="1" ht="25.05" customHeight="1">
      <c r="A27" s="123" t="s">
        <v>6468</v>
      </c>
      <c r="B27" s="137" t="s">
        <v>7177</v>
      </c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13"/>
      <c r="O27" s="113"/>
      <c r="P27" s="113"/>
      <c r="Q27" s="113"/>
      <c r="R27" s="113"/>
      <c r="S27" s="113"/>
      <c r="T27" s="113"/>
      <c r="U27" s="113"/>
    </row>
    <row r="28" spans="1:21" s="95" customFormat="1" ht="25.05" customHeight="1">
      <c r="A28" s="115"/>
      <c r="B28" s="115"/>
      <c r="C28" s="115"/>
      <c r="D28" s="115"/>
      <c r="E28" s="115"/>
      <c r="F28" s="115"/>
      <c r="G28" s="115"/>
      <c r="H28" s="115"/>
      <c r="I28" s="115"/>
      <c r="J28" s="114"/>
      <c r="K28" s="114"/>
      <c r="L28" s="114"/>
      <c r="M28" s="114"/>
      <c r="N28" s="113"/>
      <c r="O28" s="113"/>
      <c r="P28" s="113"/>
      <c r="Q28" s="113"/>
      <c r="R28" s="113"/>
      <c r="S28" s="113"/>
      <c r="T28" s="113"/>
      <c r="U28" s="113"/>
    </row>
    <row r="29" spans="1:21" s="95" customFormat="1" ht="25.05" customHeight="1">
      <c r="A29" s="135" t="s">
        <v>6469</v>
      </c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13"/>
      <c r="O29" s="113"/>
      <c r="P29" s="113"/>
      <c r="Q29" s="113"/>
      <c r="R29" s="113"/>
      <c r="S29" s="113"/>
      <c r="T29" s="113"/>
      <c r="U29" s="113"/>
    </row>
    <row r="30" spans="1:21" s="95" customFormat="1" ht="25.05" customHeight="1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13"/>
      <c r="O30" s="113"/>
      <c r="P30" s="113"/>
      <c r="Q30" s="113"/>
      <c r="R30" s="113"/>
      <c r="S30" s="113"/>
      <c r="T30" s="113"/>
      <c r="U30" s="113"/>
    </row>
    <row r="31" spans="1:21" s="96" customFormat="1" ht="31.95" customHeight="1">
      <c r="A31" s="127" t="s">
        <v>131</v>
      </c>
      <c r="B31" s="127" t="s">
        <v>6470</v>
      </c>
      <c r="C31" s="127" t="s">
        <v>6471</v>
      </c>
      <c r="D31" s="127" t="s">
        <v>6472</v>
      </c>
      <c r="E31" s="127" t="s">
        <v>132</v>
      </c>
      <c r="F31" s="127" t="s">
        <v>133</v>
      </c>
      <c r="G31" s="127" t="s">
        <v>6473</v>
      </c>
      <c r="H31" s="127" t="s">
        <v>6474</v>
      </c>
      <c r="I31" s="127" t="s">
        <v>6475</v>
      </c>
      <c r="J31" s="128" t="s">
        <v>6476</v>
      </c>
      <c r="K31" s="118"/>
      <c r="L31" s="118"/>
      <c r="M31" s="118"/>
    </row>
    <row r="32" spans="1:21" ht="24" customHeight="1">
      <c r="A32" s="131">
        <f>$B$11</f>
        <v>46447</v>
      </c>
      <c r="B32" s="129">
        <v>1</v>
      </c>
      <c r="C32" s="129" t="str">
        <f>"CW"&amp;WEEKNUM('Shipping Program'!$A32,1)</f>
        <v>CW10</v>
      </c>
      <c r="D32" s="129">
        <f t="shared" ref="D32:D67" si="0">$F$9</f>
        <v>30</v>
      </c>
      <c r="E32" s="131">
        <f>A32+D32</f>
        <v>46477</v>
      </c>
      <c r="F32" s="131">
        <f t="shared" ref="F32:F67" si="1">E32+$H$9</f>
        <v>46484</v>
      </c>
      <c r="G32" s="130" t="s">
        <v>134</v>
      </c>
      <c r="H32" s="130" t="s">
        <v>135</v>
      </c>
      <c r="I32" s="130"/>
      <c r="J32" s="129">
        <v>6</v>
      </c>
      <c r="K32" s="120"/>
      <c r="L32" s="120"/>
      <c r="M32" s="120"/>
    </row>
    <row r="33" spans="1:13" ht="24" customHeight="1">
      <c r="A33" s="133">
        <f t="shared" ref="A33:A67" si="2">A32+$B$9</f>
        <v>46454</v>
      </c>
      <c r="B33" s="132">
        <v>2</v>
      </c>
      <c r="C33" s="132" t="str">
        <f>"CW"&amp;WEEKNUM('Shipping Program'!$A33,1)</f>
        <v>CW11</v>
      </c>
      <c r="D33" s="132">
        <f t="shared" si="0"/>
        <v>30</v>
      </c>
      <c r="E33" s="133">
        <f t="shared" ref="E33:E67" si="3">A33+D33</f>
        <v>46484</v>
      </c>
      <c r="F33" s="133">
        <f t="shared" si="1"/>
        <v>46491</v>
      </c>
      <c r="G33" s="130" t="s">
        <v>134</v>
      </c>
      <c r="H33" s="130" t="s">
        <v>135</v>
      </c>
      <c r="I33" s="130"/>
      <c r="J33" s="132">
        <v>8</v>
      </c>
      <c r="K33" s="120"/>
      <c r="L33" s="120"/>
      <c r="M33" s="120"/>
    </row>
    <row r="34" spans="1:13" ht="24" customHeight="1">
      <c r="A34" s="131">
        <f t="shared" si="2"/>
        <v>46461</v>
      </c>
      <c r="B34" s="129">
        <v>3</v>
      </c>
      <c r="C34" s="129" t="str">
        <f>"CW"&amp;WEEKNUM('Shipping Program'!$A34,1)</f>
        <v>CW12</v>
      </c>
      <c r="D34" s="129">
        <f t="shared" si="0"/>
        <v>30</v>
      </c>
      <c r="E34" s="131">
        <f t="shared" si="3"/>
        <v>46491</v>
      </c>
      <c r="F34" s="131">
        <f t="shared" si="1"/>
        <v>46498</v>
      </c>
      <c r="G34" s="130" t="s">
        <v>134</v>
      </c>
      <c r="H34" s="130" t="s">
        <v>135</v>
      </c>
      <c r="I34" s="130"/>
      <c r="J34" s="129">
        <v>13</v>
      </c>
      <c r="K34" s="120"/>
      <c r="L34" s="120"/>
      <c r="M34" s="120"/>
    </row>
    <row r="35" spans="1:13" ht="24" customHeight="1">
      <c r="A35" s="133">
        <f t="shared" si="2"/>
        <v>46468</v>
      </c>
      <c r="B35" s="132">
        <v>4</v>
      </c>
      <c r="C35" s="132" t="str">
        <f>"CW"&amp;WEEKNUM('Shipping Program'!$A35,1)</f>
        <v>CW13</v>
      </c>
      <c r="D35" s="132">
        <f t="shared" si="0"/>
        <v>30</v>
      </c>
      <c r="E35" s="133">
        <f t="shared" si="3"/>
        <v>46498</v>
      </c>
      <c r="F35" s="133">
        <f t="shared" si="1"/>
        <v>46505</v>
      </c>
      <c r="G35" s="130" t="s">
        <v>134</v>
      </c>
      <c r="H35" s="130" t="s">
        <v>135</v>
      </c>
      <c r="I35" s="130"/>
      <c r="J35" s="132">
        <v>14</v>
      </c>
      <c r="K35" s="120"/>
      <c r="L35" s="120"/>
      <c r="M35" s="120"/>
    </row>
    <row r="36" spans="1:13" ht="24" customHeight="1">
      <c r="A36" s="131">
        <f t="shared" si="2"/>
        <v>46475</v>
      </c>
      <c r="B36" s="129">
        <v>5</v>
      </c>
      <c r="C36" s="129" t="str">
        <f>"CW"&amp;WEEKNUM('Shipping Program'!$A36,1)</f>
        <v>CW14</v>
      </c>
      <c r="D36" s="129">
        <f t="shared" si="0"/>
        <v>30</v>
      </c>
      <c r="E36" s="131">
        <f t="shared" si="3"/>
        <v>46505</v>
      </c>
      <c r="F36" s="131">
        <f t="shared" si="1"/>
        <v>46512</v>
      </c>
      <c r="G36" s="130" t="s">
        <v>136</v>
      </c>
      <c r="H36" s="130" t="s">
        <v>135</v>
      </c>
      <c r="I36" s="130"/>
      <c r="J36" s="129">
        <v>19</v>
      </c>
      <c r="K36" s="120"/>
      <c r="L36" s="120"/>
      <c r="M36" s="120"/>
    </row>
    <row r="37" spans="1:13" ht="24" customHeight="1">
      <c r="A37" s="133">
        <f t="shared" si="2"/>
        <v>46482</v>
      </c>
      <c r="B37" s="132">
        <v>6</v>
      </c>
      <c r="C37" s="132" t="str">
        <f>"CW"&amp;WEEKNUM('Shipping Program'!$A37,1)</f>
        <v>CW15</v>
      </c>
      <c r="D37" s="132">
        <f t="shared" si="0"/>
        <v>30</v>
      </c>
      <c r="E37" s="133">
        <f t="shared" si="3"/>
        <v>46512</v>
      </c>
      <c r="F37" s="133">
        <f t="shared" si="1"/>
        <v>46519</v>
      </c>
      <c r="G37" s="130" t="s">
        <v>134</v>
      </c>
      <c r="H37" s="130" t="s">
        <v>135</v>
      </c>
      <c r="I37" s="130"/>
      <c r="J37" s="132">
        <v>11</v>
      </c>
      <c r="K37" s="120"/>
      <c r="L37" s="120"/>
      <c r="M37" s="120"/>
    </row>
    <row r="38" spans="1:13" ht="24" customHeight="1">
      <c r="A38" s="131">
        <f t="shared" si="2"/>
        <v>46489</v>
      </c>
      <c r="B38" s="129">
        <v>7</v>
      </c>
      <c r="C38" s="129" t="str">
        <f>"CW"&amp;WEEKNUM('Shipping Program'!$A38,1)</f>
        <v>CW16</v>
      </c>
      <c r="D38" s="129">
        <f t="shared" si="0"/>
        <v>30</v>
      </c>
      <c r="E38" s="131">
        <f t="shared" si="3"/>
        <v>46519</v>
      </c>
      <c r="F38" s="131">
        <f t="shared" si="1"/>
        <v>46526</v>
      </c>
      <c r="G38" s="130" t="s">
        <v>134</v>
      </c>
      <c r="H38" s="130" t="s">
        <v>135</v>
      </c>
      <c r="I38" s="130"/>
      <c r="J38" s="129">
        <v>16</v>
      </c>
      <c r="K38" s="120"/>
      <c r="L38" s="120"/>
      <c r="M38" s="120"/>
    </row>
    <row r="39" spans="1:13" ht="24" customHeight="1">
      <c r="A39" s="133">
        <f t="shared" si="2"/>
        <v>46496</v>
      </c>
      <c r="B39" s="132">
        <v>8</v>
      </c>
      <c r="C39" s="132" t="str">
        <f>"CW"&amp;WEEKNUM('Shipping Program'!$A39,1)</f>
        <v>CW17</v>
      </c>
      <c r="D39" s="132">
        <f t="shared" si="0"/>
        <v>30</v>
      </c>
      <c r="E39" s="133">
        <f t="shared" si="3"/>
        <v>46526</v>
      </c>
      <c r="F39" s="133">
        <f t="shared" si="1"/>
        <v>46533</v>
      </c>
      <c r="G39" s="130" t="s">
        <v>134</v>
      </c>
      <c r="H39" s="130" t="s">
        <v>135</v>
      </c>
      <c r="I39" s="130"/>
      <c r="J39" s="132">
        <v>24</v>
      </c>
      <c r="K39" s="120"/>
      <c r="L39" s="120"/>
      <c r="M39" s="120"/>
    </row>
    <row r="40" spans="1:13" ht="24" customHeight="1">
      <c r="A40" s="131">
        <f t="shared" si="2"/>
        <v>46503</v>
      </c>
      <c r="B40" s="129">
        <v>9</v>
      </c>
      <c r="C40" s="129" t="str">
        <f>"CW"&amp;WEEKNUM('Shipping Program'!$A40,1)</f>
        <v>CW18</v>
      </c>
      <c r="D40" s="129">
        <f t="shared" si="0"/>
        <v>30</v>
      </c>
      <c r="E40" s="131">
        <f t="shared" si="3"/>
        <v>46533</v>
      </c>
      <c r="F40" s="131">
        <f t="shared" si="1"/>
        <v>46540</v>
      </c>
      <c r="G40" s="130" t="s">
        <v>134</v>
      </c>
      <c r="H40" s="130" t="s">
        <v>135</v>
      </c>
      <c r="I40" s="130"/>
      <c r="J40" s="129">
        <v>24</v>
      </c>
      <c r="K40" s="120"/>
      <c r="L40" s="120"/>
      <c r="M40" s="120"/>
    </row>
    <row r="41" spans="1:13" ht="24" customHeight="1">
      <c r="A41" s="133">
        <f t="shared" si="2"/>
        <v>46510</v>
      </c>
      <c r="B41" s="132">
        <v>10</v>
      </c>
      <c r="C41" s="132" t="str">
        <f>"CW"&amp;WEEKNUM('Shipping Program'!$A41,1)</f>
        <v>CW19</v>
      </c>
      <c r="D41" s="132">
        <f t="shared" si="0"/>
        <v>30</v>
      </c>
      <c r="E41" s="133">
        <f t="shared" si="3"/>
        <v>46540</v>
      </c>
      <c r="F41" s="133">
        <f t="shared" si="1"/>
        <v>46547</v>
      </c>
      <c r="G41" s="130" t="s">
        <v>134</v>
      </c>
      <c r="H41" s="130" t="s">
        <v>135</v>
      </c>
      <c r="I41" s="130"/>
      <c r="J41" s="132">
        <v>6</v>
      </c>
      <c r="K41" s="120"/>
      <c r="L41" s="120"/>
      <c r="M41" s="120"/>
    </row>
    <row r="42" spans="1:13" ht="24" customHeight="1">
      <c r="A42" s="131">
        <f t="shared" si="2"/>
        <v>46517</v>
      </c>
      <c r="B42" s="129">
        <v>11</v>
      </c>
      <c r="C42" s="129" t="str">
        <f>"CW"&amp;WEEKNUM('Shipping Program'!$A42,1)</f>
        <v>CW20</v>
      </c>
      <c r="D42" s="129">
        <f t="shared" si="0"/>
        <v>30</v>
      </c>
      <c r="E42" s="131">
        <f t="shared" si="3"/>
        <v>46547</v>
      </c>
      <c r="F42" s="131">
        <f t="shared" si="1"/>
        <v>46554</v>
      </c>
      <c r="G42" s="130" t="s">
        <v>134</v>
      </c>
      <c r="H42" s="130" t="s">
        <v>135</v>
      </c>
      <c r="I42" s="130"/>
      <c r="J42" s="129">
        <v>16</v>
      </c>
      <c r="K42" s="120"/>
      <c r="L42" s="120"/>
      <c r="M42" s="120"/>
    </row>
    <row r="43" spans="1:13" ht="24" customHeight="1">
      <c r="A43" s="133">
        <f t="shared" si="2"/>
        <v>46524</v>
      </c>
      <c r="B43" s="132">
        <v>12</v>
      </c>
      <c r="C43" s="132" t="str">
        <f>"CW"&amp;WEEKNUM('Shipping Program'!$A43,1)</f>
        <v>CW21</v>
      </c>
      <c r="D43" s="132">
        <f t="shared" si="0"/>
        <v>30</v>
      </c>
      <c r="E43" s="133">
        <f t="shared" si="3"/>
        <v>46554</v>
      </c>
      <c r="F43" s="133">
        <f t="shared" si="1"/>
        <v>46561</v>
      </c>
      <c r="G43" s="130" t="s">
        <v>134</v>
      </c>
      <c r="H43" s="130" t="s">
        <v>135</v>
      </c>
      <c r="I43" s="130"/>
      <c r="J43" s="132">
        <v>20</v>
      </c>
      <c r="K43" s="120"/>
      <c r="L43" s="120"/>
      <c r="M43" s="120"/>
    </row>
    <row r="44" spans="1:13" ht="24" customHeight="1">
      <c r="A44" s="131">
        <f t="shared" si="2"/>
        <v>46531</v>
      </c>
      <c r="B44" s="129">
        <v>13</v>
      </c>
      <c r="C44" s="129" t="str">
        <f>"CW"&amp;WEEKNUM('Shipping Program'!$A44,1)</f>
        <v>CW22</v>
      </c>
      <c r="D44" s="129">
        <f t="shared" si="0"/>
        <v>30</v>
      </c>
      <c r="E44" s="131">
        <f t="shared" si="3"/>
        <v>46561</v>
      </c>
      <c r="F44" s="131">
        <f t="shared" si="1"/>
        <v>46568</v>
      </c>
      <c r="G44" s="130" t="s">
        <v>134</v>
      </c>
      <c r="H44" s="130" t="s">
        <v>135</v>
      </c>
      <c r="I44" s="130"/>
      <c r="J44" s="129">
        <v>10</v>
      </c>
      <c r="K44" s="120"/>
      <c r="L44" s="120"/>
      <c r="M44" s="120"/>
    </row>
    <row r="45" spans="1:13" ht="24" customHeight="1">
      <c r="A45" s="133">
        <f t="shared" si="2"/>
        <v>46538</v>
      </c>
      <c r="B45" s="132">
        <v>14</v>
      </c>
      <c r="C45" s="132" t="str">
        <f>"CW"&amp;WEEKNUM('Shipping Program'!$A45,1)</f>
        <v>CW23</v>
      </c>
      <c r="D45" s="132">
        <f t="shared" si="0"/>
        <v>30</v>
      </c>
      <c r="E45" s="133">
        <f t="shared" si="3"/>
        <v>46568</v>
      </c>
      <c r="F45" s="133">
        <f t="shared" si="1"/>
        <v>46575</v>
      </c>
      <c r="G45" s="130" t="s">
        <v>134</v>
      </c>
      <c r="H45" s="130" t="s">
        <v>135</v>
      </c>
      <c r="I45" s="130"/>
      <c r="J45" s="132">
        <v>6</v>
      </c>
      <c r="K45" s="120"/>
      <c r="L45" s="120"/>
      <c r="M45" s="120"/>
    </row>
    <row r="46" spans="1:13" ht="24" customHeight="1">
      <c r="A46" s="131">
        <f t="shared" si="2"/>
        <v>46545</v>
      </c>
      <c r="B46" s="129">
        <v>15</v>
      </c>
      <c r="C46" s="129" t="str">
        <f>"CW"&amp;WEEKNUM('Shipping Program'!$A46,1)</f>
        <v>CW24</v>
      </c>
      <c r="D46" s="129">
        <f t="shared" si="0"/>
        <v>30</v>
      </c>
      <c r="E46" s="131">
        <f t="shared" si="3"/>
        <v>46575</v>
      </c>
      <c r="F46" s="131">
        <f t="shared" si="1"/>
        <v>46582</v>
      </c>
      <c r="G46" s="130" t="s">
        <v>134</v>
      </c>
      <c r="H46" s="130" t="s">
        <v>135</v>
      </c>
      <c r="I46" s="130"/>
      <c r="J46" s="129">
        <v>2</v>
      </c>
      <c r="K46" s="120"/>
      <c r="L46" s="120"/>
      <c r="M46" s="120"/>
    </row>
    <row r="47" spans="1:13" ht="24" customHeight="1">
      <c r="A47" s="133">
        <f t="shared" si="2"/>
        <v>46552</v>
      </c>
      <c r="B47" s="132">
        <v>16</v>
      </c>
      <c r="C47" s="132" t="str">
        <f>"CW"&amp;WEEKNUM('Shipping Program'!$A47,1)</f>
        <v>CW25</v>
      </c>
      <c r="D47" s="132">
        <f t="shared" si="0"/>
        <v>30</v>
      </c>
      <c r="E47" s="133">
        <f t="shared" si="3"/>
        <v>46582</v>
      </c>
      <c r="F47" s="133">
        <f t="shared" si="1"/>
        <v>46589</v>
      </c>
      <c r="G47" s="130" t="s">
        <v>134</v>
      </c>
      <c r="H47" s="130" t="s">
        <v>135</v>
      </c>
      <c r="I47" s="130"/>
      <c r="J47" s="132">
        <v>2</v>
      </c>
      <c r="K47" s="120"/>
      <c r="L47" s="120"/>
      <c r="M47" s="120"/>
    </row>
    <row r="48" spans="1:13" ht="24" customHeight="1">
      <c r="A48" s="131">
        <f t="shared" si="2"/>
        <v>46559</v>
      </c>
      <c r="B48" s="129">
        <v>17</v>
      </c>
      <c r="C48" s="129" t="str">
        <f>"CW"&amp;WEEKNUM('Shipping Program'!$A48,1)</f>
        <v>CW26</v>
      </c>
      <c r="D48" s="129">
        <f t="shared" si="0"/>
        <v>30</v>
      </c>
      <c r="E48" s="131">
        <f t="shared" si="3"/>
        <v>46589</v>
      </c>
      <c r="F48" s="131">
        <f t="shared" si="1"/>
        <v>46596</v>
      </c>
      <c r="G48" s="130" t="s">
        <v>134</v>
      </c>
      <c r="H48" s="130" t="s">
        <v>135</v>
      </c>
      <c r="I48" s="130"/>
      <c r="J48" s="129">
        <v>4</v>
      </c>
      <c r="K48" s="120"/>
      <c r="L48" s="120"/>
      <c r="M48" s="120"/>
    </row>
    <row r="49" spans="1:13" ht="24" customHeight="1">
      <c r="A49" s="133">
        <f t="shared" si="2"/>
        <v>46566</v>
      </c>
      <c r="B49" s="132">
        <v>18</v>
      </c>
      <c r="C49" s="132" t="str">
        <f>"CW"&amp;WEEKNUM('Shipping Program'!$A49,1)</f>
        <v>CW27</v>
      </c>
      <c r="D49" s="132">
        <f t="shared" si="0"/>
        <v>30</v>
      </c>
      <c r="E49" s="133">
        <f t="shared" si="3"/>
        <v>46596</v>
      </c>
      <c r="F49" s="133">
        <f t="shared" si="1"/>
        <v>46603</v>
      </c>
      <c r="G49" s="130" t="s">
        <v>134</v>
      </c>
      <c r="H49" s="130" t="s">
        <v>135</v>
      </c>
      <c r="I49" s="130"/>
      <c r="J49" s="132">
        <v>0</v>
      </c>
      <c r="K49" s="120"/>
      <c r="L49" s="120"/>
      <c r="M49" s="120"/>
    </row>
    <row r="50" spans="1:13" ht="24" customHeight="1">
      <c r="A50" s="131">
        <f t="shared" si="2"/>
        <v>46573</v>
      </c>
      <c r="B50" s="129">
        <v>19</v>
      </c>
      <c r="C50" s="129" t="str">
        <f>"CW"&amp;WEEKNUM('Shipping Program'!$A50,1)</f>
        <v>CW28</v>
      </c>
      <c r="D50" s="129">
        <f t="shared" si="0"/>
        <v>30</v>
      </c>
      <c r="E50" s="131">
        <f t="shared" si="3"/>
        <v>46603</v>
      </c>
      <c r="F50" s="131">
        <f t="shared" si="1"/>
        <v>46610</v>
      </c>
      <c r="G50" s="130" t="s">
        <v>134</v>
      </c>
      <c r="H50" s="130" t="s">
        <v>135</v>
      </c>
      <c r="I50" s="130"/>
      <c r="J50" s="129">
        <v>0</v>
      </c>
      <c r="K50" s="120"/>
      <c r="L50" s="120"/>
      <c r="M50" s="120"/>
    </row>
    <row r="51" spans="1:13" ht="24" customHeight="1">
      <c r="A51" s="133">
        <f t="shared" si="2"/>
        <v>46580</v>
      </c>
      <c r="B51" s="132">
        <v>20</v>
      </c>
      <c r="C51" s="132" t="str">
        <f>"CW"&amp;WEEKNUM('Shipping Program'!$A51,1)</f>
        <v>CW29</v>
      </c>
      <c r="D51" s="132">
        <f t="shared" si="0"/>
        <v>30</v>
      </c>
      <c r="E51" s="133">
        <f t="shared" si="3"/>
        <v>46610</v>
      </c>
      <c r="F51" s="133">
        <f t="shared" si="1"/>
        <v>46617</v>
      </c>
      <c r="G51" s="130" t="s">
        <v>134</v>
      </c>
      <c r="H51" s="130" t="s">
        <v>135</v>
      </c>
      <c r="I51" s="130"/>
      <c r="J51" s="132">
        <v>0</v>
      </c>
      <c r="K51" s="120"/>
      <c r="L51" s="120"/>
      <c r="M51" s="120"/>
    </row>
    <row r="52" spans="1:13" ht="24" customHeight="1">
      <c r="A52" s="131">
        <f t="shared" si="2"/>
        <v>46587</v>
      </c>
      <c r="B52" s="129">
        <v>21</v>
      </c>
      <c r="C52" s="129" t="str">
        <f>"CW"&amp;WEEKNUM('Shipping Program'!$A52,1)</f>
        <v>CW30</v>
      </c>
      <c r="D52" s="129">
        <f t="shared" si="0"/>
        <v>30</v>
      </c>
      <c r="E52" s="131">
        <f t="shared" si="3"/>
        <v>46617</v>
      </c>
      <c r="F52" s="131">
        <f t="shared" si="1"/>
        <v>46624</v>
      </c>
      <c r="G52" s="130" t="s">
        <v>134</v>
      </c>
      <c r="H52" s="130" t="s">
        <v>135</v>
      </c>
      <c r="I52" s="130"/>
      <c r="J52" s="129">
        <v>0</v>
      </c>
      <c r="K52" s="120"/>
      <c r="L52" s="120"/>
      <c r="M52" s="120"/>
    </row>
    <row r="53" spans="1:13" ht="24" customHeight="1">
      <c r="A53" s="133">
        <f t="shared" si="2"/>
        <v>46594</v>
      </c>
      <c r="B53" s="132">
        <v>22</v>
      </c>
      <c r="C53" s="132" t="str">
        <f>"CW"&amp;WEEKNUM('Shipping Program'!$A53,1)</f>
        <v>CW31</v>
      </c>
      <c r="D53" s="132">
        <f t="shared" si="0"/>
        <v>30</v>
      </c>
      <c r="E53" s="133">
        <f t="shared" si="3"/>
        <v>46624</v>
      </c>
      <c r="F53" s="133">
        <f t="shared" si="1"/>
        <v>46631</v>
      </c>
      <c r="G53" s="130" t="s">
        <v>134</v>
      </c>
      <c r="H53" s="130" t="s">
        <v>135</v>
      </c>
      <c r="I53" s="130"/>
      <c r="J53" s="132">
        <v>0</v>
      </c>
      <c r="K53" s="120"/>
      <c r="L53" s="120"/>
      <c r="M53" s="120"/>
    </row>
    <row r="54" spans="1:13" ht="24" customHeight="1">
      <c r="A54" s="131">
        <f t="shared" si="2"/>
        <v>46601</v>
      </c>
      <c r="B54" s="129">
        <v>23</v>
      </c>
      <c r="C54" s="129" t="str">
        <f>"CW"&amp;WEEKNUM('Shipping Program'!$A54,1)</f>
        <v>CW32</v>
      </c>
      <c r="D54" s="129">
        <f t="shared" si="0"/>
        <v>30</v>
      </c>
      <c r="E54" s="131">
        <f t="shared" si="3"/>
        <v>46631</v>
      </c>
      <c r="F54" s="131">
        <f t="shared" si="1"/>
        <v>46638</v>
      </c>
      <c r="G54" s="130" t="s">
        <v>134</v>
      </c>
      <c r="H54" s="130" t="s">
        <v>135</v>
      </c>
      <c r="I54" s="130"/>
      <c r="J54" s="129">
        <v>0</v>
      </c>
      <c r="K54" s="120"/>
      <c r="L54" s="120"/>
      <c r="M54" s="120"/>
    </row>
    <row r="55" spans="1:13" ht="24" customHeight="1">
      <c r="A55" s="133">
        <f t="shared" si="2"/>
        <v>46608</v>
      </c>
      <c r="B55" s="132">
        <v>24</v>
      </c>
      <c r="C55" s="132" t="str">
        <f>"CW"&amp;WEEKNUM('Shipping Program'!$A55,1)</f>
        <v>CW33</v>
      </c>
      <c r="D55" s="132">
        <f t="shared" si="0"/>
        <v>30</v>
      </c>
      <c r="E55" s="133">
        <f t="shared" si="3"/>
        <v>46638</v>
      </c>
      <c r="F55" s="133">
        <f t="shared" si="1"/>
        <v>46645</v>
      </c>
      <c r="G55" s="130" t="s">
        <v>134</v>
      </c>
      <c r="H55" s="130" t="s">
        <v>135</v>
      </c>
      <c r="I55" s="130"/>
      <c r="J55" s="132">
        <v>0</v>
      </c>
      <c r="K55" s="120"/>
      <c r="L55" s="120"/>
      <c r="M55" s="120"/>
    </row>
    <row r="56" spans="1:13" ht="24" customHeight="1">
      <c r="A56" s="131">
        <f t="shared" si="2"/>
        <v>46615</v>
      </c>
      <c r="B56" s="129">
        <v>25</v>
      </c>
      <c r="C56" s="129" t="str">
        <f>"CW"&amp;WEEKNUM('Shipping Program'!$A56,1)</f>
        <v>CW34</v>
      </c>
      <c r="D56" s="129">
        <f t="shared" si="0"/>
        <v>30</v>
      </c>
      <c r="E56" s="131">
        <f t="shared" si="3"/>
        <v>46645</v>
      </c>
      <c r="F56" s="131">
        <f t="shared" si="1"/>
        <v>46652</v>
      </c>
      <c r="G56" s="130" t="s">
        <v>134</v>
      </c>
      <c r="H56" s="130" t="s">
        <v>135</v>
      </c>
      <c r="I56" s="130"/>
      <c r="J56" s="129">
        <v>0</v>
      </c>
      <c r="K56" s="120"/>
      <c r="L56" s="120"/>
      <c r="M56" s="120"/>
    </row>
    <row r="57" spans="1:13" ht="24" customHeight="1">
      <c r="A57" s="133">
        <f t="shared" si="2"/>
        <v>46622</v>
      </c>
      <c r="B57" s="132">
        <v>26</v>
      </c>
      <c r="C57" s="132" t="str">
        <f>"CW"&amp;WEEKNUM('Shipping Program'!$A57,1)</f>
        <v>CW35</v>
      </c>
      <c r="D57" s="132">
        <f t="shared" si="0"/>
        <v>30</v>
      </c>
      <c r="E57" s="133">
        <f t="shared" si="3"/>
        <v>46652</v>
      </c>
      <c r="F57" s="133">
        <f t="shared" si="1"/>
        <v>46659</v>
      </c>
      <c r="G57" s="130" t="s">
        <v>134</v>
      </c>
      <c r="H57" s="130" t="s">
        <v>135</v>
      </c>
      <c r="I57" s="130"/>
      <c r="J57" s="132">
        <v>0</v>
      </c>
      <c r="K57" s="120"/>
      <c r="L57" s="120"/>
      <c r="M57" s="120"/>
    </row>
    <row r="58" spans="1:13" ht="24" customHeight="1">
      <c r="A58" s="131">
        <f t="shared" si="2"/>
        <v>46629</v>
      </c>
      <c r="B58" s="129">
        <v>27</v>
      </c>
      <c r="C58" s="129" t="str">
        <f>"CW"&amp;WEEKNUM('Shipping Program'!$A58,1)</f>
        <v>CW36</v>
      </c>
      <c r="D58" s="129">
        <f t="shared" si="0"/>
        <v>30</v>
      </c>
      <c r="E58" s="131">
        <f t="shared" si="3"/>
        <v>46659</v>
      </c>
      <c r="F58" s="131">
        <f t="shared" si="1"/>
        <v>46666</v>
      </c>
      <c r="G58" s="130" t="s">
        <v>134</v>
      </c>
      <c r="H58" s="130" t="s">
        <v>135</v>
      </c>
      <c r="I58" s="130"/>
      <c r="J58" s="129">
        <v>0</v>
      </c>
      <c r="K58" s="120"/>
      <c r="L58" s="120"/>
      <c r="M58" s="120"/>
    </row>
    <row r="59" spans="1:13" ht="24" customHeight="1">
      <c r="A59" s="133">
        <f t="shared" si="2"/>
        <v>46636</v>
      </c>
      <c r="B59" s="132">
        <v>28</v>
      </c>
      <c r="C59" s="132" t="str">
        <f>"CW"&amp;WEEKNUM('Shipping Program'!$A59,1)</f>
        <v>CW37</v>
      </c>
      <c r="D59" s="132">
        <f t="shared" si="0"/>
        <v>30</v>
      </c>
      <c r="E59" s="133">
        <f t="shared" si="3"/>
        <v>46666</v>
      </c>
      <c r="F59" s="133">
        <f t="shared" si="1"/>
        <v>46673</v>
      </c>
      <c r="G59" s="130" t="s">
        <v>134</v>
      </c>
      <c r="H59" s="130" t="s">
        <v>135</v>
      </c>
      <c r="I59" s="130"/>
      <c r="J59" s="132">
        <v>0</v>
      </c>
      <c r="K59" s="120"/>
      <c r="L59" s="120"/>
      <c r="M59" s="120"/>
    </row>
    <row r="60" spans="1:13" ht="24" customHeight="1">
      <c r="A60" s="131">
        <f t="shared" si="2"/>
        <v>46643</v>
      </c>
      <c r="B60" s="129">
        <v>29</v>
      </c>
      <c r="C60" s="129" t="str">
        <f>"CW"&amp;WEEKNUM('Shipping Program'!$A60,1)</f>
        <v>CW38</v>
      </c>
      <c r="D60" s="129">
        <f t="shared" si="0"/>
        <v>30</v>
      </c>
      <c r="E60" s="131">
        <f t="shared" si="3"/>
        <v>46673</v>
      </c>
      <c r="F60" s="131">
        <f t="shared" si="1"/>
        <v>46680</v>
      </c>
      <c r="G60" s="130" t="s">
        <v>134</v>
      </c>
      <c r="H60" s="130" t="s">
        <v>135</v>
      </c>
      <c r="I60" s="130"/>
      <c r="J60" s="129">
        <v>0</v>
      </c>
      <c r="K60" s="120"/>
      <c r="L60" s="120"/>
      <c r="M60" s="120"/>
    </row>
    <row r="61" spans="1:13" ht="24" customHeight="1">
      <c r="A61" s="133">
        <f t="shared" si="2"/>
        <v>46650</v>
      </c>
      <c r="B61" s="132">
        <v>30</v>
      </c>
      <c r="C61" s="132" t="str">
        <f>"CW"&amp;WEEKNUM('Shipping Program'!$A61,1)</f>
        <v>CW39</v>
      </c>
      <c r="D61" s="132">
        <f t="shared" si="0"/>
        <v>30</v>
      </c>
      <c r="E61" s="133">
        <f t="shared" si="3"/>
        <v>46680</v>
      </c>
      <c r="F61" s="133">
        <f t="shared" si="1"/>
        <v>46687</v>
      </c>
      <c r="G61" s="130" t="s">
        <v>134</v>
      </c>
      <c r="H61" s="130" t="s">
        <v>135</v>
      </c>
      <c r="I61" s="130"/>
      <c r="J61" s="132">
        <v>0</v>
      </c>
      <c r="K61" s="120"/>
      <c r="L61" s="120"/>
      <c r="M61" s="120"/>
    </row>
    <row r="62" spans="1:13" ht="24" customHeight="1">
      <c r="A62" s="131">
        <f t="shared" si="2"/>
        <v>46657</v>
      </c>
      <c r="B62" s="129">
        <v>31</v>
      </c>
      <c r="C62" s="129" t="str">
        <f>"CW"&amp;WEEKNUM('Shipping Program'!$A62,1)</f>
        <v>CW40</v>
      </c>
      <c r="D62" s="129">
        <f t="shared" si="0"/>
        <v>30</v>
      </c>
      <c r="E62" s="131">
        <f t="shared" si="3"/>
        <v>46687</v>
      </c>
      <c r="F62" s="131">
        <f t="shared" si="1"/>
        <v>46694</v>
      </c>
      <c r="G62" s="130" t="s">
        <v>134</v>
      </c>
      <c r="H62" s="130" t="s">
        <v>135</v>
      </c>
      <c r="I62" s="130"/>
      <c r="J62" s="129">
        <v>0</v>
      </c>
      <c r="K62" s="120"/>
      <c r="L62" s="120"/>
      <c r="M62" s="120"/>
    </row>
    <row r="63" spans="1:13" ht="24" customHeight="1">
      <c r="A63" s="133">
        <f t="shared" si="2"/>
        <v>46664</v>
      </c>
      <c r="B63" s="132">
        <v>32</v>
      </c>
      <c r="C63" s="132" t="str">
        <f>"CW"&amp;WEEKNUM('Shipping Program'!$A63,1)</f>
        <v>CW41</v>
      </c>
      <c r="D63" s="132">
        <f t="shared" si="0"/>
        <v>30</v>
      </c>
      <c r="E63" s="133">
        <f t="shared" si="3"/>
        <v>46694</v>
      </c>
      <c r="F63" s="133">
        <f t="shared" si="1"/>
        <v>46701</v>
      </c>
      <c r="G63" s="130" t="s">
        <v>134</v>
      </c>
      <c r="H63" s="130" t="s">
        <v>135</v>
      </c>
      <c r="I63" s="130"/>
      <c r="J63" s="132">
        <v>0</v>
      </c>
      <c r="K63" s="120"/>
      <c r="L63" s="120"/>
      <c r="M63" s="120"/>
    </row>
    <row r="64" spans="1:13" ht="24" customHeight="1">
      <c r="A64" s="131">
        <f t="shared" si="2"/>
        <v>46671</v>
      </c>
      <c r="B64" s="129">
        <v>33</v>
      </c>
      <c r="C64" s="129" t="str">
        <f>"CW"&amp;WEEKNUM('Shipping Program'!$A64,1)</f>
        <v>CW42</v>
      </c>
      <c r="D64" s="129">
        <f t="shared" si="0"/>
        <v>30</v>
      </c>
      <c r="E64" s="131">
        <f t="shared" si="3"/>
        <v>46701</v>
      </c>
      <c r="F64" s="131">
        <f t="shared" si="1"/>
        <v>46708</v>
      </c>
      <c r="G64" s="130" t="s">
        <v>134</v>
      </c>
      <c r="H64" s="130" t="s">
        <v>135</v>
      </c>
      <c r="I64" s="130"/>
      <c r="J64" s="129">
        <v>0</v>
      </c>
      <c r="K64" s="120"/>
      <c r="L64" s="120"/>
      <c r="M64" s="120"/>
    </row>
    <row r="65" spans="1:13" ht="24" customHeight="1">
      <c r="A65" s="133">
        <f t="shared" si="2"/>
        <v>46678</v>
      </c>
      <c r="B65" s="132">
        <v>34</v>
      </c>
      <c r="C65" s="132" t="str">
        <f>"CW"&amp;WEEKNUM('Shipping Program'!$A65,1)</f>
        <v>CW43</v>
      </c>
      <c r="D65" s="132">
        <f t="shared" si="0"/>
        <v>30</v>
      </c>
      <c r="E65" s="133">
        <f t="shared" si="3"/>
        <v>46708</v>
      </c>
      <c r="F65" s="133">
        <f t="shared" si="1"/>
        <v>46715</v>
      </c>
      <c r="G65" s="130" t="s">
        <v>134</v>
      </c>
      <c r="H65" s="130" t="s">
        <v>135</v>
      </c>
      <c r="I65" s="130"/>
      <c r="J65" s="132">
        <v>0</v>
      </c>
      <c r="K65" s="120"/>
      <c r="L65" s="120"/>
      <c r="M65" s="120"/>
    </row>
    <row r="66" spans="1:13" ht="24" customHeight="1">
      <c r="A66" s="131">
        <f t="shared" si="2"/>
        <v>46685</v>
      </c>
      <c r="B66" s="129">
        <v>35</v>
      </c>
      <c r="C66" s="129" t="str">
        <f>"CW"&amp;WEEKNUM('Shipping Program'!$A66,1)</f>
        <v>CW44</v>
      </c>
      <c r="D66" s="129">
        <f t="shared" si="0"/>
        <v>30</v>
      </c>
      <c r="E66" s="131">
        <f t="shared" si="3"/>
        <v>46715</v>
      </c>
      <c r="F66" s="131">
        <f t="shared" si="1"/>
        <v>46722</v>
      </c>
      <c r="G66" s="130" t="s">
        <v>134</v>
      </c>
      <c r="H66" s="130" t="s">
        <v>135</v>
      </c>
      <c r="I66" s="130"/>
      <c r="J66" s="129">
        <v>0</v>
      </c>
      <c r="K66" s="120"/>
      <c r="L66" s="120"/>
      <c r="M66" s="120"/>
    </row>
    <row r="67" spans="1:13" ht="24" customHeight="1">
      <c r="A67" s="133">
        <f t="shared" si="2"/>
        <v>46692</v>
      </c>
      <c r="B67" s="132">
        <v>36</v>
      </c>
      <c r="C67" s="132" t="str">
        <f>"CW"&amp;WEEKNUM('Shipping Program'!$A67,1)</f>
        <v>CW45</v>
      </c>
      <c r="D67" s="132">
        <f t="shared" si="0"/>
        <v>30</v>
      </c>
      <c r="E67" s="133">
        <f t="shared" si="3"/>
        <v>46722</v>
      </c>
      <c r="F67" s="133">
        <f t="shared" si="1"/>
        <v>46729</v>
      </c>
      <c r="G67" s="130" t="s">
        <v>134</v>
      </c>
      <c r="H67" s="130" t="s">
        <v>135</v>
      </c>
      <c r="I67" s="130"/>
      <c r="J67" s="132">
        <v>0</v>
      </c>
      <c r="K67" s="120"/>
      <c r="L67" s="120"/>
      <c r="M67" s="120"/>
    </row>
    <row r="68" spans="1:13" ht="14.4">
      <c r="A68" s="119"/>
      <c r="B68" s="119"/>
      <c r="C68" s="119"/>
      <c r="D68" s="119"/>
      <c r="E68" s="119"/>
      <c r="F68" s="119"/>
      <c r="G68" s="119"/>
      <c r="H68" s="119"/>
      <c r="I68" s="119"/>
      <c r="J68" s="120"/>
      <c r="K68" s="120"/>
      <c r="L68" s="120"/>
      <c r="M68" s="120"/>
    </row>
    <row r="69" spans="1:13" ht="14.4">
      <c r="A69" s="119"/>
      <c r="B69" s="119"/>
      <c r="C69" s="119"/>
      <c r="D69" s="119"/>
      <c r="E69" s="119"/>
      <c r="F69" s="119"/>
      <c r="G69" s="119"/>
      <c r="H69" s="119"/>
      <c r="I69" s="119"/>
      <c r="J69" s="120"/>
      <c r="K69" s="120"/>
      <c r="L69" s="120"/>
      <c r="M69" s="120"/>
    </row>
    <row r="70" spans="1:13" ht="14.4">
      <c r="A70" s="119"/>
      <c r="B70" s="119"/>
      <c r="C70" s="119"/>
      <c r="D70" s="119"/>
      <c r="E70" s="119"/>
      <c r="F70" s="119"/>
      <c r="G70" s="119"/>
      <c r="H70" s="119"/>
      <c r="I70" s="119"/>
      <c r="J70" s="120"/>
      <c r="K70" s="120"/>
      <c r="L70" s="120"/>
      <c r="M70" s="120"/>
    </row>
    <row r="71" spans="1:13" ht="14.4">
      <c r="A71" s="119"/>
      <c r="B71" s="119"/>
      <c r="C71" s="119"/>
      <c r="D71" s="119"/>
      <c r="E71" s="119"/>
      <c r="F71" s="119"/>
      <c r="G71" s="119"/>
      <c r="H71" s="119"/>
      <c r="I71" s="119"/>
      <c r="J71" s="120"/>
      <c r="K71" s="120"/>
      <c r="L71" s="120"/>
      <c r="M71" s="120"/>
    </row>
    <row r="72" spans="1:13" ht="14.4">
      <c r="A72" s="119"/>
      <c r="B72" s="119"/>
      <c r="C72" s="119"/>
      <c r="D72" s="119"/>
      <c r="E72" s="119"/>
      <c r="F72" s="119"/>
      <c r="G72" s="119"/>
      <c r="H72" s="119"/>
      <c r="I72" s="119"/>
      <c r="J72" s="120"/>
      <c r="K72" s="120"/>
      <c r="L72" s="120"/>
      <c r="M72" s="120"/>
    </row>
    <row r="73" spans="1:13" ht="14.4">
      <c r="A73" s="119"/>
      <c r="B73" s="119"/>
      <c r="C73" s="119"/>
      <c r="D73" s="119"/>
      <c r="E73" s="119"/>
      <c r="F73" s="119"/>
      <c r="G73" s="119"/>
      <c r="H73" s="119"/>
      <c r="I73" s="119"/>
      <c r="J73" s="120"/>
      <c r="K73" s="120"/>
      <c r="L73" s="120"/>
      <c r="M73" s="120"/>
    </row>
    <row r="74" spans="1:13" ht="14.4">
      <c r="A74" s="119"/>
      <c r="B74" s="119"/>
      <c r="C74" s="119"/>
      <c r="D74" s="119"/>
      <c r="E74" s="119"/>
      <c r="F74" s="119"/>
      <c r="G74" s="119"/>
      <c r="H74" s="119"/>
      <c r="I74" s="119"/>
      <c r="J74" s="120"/>
      <c r="K74" s="120"/>
      <c r="L74" s="120"/>
      <c r="M74" s="120"/>
    </row>
    <row r="75" spans="1:13" ht="14.4">
      <c r="A75" s="119"/>
      <c r="B75" s="119"/>
      <c r="C75" s="119"/>
      <c r="D75" s="119"/>
      <c r="E75" s="119"/>
      <c r="F75" s="119"/>
      <c r="G75" s="119"/>
      <c r="H75" s="119"/>
      <c r="I75" s="119"/>
      <c r="J75" s="120"/>
      <c r="K75" s="120"/>
      <c r="L75" s="120"/>
      <c r="M75" s="120"/>
    </row>
    <row r="76" spans="1:13" ht="14.4">
      <c r="A76" s="119"/>
      <c r="B76" s="119"/>
      <c r="C76" s="119"/>
      <c r="D76" s="119"/>
      <c r="E76" s="119"/>
      <c r="F76" s="119"/>
      <c r="G76" s="119"/>
      <c r="H76" s="119"/>
      <c r="I76" s="119"/>
      <c r="J76" s="120"/>
      <c r="K76" s="120"/>
      <c r="L76" s="120"/>
      <c r="M76" s="120"/>
    </row>
    <row r="77" spans="1:13" ht="14.4">
      <c r="A77" s="119"/>
      <c r="B77" s="119"/>
      <c r="C77" s="119"/>
      <c r="D77" s="119"/>
      <c r="E77" s="119"/>
      <c r="F77" s="119"/>
      <c r="G77" s="119"/>
      <c r="H77" s="119"/>
      <c r="I77" s="119"/>
      <c r="J77" s="120"/>
      <c r="K77" s="120"/>
      <c r="L77" s="120"/>
      <c r="M77" s="120"/>
    </row>
    <row r="78" spans="1:13" ht="14.4">
      <c r="A78" s="119"/>
      <c r="B78" s="119"/>
      <c r="C78" s="119"/>
      <c r="D78" s="119"/>
      <c r="E78" s="119"/>
      <c r="F78" s="119"/>
      <c r="G78" s="119"/>
      <c r="H78" s="119"/>
      <c r="I78" s="119"/>
      <c r="J78" s="120"/>
      <c r="K78" s="120"/>
      <c r="L78" s="120"/>
      <c r="M78" s="120"/>
    </row>
    <row r="79" spans="1:13" ht="24" customHeight="1">
      <c r="A79" s="133"/>
      <c r="B79" s="152"/>
      <c r="C79" s="132"/>
      <c r="D79" s="132"/>
      <c r="E79" s="133"/>
      <c r="F79" s="133"/>
      <c r="G79" s="130"/>
      <c r="H79" s="130"/>
      <c r="I79" s="130"/>
      <c r="J79" s="132"/>
      <c r="K79" s="120"/>
      <c r="L79" s="120"/>
      <c r="M79" s="120"/>
    </row>
  </sheetData>
  <mergeCells count="27">
    <mergeCell ref="A1:M2"/>
    <mergeCell ref="A3:J3"/>
    <mergeCell ref="B4:J4"/>
    <mergeCell ref="B5:J5"/>
    <mergeCell ref="B6:J6"/>
    <mergeCell ref="A13:J14"/>
    <mergeCell ref="A15:J16"/>
    <mergeCell ref="L3:M4"/>
    <mergeCell ref="A18:C19"/>
    <mergeCell ref="A20:C21"/>
    <mergeCell ref="D18:F19"/>
    <mergeCell ref="D20:F21"/>
    <mergeCell ref="G18:I19"/>
    <mergeCell ref="G20:I21"/>
    <mergeCell ref="J18:M19"/>
    <mergeCell ref="J20:M21"/>
    <mergeCell ref="B7:J7"/>
    <mergeCell ref="A8:J8"/>
    <mergeCell ref="B11:D11"/>
    <mergeCell ref="A29:M30"/>
    <mergeCell ref="B22:M22"/>
    <mergeCell ref="B23:F23"/>
    <mergeCell ref="B24:F24"/>
    <mergeCell ref="B26:M26"/>
    <mergeCell ref="B27:M27"/>
    <mergeCell ref="H23:M23"/>
    <mergeCell ref="H24:M24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C643C-E9E0-48FB-882C-595971BE491F}">
  <sheetPr codeName="Sheet1"/>
  <dimension ref="A1:AO161"/>
  <sheetViews>
    <sheetView topLeftCell="A107" zoomScale="60" zoomScaleNormal="70" workbookViewId="0">
      <selection activeCell="G126" sqref="G126"/>
    </sheetView>
  </sheetViews>
  <sheetFormatPr defaultColWidth="8.88671875" defaultRowHeight="10.8"/>
  <cols>
    <col min="1" max="1" width="18.77734375" style="97" customWidth="1"/>
    <col min="2" max="2" width="34.77734375" style="97" customWidth="1"/>
    <col min="3" max="41" width="29.77734375" style="97" customWidth="1"/>
    <col min="42" max="16384" width="8.88671875" style="97"/>
  </cols>
  <sheetData>
    <row r="1" spans="1:41" ht="42.6" customHeight="1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</row>
    <row r="2" spans="1:41" ht="24" customHeight="1">
      <c r="A2" s="103" t="s">
        <v>137</v>
      </c>
      <c r="B2" s="103" t="s">
        <v>324</v>
      </c>
      <c r="C2" s="103" t="s">
        <v>642</v>
      </c>
      <c r="D2" s="103" t="s">
        <v>642</v>
      </c>
      <c r="E2" s="103" t="s">
        <v>642</v>
      </c>
      <c r="F2" s="103" t="s">
        <v>642</v>
      </c>
      <c r="G2" s="103" t="s">
        <v>642</v>
      </c>
      <c r="H2" s="103" t="s">
        <v>642</v>
      </c>
      <c r="I2" s="103" t="s">
        <v>642</v>
      </c>
      <c r="J2" s="103" t="s">
        <v>642</v>
      </c>
      <c r="K2" s="103" t="s">
        <v>642</v>
      </c>
      <c r="L2" s="103" t="s">
        <v>642</v>
      </c>
      <c r="M2" s="103" t="s">
        <v>642</v>
      </c>
      <c r="N2" s="103" t="s">
        <v>642</v>
      </c>
      <c r="O2" s="103" t="s">
        <v>642</v>
      </c>
      <c r="P2" s="103" t="s">
        <v>642</v>
      </c>
      <c r="Q2" s="103" t="s">
        <v>642</v>
      </c>
      <c r="R2" s="103" t="s">
        <v>642</v>
      </c>
      <c r="S2" s="103" t="s">
        <v>642</v>
      </c>
      <c r="T2" s="103" t="s">
        <v>642</v>
      </c>
      <c r="U2" s="103" t="s">
        <v>642</v>
      </c>
      <c r="V2" s="103" t="s">
        <v>642</v>
      </c>
      <c r="W2" s="103" t="s">
        <v>642</v>
      </c>
      <c r="X2" s="103" t="s">
        <v>642</v>
      </c>
      <c r="Y2" s="103" t="s">
        <v>642</v>
      </c>
      <c r="Z2" s="103" t="s">
        <v>642</v>
      </c>
      <c r="AA2" s="103" t="s">
        <v>642</v>
      </c>
      <c r="AB2" s="103" t="s">
        <v>642</v>
      </c>
      <c r="AC2" s="103" t="s">
        <v>642</v>
      </c>
      <c r="AD2" s="103" t="s">
        <v>642</v>
      </c>
      <c r="AE2" s="103" t="s">
        <v>642</v>
      </c>
      <c r="AF2" s="103" t="s">
        <v>642</v>
      </c>
      <c r="AG2" s="103" t="s">
        <v>642</v>
      </c>
      <c r="AH2" s="103" t="s">
        <v>642</v>
      </c>
      <c r="AI2" s="103" t="s">
        <v>642</v>
      </c>
      <c r="AJ2" s="103" t="s">
        <v>642</v>
      </c>
      <c r="AK2" s="103" t="s">
        <v>642</v>
      </c>
      <c r="AL2" s="103" t="s">
        <v>642</v>
      </c>
      <c r="AM2" s="103" t="s">
        <v>642</v>
      </c>
      <c r="AN2" s="103"/>
      <c r="AO2"/>
    </row>
    <row r="3" spans="1:41" ht="24" customHeight="1">
      <c r="A3" s="103"/>
      <c r="B3" s="103"/>
      <c r="C3" s="104" t="s">
        <v>603</v>
      </c>
      <c r="D3" s="104" t="s">
        <v>604</v>
      </c>
      <c r="E3" s="104" t="s">
        <v>605</v>
      </c>
      <c r="F3" s="104" t="s">
        <v>606</v>
      </c>
      <c r="G3" s="104" t="s">
        <v>607</v>
      </c>
      <c r="H3" s="104" t="s">
        <v>608</v>
      </c>
      <c r="I3" s="104" t="s">
        <v>609</v>
      </c>
      <c r="J3" s="104" t="s">
        <v>610</v>
      </c>
      <c r="K3" s="104" t="s">
        <v>611</v>
      </c>
      <c r="L3" s="104" t="s">
        <v>612</v>
      </c>
      <c r="M3" s="104" t="s">
        <v>613</v>
      </c>
      <c r="N3" s="104" t="s">
        <v>614</v>
      </c>
      <c r="O3" s="104" t="s">
        <v>615</v>
      </c>
      <c r="P3" s="104" t="s">
        <v>616</v>
      </c>
      <c r="Q3" s="104" t="s">
        <v>617</v>
      </c>
      <c r="R3" s="104" t="s">
        <v>618</v>
      </c>
      <c r="S3" s="104" t="s">
        <v>619</v>
      </c>
      <c r="T3" s="104" t="s">
        <v>620</v>
      </c>
      <c r="U3" s="104" t="s">
        <v>621</v>
      </c>
      <c r="V3" s="104" t="s">
        <v>622</v>
      </c>
      <c r="W3" s="104" t="s">
        <v>623</v>
      </c>
      <c r="X3" s="104" t="s">
        <v>624</v>
      </c>
      <c r="Y3" s="104" t="s">
        <v>625</v>
      </c>
      <c r="Z3" s="104" t="s">
        <v>626</v>
      </c>
      <c r="AA3" s="104" t="s">
        <v>627</v>
      </c>
      <c r="AB3" s="104" t="s">
        <v>628</v>
      </c>
      <c r="AC3" s="104" t="s">
        <v>629</v>
      </c>
      <c r="AD3" s="104" t="s">
        <v>630</v>
      </c>
      <c r="AE3" s="104" t="s">
        <v>631</v>
      </c>
      <c r="AF3" s="104" t="s">
        <v>632</v>
      </c>
      <c r="AG3" s="104" t="s">
        <v>633</v>
      </c>
      <c r="AH3" s="104" t="s">
        <v>634</v>
      </c>
      <c r="AI3" s="104" t="s">
        <v>635</v>
      </c>
      <c r="AJ3" s="104" t="s">
        <v>636</v>
      </c>
      <c r="AK3" s="104" t="s">
        <v>637</v>
      </c>
      <c r="AL3" s="104" t="s">
        <v>638</v>
      </c>
      <c r="AM3" s="104" t="s">
        <v>643</v>
      </c>
      <c r="AN3" s="104"/>
      <c r="AO3"/>
    </row>
    <row r="4" spans="1:41" ht="24" customHeight="1">
      <c r="A4" s="103" t="s">
        <v>639</v>
      </c>
      <c r="B4" s="103"/>
      <c r="C4" s="105">
        <f>_V7Batches!B2</f>
        <v>46447</v>
      </c>
      <c r="D4" s="105">
        <f>_V7Batches!B3</f>
        <v>46454</v>
      </c>
      <c r="E4" s="105">
        <f>_V7Batches!B4</f>
        <v>46461</v>
      </c>
      <c r="F4" s="105">
        <f>_V7Batches!B5</f>
        <v>46468</v>
      </c>
      <c r="G4" s="105">
        <f>_V7Batches!B6</f>
        <v>46475</v>
      </c>
      <c r="H4" s="105">
        <f>_V7Batches!B7</f>
        <v>46482</v>
      </c>
      <c r="I4" s="105">
        <f>_V7Batches!B8</f>
        <v>46489</v>
      </c>
      <c r="J4" s="105">
        <f>_V7Batches!B9</f>
        <v>46496</v>
      </c>
      <c r="K4" s="105">
        <f>_V7Batches!B10</f>
        <v>46503</v>
      </c>
      <c r="L4" s="105">
        <f>_V7Batches!B11</f>
        <v>46510</v>
      </c>
      <c r="M4" s="105">
        <f>_V7Batches!B12</f>
        <v>46517</v>
      </c>
      <c r="N4" s="105">
        <f>_V7Batches!B13</f>
        <v>46524</v>
      </c>
      <c r="O4" s="105">
        <f>_V7Batches!B14</f>
        <v>46531</v>
      </c>
      <c r="P4" s="105">
        <f>_V7Batches!B15</f>
        <v>46538</v>
      </c>
      <c r="Q4" s="105">
        <f>_V7Batches!B16</f>
        <v>46545</v>
      </c>
      <c r="R4" s="105">
        <f>_V7Batches!B17</f>
        <v>46552</v>
      </c>
      <c r="S4" s="105">
        <f>_V7Batches!B18</f>
        <v>46559</v>
      </c>
      <c r="T4" s="105">
        <f>_V7Batches!B19</f>
        <v>46566</v>
      </c>
      <c r="U4" s="105">
        <f>_V7Batches!B20</f>
        <v>46573</v>
      </c>
      <c r="V4" s="105">
        <f>_V7Batches!B21</f>
        <v>46580</v>
      </c>
      <c r="W4" s="105">
        <f>_V7Batches!B22</f>
        <v>46587</v>
      </c>
      <c r="X4" s="105">
        <f>_V7Batches!B23</f>
        <v>46594</v>
      </c>
      <c r="Y4" s="105">
        <f>_V7Batches!B24</f>
        <v>46601</v>
      </c>
      <c r="Z4" s="105">
        <f>_V7Batches!B25</f>
        <v>46608</v>
      </c>
      <c r="AA4" s="105">
        <f>_V7Batches!B26</f>
        <v>46615</v>
      </c>
      <c r="AB4" s="105">
        <f>_V7Batches!B27</f>
        <v>46622</v>
      </c>
      <c r="AC4" s="105">
        <f>_V7Batches!B28</f>
        <v>46629</v>
      </c>
      <c r="AD4" s="105">
        <f>_V7Batches!B29</f>
        <v>46636</v>
      </c>
      <c r="AE4" s="105">
        <f>_V7Batches!B30</f>
        <v>46643</v>
      </c>
      <c r="AF4" s="105">
        <f>_V7Batches!B31</f>
        <v>46650</v>
      </c>
      <c r="AG4" s="105">
        <f>_V7Batches!B32</f>
        <v>46657</v>
      </c>
      <c r="AH4" s="105">
        <f>_V7Batches!B33</f>
        <v>46664</v>
      </c>
      <c r="AI4" s="105">
        <f>_V7Batches!B34</f>
        <v>46671</v>
      </c>
      <c r="AJ4" s="105">
        <f>_V7Batches!B35</f>
        <v>46678</v>
      </c>
      <c r="AK4" s="105">
        <f>_V7Batches!B36</f>
        <v>46685</v>
      </c>
      <c r="AL4" s="105">
        <f>_V7Batches!B37</f>
        <v>46692</v>
      </c>
      <c r="AM4" s="105" t="s">
        <v>644</v>
      </c>
      <c r="AN4" s="105"/>
      <c r="AO4"/>
    </row>
    <row r="5" spans="1:41" ht="27.6" customHeight="1">
      <c r="A5" s="103" t="s">
        <v>640</v>
      </c>
      <c r="B5" s="103"/>
      <c r="C5" s="105">
        <f>_V7Batches!E2</f>
        <v>46484</v>
      </c>
      <c r="D5" s="105">
        <f>_V7Batches!E3</f>
        <v>46491</v>
      </c>
      <c r="E5" s="105">
        <f>_V7Batches!E4</f>
        <v>46498</v>
      </c>
      <c r="F5" s="105">
        <f>_V7Batches!E5</f>
        <v>46505</v>
      </c>
      <c r="G5" s="105">
        <f>_V7Batches!E6</f>
        <v>46512</v>
      </c>
      <c r="H5" s="105">
        <f>_V7Batches!E7</f>
        <v>46519</v>
      </c>
      <c r="I5" s="105">
        <f>_V7Batches!E8</f>
        <v>46526</v>
      </c>
      <c r="J5" s="105">
        <f>_V7Batches!E9</f>
        <v>46533</v>
      </c>
      <c r="K5" s="105">
        <f>_V7Batches!E10</f>
        <v>46540</v>
      </c>
      <c r="L5" s="105">
        <f>_V7Batches!E11</f>
        <v>46547</v>
      </c>
      <c r="M5" s="105">
        <f>_V7Batches!E12</f>
        <v>46554</v>
      </c>
      <c r="N5" s="105">
        <f>_V7Batches!E13</f>
        <v>46561</v>
      </c>
      <c r="O5" s="105">
        <f>_V7Batches!E14</f>
        <v>46568</v>
      </c>
      <c r="P5" s="105">
        <f>_V7Batches!E15</f>
        <v>46575</v>
      </c>
      <c r="Q5" s="105">
        <f>_V7Batches!E16</f>
        <v>46582</v>
      </c>
      <c r="R5" s="105">
        <f>_V7Batches!E17</f>
        <v>46589</v>
      </c>
      <c r="S5" s="105">
        <f>_V7Batches!E18</f>
        <v>46596</v>
      </c>
      <c r="T5" s="105">
        <f>_V7Batches!E19</f>
        <v>46603</v>
      </c>
      <c r="U5" s="105">
        <f>_V7Batches!E20</f>
        <v>46610</v>
      </c>
      <c r="V5" s="105">
        <f>_V7Batches!E21</f>
        <v>46617</v>
      </c>
      <c r="W5" s="105">
        <f>_V7Batches!E22</f>
        <v>46624</v>
      </c>
      <c r="X5" s="105">
        <f>_V7Batches!E23</f>
        <v>46631</v>
      </c>
      <c r="Y5" s="105">
        <f>_V7Batches!E24</f>
        <v>46638</v>
      </c>
      <c r="Z5" s="105">
        <f>_V7Batches!E25</f>
        <v>46645</v>
      </c>
      <c r="AA5" s="105">
        <f>_V7Batches!E26</f>
        <v>46652</v>
      </c>
      <c r="AB5" s="105">
        <f>_V7Batches!E27</f>
        <v>46659</v>
      </c>
      <c r="AC5" s="105">
        <f>_V7Batches!E28</f>
        <v>46666</v>
      </c>
      <c r="AD5" s="105">
        <f>_V7Batches!E29</f>
        <v>46673</v>
      </c>
      <c r="AE5" s="105">
        <f>_V7Batches!E30</f>
        <v>46680</v>
      </c>
      <c r="AF5" s="105">
        <f>_V7Batches!E31</f>
        <v>46687</v>
      </c>
      <c r="AG5" s="105">
        <f>_V7Batches!E32</f>
        <v>46694</v>
      </c>
      <c r="AH5" s="105">
        <f>_V7Batches!E33</f>
        <v>46701</v>
      </c>
      <c r="AI5" s="105">
        <f>_V7Batches!E34</f>
        <v>46708</v>
      </c>
      <c r="AJ5" s="105">
        <f>_V7Batches!E35</f>
        <v>46715</v>
      </c>
      <c r="AK5" s="105">
        <f>_V7Batches!E36</f>
        <v>46722</v>
      </c>
      <c r="AL5" s="105">
        <f>_V7Batches!E37</f>
        <v>46729</v>
      </c>
      <c r="AM5" s="105" t="s">
        <v>645</v>
      </c>
      <c r="AN5" s="105"/>
      <c r="AO5"/>
    </row>
    <row r="6" spans="1:41" ht="27.6" customHeight="1" thickBot="1">
      <c r="A6" s="153" t="s">
        <v>641</v>
      </c>
      <c r="B6" s="153"/>
      <c r="C6" s="153" t="s">
        <v>0</v>
      </c>
      <c r="D6" s="153" t="s">
        <v>0</v>
      </c>
      <c r="E6" s="153" t="s">
        <v>0</v>
      </c>
      <c r="F6" s="153" t="s">
        <v>0</v>
      </c>
      <c r="G6" s="153" t="s">
        <v>0</v>
      </c>
      <c r="H6" s="153" t="s">
        <v>0</v>
      </c>
      <c r="I6" s="153" t="s">
        <v>0</v>
      </c>
      <c r="J6" s="153" t="s">
        <v>0</v>
      </c>
      <c r="K6" s="153" t="s">
        <v>0</v>
      </c>
      <c r="L6" s="153" t="s">
        <v>0</v>
      </c>
      <c r="M6" s="153" t="s">
        <v>0</v>
      </c>
      <c r="N6" s="153" t="s">
        <v>0</v>
      </c>
      <c r="O6" s="153" t="s">
        <v>0</v>
      </c>
      <c r="P6" s="153" t="s">
        <v>0</v>
      </c>
      <c r="Q6" s="153" t="s">
        <v>0</v>
      </c>
      <c r="R6" s="153" t="s">
        <v>0</v>
      </c>
      <c r="S6" s="153" t="s">
        <v>0</v>
      </c>
      <c r="T6" s="153" t="s">
        <v>0</v>
      </c>
      <c r="U6" s="153" t="s">
        <v>0</v>
      </c>
      <c r="V6" s="153" t="s">
        <v>0</v>
      </c>
      <c r="W6" s="153" t="s">
        <v>0</v>
      </c>
      <c r="X6" s="153" t="s">
        <v>0</v>
      </c>
      <c r="Y6" s="153" t="s">
        <v>0</v>
      </c>
      <c r="Z6" s="153" t="s">
        <v>0</v>
      </c>
      <c r="AA6" s="153" t="s">
        <v>0</v>
      </c>
      <c r="AB6" s="153" t="s">
        <v>0</v>
      </c>
      <c r="AC6" s="153" t="s">
        <v>0</v>
      </c>
      <c r="AD6" s="153" t="s">
        <v>0</v>
      </c>
      <c r="AE6" s="153" t="s">
        <v>0</v>
      </c>
      <c r="AF6" s="153" t="s">
        <v>0</v>
      </c>
      <c r="AG6" s="153" t="s">
        <v>0</v>
      </c>
      <c r="AH6" s="153" t="s">
        <v>0</v>
      </c>
      <c r="AI6" s="153" t="s">
        <v>0</v>
      </c>
      <c r="AJ6" s="153" t="s">
        <v>0</v>
      </c>
      <c r="AK6" s="153" t="s">
        <v>0</v>
      </c>
      <c r="AL6" s="153" t="s">
        <v>0</v>
      </c>
      <c r="AM6" s="153" t="s">
        <v>5845</v>
      </c>
      <c r="AN6" s="153"/>
      <c r="AO6"/>
    </row>
    <row r="7" spans="1:41" ht="27.6" customHeight="1">
      <c r="A7" s="159" t="s">
        <v>138</v>
      </c>
      <c r="B7" s="160" t="s">
        <v>175</v>
      </c>
      <c r="C7" s="161"/>
      <c r="D7" s="161"/>
      <c r="E7" s="161" t="s">
        <v>419</v>
      </c>
      <c r="F7" s="161" t="s">
        <v>654</v>
      </c>
      <c r="G7" s="161" t="s">
        <v>434</v>
      </c>
      <c r="H7" s="161"/>
      <c r="I7" s="161"/>
      <c r="J7" s="161"/>
      <c r="K7" s="161" t="s">
        <v>431</v>
      </c>
      <c r="L7" s="161" t="s">
        <v>184</v>
      </c>
      <c r="M7" s="161"/>
      <c r="N7" s="161" t="s">
        <v>73</v>
      </c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2" t="s">
        <v>653</v>
      </c>
      <c r="AN7"/>
      <c r="AO7"/>
    </row>
    <row r="8" spans="1:41" ht="24" customHeight="1">
      <c r="A8" s="163" t="s">
        <v>138</v>
      </c>
      <c r="B8" s="164" t="s">
        <v>175</v>
      </c>
      <c r="C8" s="165"/>
      <c r="D8" s="165"/>
      <c r="E8" s="165" t="s">
        <v>367</v>
      </c>
      <c r="F8" s="165" t="s">
        <v>388</v>
      </c>
      <c r="G8" s="165" t="s">
        <v>435</v>
      </c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6" t="s">
        <v>440</v>
      </c>
      <c r="AN8"/>
      <c r="AO8"/>
    </row>
    <row r="9" spans="1:41" ht="24" customHeight="1">
      <c r="A9" s="163" t="s">
        <v>138</v>
      </c>
      <c r="B9" s="164" t="s">
        <v>175</v>
      </c>
      <c r="C9" s="165"/>
      <c r="D9" s="165"/>
      <c r="E9" s="165"/>
      <c r="F9" s="165" t="s">
        <v>389</v>
      </c>
      <c r="G9" s="165" t="s">
        <v>436</v>
      </c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7"/>
      <c r="AN9"/>
      <c r="AO9"/>
    </row>
    <row r="10" spans="1:41" ht="24" customHeight="1">
      <c r="A10" s="168" t="s">
        <v>138</v>
      </c>
      <c r="B10" s="169" t="s">
        <v>177</v>
      </c>
      <c r="C10" s="165"/>
      <c r="D10" s="165"/>
      <c r="E10" s="165" t="s">
        <v>448</v>
      </c>
      <c r="F10" s="165"/>
      <c r="G10" s="165"/>
      <c r="H10" s="165" t="s">
        <v>449</v>
      </c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7"/>
      <c r="AN10"/>
      <c r="AO10"/>
    </row>
    <row r="11" spans="1:41" ht="24" customHeight="1">
      <c r="A11" s="163" t="s">
        <v>138</v>
      </c>
      <c r="B11" s="164" t="s">
        <v>151</v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6" t="s">
        <v>184</v>
      </c>
      <c r="AN11"/>
      <c r="AO11"/>
    </row>
    <row r="12" spans="1:41" ht="27.6" customHeight="1">
      <c r="A12" s="168" t="s">
        <v>138</v>
      </c>
      <c r="B12" s="169" t="s">
        <v>174</v>
      </c>
      <c r="C12" s="165"/>
      <c r="D12" s="165"/>
      <c r="E12" s="165"/>
      <c r="F12" s="165"/>
      <c r="G12" s="165"/>
      <c r="H12" s="165" t="s">
        <v>419</v>
      </c>
      <c r="I12" s="165" t="s">
        <v>367</v>
      </c>
      <c r="J12" s="165"/>
      <c r="K12" s="165" t="s">
        <v>434</v>
      </c>
      <c r="L12" s="165"/>
      <c r="M12" s="165"/>
      <c r="N12" s="165" t="s">
        <v>431</v>
      </c>
      <c r="O12" s="165" t="s">
        <v>73</v>
      </c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6" t="s">
        <v>653</v>
      </c>
      <c r="AN12"/>
      <c r="AO12"/>
    </row>
    <row r="13" spans="1:41" ht="24" customHeight="1">
      <c r="A13" s="168" t="s">
        <v>138</v>
      </c>
      <c r="B13" s="169" t="s">
        <v>174</v>
      </c>
      <c r="C13" s="165"/>
      <c r="D13" s="165"/>
      <c r="E13" s="165"/>
      <c r="F13" s="165"/>
      <c r="G13" s="165"/>
      <c r="H13" s="165"/>
      <c r="I13" s="165" t="s">
        <v>654</v>
      </c>
      <c r="J13" s="165"/>
      <c r="K13" s="165" t="s">
        <v>435</v>
      </c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6" t="s">
        <v>655</v>
      </c>
      <c r="AN13"/>
      <c r="AO13"/>
    </row>
    <row r="14" spans="1:41" ht="24" customHeight="1">
      <c r="A14" s="168" t="s">
        <v>138</v>
      </c>
      <c r="B14" s="169" t="s">
        <v>174</v>
      </c>
      <c r="C14" s="165"/>
      <c r="D14" s="165"/>
      <c r="E14" s="165"/>
      <c r="F14" s="165"/>
      <c r="G14" s="165"/>
      <c r="H14" s="165"/>
      <c r="I14" s="165" t="s">
        <v>388</v>
      </c>
      <c r="J14" s="165"/>
      <c r="K14" s="165" t="s">
        <v>436</v>
      </c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6" t="s">
        <v>440</v>
      </c>
      <c r="AN14"/>
      <c r="AO14"/>
    </row>
    <row r="15" spans="1:41" ht="24" customHeight="1">
      <c r="A15" s="168" t="s">
        <v>138</v>
      </c>
      <c r="B15" s="169" t="s">
        <v>174</v>
      </c>
      <c r="C15" s="165"/>
      <c r="D15" s="165"/>
      <c r="E15" s="165"/>
      <c r="F15" s="165"/>
      <c r="G15" s="165"/>
      <c r="H15" s="165"/>
      <c r="I15" s="165" t="s">
        <v>389</v>
      </c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7"/>
      <c r="AN15"/>
      <c r="AO15"/>
    </row>
    <row r="16" spans="1:41" ht="24" customHeight="1" thickBot="1">
      <c r="A16" s="163" t="s">
        <v>138</v>
      </c>
      <c r="B16" s="164" t="s">
        <v>176</v>
      </c>
      <c r="C16" s="165"/>
      <c r="D16" s="165"/>
      <c r="E16" s="165"/>
      <c r="F16" s="165"/>
      <c r="G16" s="165"/>
      <c r="H16" s="165"/>
      <c r="I16" s="165" t="s">
        <v>448</v>
      </c>
      <c r="J16" s="165"/>
      <c r="K16" s="165"/>
      <c r="L16" s="165"/>
      <c r="M16" s="165"/>
      <c r="N16" s="165"/>
      <c r="O16" s="165" t="s">
        <v>449</v>
      </c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7"/>
      <c r="AN16"/>
      <c r="AO16"/>
    </row>
    <row r="17" spans="1:41" ht="7.95" customHeight="1" thickBot="1">
      <c r="A17" s="154"/>
      <c r="B17" s="154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/>
      <c r="AO17"/>
    </row>
    <row r="18" spans="1:41" ht="24" customHeight="1">
      <c r="A18" s="170" t="s">
        <v>139</v>
      </c>
      <c r="B18" s="171" t="s">
        <v>178</v>
      </c>
      <c r="C18" s="172" t="s">
        <v>3905</v>
      </c>
      <c r="D18" s="172" t="s">
        <v>3906</v>
      </c>
      <c r="E18" s="172"/>
      <c r="F18" s="172" t="s">
        <v>560</v>
      </c>
      <c r="G18" s="172" t="s">
        <v>527</v>
      </c>
      <c r="H18" s="172"/>
      <c r="I18" s="172"/>
      <c r="J18" s="172" t="s">
        <v>546</v>
      </c>
      <c r="K18" s="172" t="s">
        <v>545</v>
      </c>
      <c r="L18" s="172"/>
      <c r="M18" s="172"/>
      <c r="N18" s="172" t="s">
        <v>557</v>
      </c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62" t="s">
        <v>555</v>
      </c>
      <c r="AN18"/>
      <c r="AO18"/>
    </row>
    <row r="19" spans="1:41" ht="24" customHeight="1">
      <c r="A19" s="173" t="s">
        <v>139</v>
      </c>
      <c r="B19" s="174" t="s">
        <v>178</v>
      </c>
      <c r="C19" s="175" t="s">
        <v>528</v>
      </c>
      <c r="D19" s="175" t="s">
        <v>3907</v>
      </c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66" t="s">
        <v>558</v>
      </c>
      <c r="AN19"/>
      <c r="AO19"/>
    </row>
    <row r="20" spans="1:41" ht="24" customHeight="1">
      <c r="A20" s="173" t="s">
        <v>139</v>
      </c>
      <c r="B20" s="174" t="s">
        <v>178</v>
      </c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66" t="s">
        <v>51</v>
      </c>
      <c r="AN20"/>
      <c r="AO20"/>
    </row>
    <row r="21" spans="1:41" ht="24" customHeight="1">
      <c r="A21" s="173" t="s">
        <v>139</v>
      </c>
      <c r="B21" s="174" t="s">
        <v>178</v>
      </c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66" t="s">
        <v>648</v>
      </c>
      <c r="AN21"/>
      <c r="AO21"/>
    </row>
    <row r="22" spans="1:41" ht="24" customHeight="1">
      <c r="A22" s="173" t="s">
        <v>139</v>
      </c>
      <c r="B22" s="174" t="s">
        <v>178</v>
      </c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66" t="s">
        <v>440</v>
      </c>
      <c r="AN22"/>
      <c r="AO22"/>
    </row>
    <row r="23" spans="1:41" ht="24" customHeight="1">
      <c r="A23" s="173" t="s">
        <v>139</v>
      </c>
      <c r="B23" s="174" t="s">
        <v>178</v>
      </c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66" t="s">
        <v>649</v>
      </c>
      <c r="AN23"/>
      <c r="AO23"/>
    </row>
    <row r="24" spans="1:41" ht="24" customHeight="1">
      <c r="A24" s="173" t="s">
        <v>139</v>
      </c>
      <c r="B24" s="174" t="s">
        <v>178</v>
      </c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66" t="s">
        <v>496</v>
      </c>
      <c r="AN24"/>
      <c r="AO24"/>
    </row>
    <row r="25" spans="1:41" ht="24" customHeight="1">
      <c r="A25" s="176" t="s">
        <v>139</v>
      </c>
      <c r="B25" s="177" t="s">
        <v>179</v>
      </c>
      <c r="C25" s="175" t="s">
        <v>3912</v>
      </c>
      <c r="D25" s="175" t="s">
        <v>3911</v>
      </c>
      <c r="E25" s="175" t="s">
        <v>3909</v>
      </c>
      <c r="F25" s="175" t="s">
        <v>542</v>
      </c>
      <c r="G25" s="175" t="s">
        <v>527</v>
      </c>
      <c r="H25" s="175"/>
      <c r="I25" s="175" t="s">
        <v>530</v>
      </c>
      <c r="J25" s="175" t="s">
        <v>546</v>
      </c>
      <c r="K25" s="175" t="s">
        <v>545</v>
      </c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66" t="s">
        <v>3908</v>
      </c>
      <c r="AN25"/>
      <c r="AO25"/>
    </row>
    <row r="26" spans="1:41" ht="27.6" customHeight="1">
      <c r="A26" s="176" t="s">
        <v>139</v>
      </c>
      <c r="B26" s="177" t="s">
        <v>179</v>
      </c>
      <c r="C26" s="175" t="s">
        <v>528</v>
      </c>
      <c r="D26" s="175"/>
      <c r="E26" s="175" t="s">
        <v>3910</v>
      </c>
      <c r="F26" s="175"/>
      <c r="G26" s="175" t="s">
        <v>554</v>
      </c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66" t="s">
        <v>3906</v>
      </c>
      <c r="AN26"/>
      <c r="AO26"/>
    </row>
    <row r="27" spans="1:41" ht="24" customHeight="1">
      <c r="A27" s="176" t="s">
        <v>139</v>
      </c>
      <c r="B27" s="177" t="s">
        <v>179</v>
      </c>
      <c r="C27" s="175"/>
      <c r="D27" s="175"/>
      <c r="E27" s="175" t="s">
        <v>3905</v>
      </c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66" t="s">
        <v>648</v>
      </c>
      <c r="AN27"/>
      <c r="AO27"/>
    </row>
    <row r="28" spans="1:41" ht="24" customHeight="1">
      <c r="A28" s="176" t="s">
        <v>139</v>
      </c>
      <c r="B28" s="177" t="s">
        <v>179</v>
      </c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66" t="s">
        <v>440</v>
      </c>
      <c r="AN28"/>
      <c r="AO28"/>
    </row>
    <row r="29" spans="1:41" ht="24" customHeight="1">
      <c r="A29" s="176" t="s">
        <v>139</v>
      </c>
      <c r="B29" s="177" t="s">
        <v>179</v>
      </c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66" t="s">
        <v>649</v>
      </c>
      <c r="AN29"/>
      <c r="AO29"/>
    </row>
    <row r="30" spans="1:41" ht="24" customHeight="1" thickBot="1">
      <c r="A30" s="176" t="s">
        <v>139</v>
      </c>
      <c r="B30" s="177" t="s">
        <v>179</v>
      </c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66" t="s">
        <v>496</v>
      </c>
      <c r="AN30"/>
      <c r="AO30"/>
    </row>
    <row r="31" spans="1:41" ht="7.95" customHeight="1" thickBot="1">
      <c r="A31" s="154"/>
      <c r="B31" s="154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  <c r="AN31"/>
      <c r="AO31"/>
    </row>
    <row r="32" spans="1:41" ht="24" customHeight="1" thickBot="1">
      <c r="A32" s="178" t="s">
        <v>140</v>
      </c>
      <c r="B32" s="179" t="s">
        <v>208</v>
      </c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62" t="s">
        <v>659</v>
      </c>
      <c r="AN32"/>
      <c r="AO32"/>
    </row>
    <row r="33" spans="1:41" ht="7.95" customHeight="1" thickBot="1">
      <c r="A33" s="154"/>
      <c r="B33" s="154"/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/>
      <c r="AO33"/>
    </row>
    <row r="34" spans="1:41" ht="27.6" customHeight="1">
      <c r="A34" s="181" t="s">
        <v>141</v>
      </c>
      <c r="B34" s="182" t="s">
        <v>209</v>
      </c>
      <c r="C34" s="180"/>
      <c r="D34" s="180" t="s">
        <v>405</v>
      </c>
      <c r="E34" s="180" t="s">
        <v>403</v>
      </c>
      <c r="F34" s="180" t="s">
        <v>414</v>
      </c>
      <c r="G34" s="180"/>
      <c r="H34" s="180"/>
      <c r="I34" s="180"/>
      <c r="J34" s="180" t="s">
        <v>184</v>
      </c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62" t="s">
        <v>553</v>
      </c>
      <c r="AN34"/>
      <c r="AO34"/>
    </row>
    <row r="35" spans="1:41" ht="27.6" customHeight="1">
      <c r="A35" s="183" t="s">
        <v>141</v>
      </c>
      <c r="B35" s="184" t="s">
        <v>209</v>
      </c>
      <c r="C35" s="185"/>
      <c r="D35" s="185" t="s">
        <v>216</v>
      </c>
      <c r="E35" s="185" t="s">
        <v>416</v>
      </c>
      <c r="F35" s="185" t="s">
        <v>393</v>
      </c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66" t="s">
        <v>440</v>
      </c>
      <c r="AN35"/>
      <c r="AO35"/>
    </row>
    <row r="36" spans="1:41" ht="24" customHeight="1">
      <c r="A36" s="183" t="s">
        <v>141</v>
      </c>
      <c r="B36" s="184" t="s">
        <v>209</v>
      </c>
      <c r="C36" s="185"/>
      <c r="D36" s="185" t="s">
        <v>397</v>
      </c>
      <c r="E36" s="185"/>
      <c r="F36" s="185" t="s">
        <v>651</v>
      </c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6"/>
      <c r="AN36"/>
      <c r="AO36"/>
    </row>
    <row r="37" spans="1:41" ht="27.6" customHeight="1">
      <c r="A37" s="187" t="s">
        <v>141</v>
      </c>
      <c r="B37" s="188" t="s">
        <v>221</v>
      </c>
      <c r="C37" s="185"/>
      <c r="D37" s="185"/>
      <c r="E37" s="185"/>
      <c r="F37" s="185"/>
      <c r="G37" s="185" t="s">
        <v>403</v>
      </c>
      <c r="H37" s="185" t="s">
        <v>417</v>
      </c>
      <c r="I37" s="185" t="s">
        <v>414</v>
      </c>
      <c r="J37" s="185"/>
      <c r="K37" s="185"/>
      <c r="L37" s="185"/>
      <c r="M37" s="185" t="s">
        <v>184</v>
      </c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66" t="s">
        <v>440</v>
      </c>
      <c r="AN37"/>
      <c r="AO37"/>
    </row>
    <row r="38" spans="1:41" ht="27.6" customHeight="1">
      <c r="A38" s="187" t="s">
        <v>141</v>
      </c>
      <c r="B38" s="188" t="s">
        <v>221</v>
      </c>
      <c r="C38" s="185"/>
      <c r="D38" s="185"/>
      <c r="E38" s="185"/>
      <c r="F38" s="185"/>
      <c r="G38" s="185" t="s">
        <v>416</v>
      </c>
      <c r="H38" s="185" t="s">
        <v>216</v>
      </c>
      <c r="I38" s="185" t="s">
        <v>393</v>
      </c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  <c r="AI38" s="185"/>
      <c r="AJ38" s="185"/>
      <c r="AK38" s="185"/>
      <c r="AL38" s="185"/>
      <c r="AM38" s="166" t="s">
        <v>553</v>
      </c>
      <c r="AN38"/>
      <c r="AO38"/>
    </row>
    <row r="39" spans="1:41" ht="24" customHeight="1">
      <c r="A39" s="187" t="s">
        <v>141</v>
      </c>
      <c r="B39" s="188" t="s">
        <v>221</v>
      </c>
      <c r="C39" s="185"/>
      <c r="D39" s="185"/>
      <c r="E39" s="185"/>
      <c r="F39" s="185"/>
      <c r="G39" s="185"/>
      <c r="H39" s="185" t="s">
        <v>397</v>
      </c>
      <c r="I39" s="185" t="s">
        <v>651</v>
      </c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85"/>
      <c r="AJ39" s="185"/>
      <c r="AK39" s="185"/>
      <c r="AL39" s="185"/>
      <c r="AM39" s="186"/>
      <c r="AN39"/>
      <c r="AO39"/>
    </row>
    <row r="40" spans="1:41" ht="27.6" customHeight="1">
      <c r="A40" s="183" t="s">
        <v>141</v>
      </c>
      <c r="B40" s="184" t="s">
        <v>222</v>
      </c>
      <c r="C40" s="185"/>
      <c r="D40" s="185"/>
      <c r="E40" s="185"/>
      <c r="F40" s="185"/>
      <c r="G40" s="185"/>
      <c r="H40" s="185"/>
      <c r="I40" s="185" t="s">
        <v>403</v>
      </c>
      <c r="J40" s="185" t="s">
        <v>216</v>
      </c>
      <c r="K40" s="185" t="s">
        <v>397</v>
      </c>
      <c r="L40" s="185"/>
      <c r="M40" s="185"/>
      <c r="N40" s="185"/>
      <c r="O40" s="185" t="s">
        <v>184</v>
      </c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66" t="s">
        <v>416</v>
      </c>
      <c r="AN40"/>
      <c r="AO40"/>
    </row>
    <row r="41" spans="1:41" ht="27.6" customHeight="1">
      <c r="A41" s="183" t="s">
        <v>141</v>
      </c>
      <c r="B41" s="184" t="s">
        <v>222</v>
      </c>
      <c r="C41" s="185"/>
      <c r="D41" s="185"/>
      <c r="E41" s="185"/>
      <c r="F41" s="185"/>
      <c r="G41" s="185"/>
      <c r="H41" s="185"/>
      <c r="I41" s="185"/>
      <c r="J41" s="185"/>
      <c r="K41" s="185" t="s">
        <v>393</v>
      </c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5"/>
      <c r="AM41" s="166" t="s">
        <v>417</v>
      </c>
      <c r="AN41"/>
      <c r="AO41"/>
    </row>
    <row r="42" spans="1:41" ht="24" customHeight="1">
      <c r="A42" s="183" t="s">
        <v>141</v>
      </c>
      <c r="B42" s="184" t="s">
        <v>222</v>
      </c>
      <c r="C42" s="185"/>
      <c r="D42" s="185"/>
      <c r="E42" s="185"/>
      <c r="F42" s="185"/>
      <c r="G42" s="185"/>
      <c r="H42" s="185"/>
      <c r="I42" s="185"/>
      <c r="J42" s="185"/>
      <c r="K42" s="185" t="s">
        <v>651</v>
      </c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85"/>
      <c r="AJ42" s="185"/>
      <c r="AK42" s="185"/>
      <c r="AL42" s="185"/>
      <c r="AM42" s="166" t="s">
        <v>414</v>
      </c>
      <c r="AN42"/>
      <c r="AO42"/>
    </row>
    <row r="43" spans="1:41" ht="24" customHeight="1">
      <c r="A43" s="183" t="s">
        <v>141</v>
      </c>
      <c r="B43" s="184" t="s">
        <v>222</v>
      </c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66" t="s">
        <v>553</v>
      </c>
      <c r="AN43"/>
      <c r="AO43"/>
    </row>
    <row r="44" spans="1:41" ht="24" customHeight="1" thickBot="1">
      <c r="A44" s="183" t="s">
        <v>141</v>
      </c>
      <c r="B44" s="184" t="s">
        <v>222</v>
      </c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  <c r="AI44" s="185"/>
      <c r="AJ44" s="185"/>
      <c r="AK44" s="185"/>
      <c r="AL44" s="185"/>
      <c r="AM44" s="166" t="s">
        <v>440</v>
      </c>
      <c r="AN44"/>
      <c r="AO44"/>
    </row>
    <row r="45" spans="1:41" ht="7.95" customHeight="1" thickBot="1">
      <c r="A45" s="154"/>
      <c r="B45" s="154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/>
      <c r="AO45"/>
    </row>
    <row r="46" spans="1:41" ht="24" customHeight="1">
      <c r="A46" s="189" t="s">
        <v>142</v>
      </c>
      <c r="B46" s="190" t="s">
        <v>223</v>
      </c>
      <c r="C46" s="191"/>
      <c r="D46" s="191"/>
      <c r="E46" s="191"/>
      <c r="F46" s="191"/>
      <c r="G46" s="191"/>
      <c r="H46" s="191" t="s">
        <v>363</v>
      </c>
      <c r="I46" s="191" t="s">
        <v>368</v>
      </c>
      <c r="J46" s="191" t="s">
        <v>376</v>
      </c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62" t="s">
        <v>440</v>
      </c>
      <c r="AN46"/>
      <c r="AO46"/>
    </row>
    <row r="47" spans="1:41" ht="24" customHeight="1">
      <c r="A47" s="192" t="s">
        <v>142</v>
      </c>
      <c r="B47" s="193" t="s">
        <v>223</v>
      </c>
      <c r="C47" s="194"/>
      <c r="D47" s="194"/>
      <c r="E47" s="194"/>
      <c r="F47" s="194"/>
      <c r="G47" s="194"/>
      <c r="H47" s="194" t="s">
        <v>367</v>
      </c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5"/>
      <c r="AN47"/>
      <c r="AO47"/>
    </row>
    <row r="48" spans="1:41" ht="24" customHeight="1">
      <c r="A48" s="196" t="s">
        <v>142</v>
      </c>
      <c r="B48" s="197" t="s">
        <v>225</v>
      </c>
      <c r="C48" s="194"/>
      <c r="D48" s="194"/>
      <c r="E48" s="194"/>
      <c r="F48" s="194" t="s">
        <v>363</v>
      </c>
      <c r="G48" s="194" t="s">
        <v>368</v>
      </c>
      <c r="H48" s="194"/>
      <c r="I48" s="194" t="s">
        <v>376</v>
      </c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66" t="s">
        <v>367</v>
      </c>
      <c r="AN48"/>
      <c r="AO48"/>
    </row>
    <row r="49" spans="1:41" ht="24" customHeight="1">
      <c r="A49" s="196" t="s">
        <v>142</v>
      </c>
      <c r="B49" s="197" t="s">
        <v>225</v>
      </c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66" t="s">
        <v>440</v>
      </c>
      <c r="AN49"/>
      <c r="AO49"/>
    </row>
    <row r="50" spans="1:41" ht="24" customHeight="1">
      <c r="A50" s="192" t="s">
        <v>142</v>
      </c>
      <c r="B50" s="193" t="s">
        <v>226</v>
      </c>
      <c r="C50" s="194"/>
      <c r="D50" s="194"/>
      <c r="E50" s="194"/>
      <c r="F50" s="194"/>
      <c r="G50" s="194"/>
      <c r="H50" s="194"/>
      <c r="I50" s="194"/>
      <c r="J50" s="194"/>
      <c r="K50" s="194" t="s">
        <v>363</v>
      </c>
      <c r="L50" s="194" t="s">
        <v>368</v>
      </c>
      <c r="M50" s="194" t="s">
        <v>376</v>
      </c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66" t="s">
        <v>440</v>
      </c>
      <c r="AN50"/>
      <c r="AO50"/>
    </row>
    <row r="51" spans="1:41" ht="24" customHeight="1">
      <c r="A51" s="192" t="s">
        <v>142</v>
      </c>
      <c r="B51" s="193" t="s">
        <v>226</v>
      </c>
      <c r="C51" s="194"/>
      <c r="D51" s="194"/>
      <c r="E51" s="194"/>
      <c r="F51" s="194"/>
      <c r="G51" s="194"/>
      <c r="H51" s="194"/>
      <c r="I51" s="194"/>
      <c r="J51" s="194"/>
      <c r="K51" s="194" t="s">
        <v>367</v>
      </c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5"/>
      <c r="AN51"/>
      <c r="AO51"/>
    </row>
    <row r="52" spans="1:41" ht="24" customHeight="1">
      <c r="A52" s="196" t="s">
        <v>142</v>
      </c>
      <c r="B52" s="197" t="s">
        <v>227</v>
      </c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 t="s">
        <v>368</v>
      </c>
      <c r="P52" s="194" t="s">
        <v>376</v>
      </c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66" t="s">
        <v>440</v>
      </c>
      <c r="AN52"/>
      <c r="AO52"/>
    </row>
    <row r="53" spans="1:41" ht="27.6" customHeight="1">
      <c r="A53" s="192" t="s">
        <v>142</v>
      </c>
      <c r="B53" s="193" t="s">
        <v>231</v>
      </c>
      <c r="C53" s="194"/>
      <c r="D53" s="194"/>
      <c r="E53" s="194"/>
      <c r="F53" s="194"/>
      <c r="G53" s="194"/>
      <c r="H53" s="194"/>
      <c r="I53" s="194"/>
      <c r="J53" s="194"/>
      <c r="K53" s="194" t="s">
        <v>363</v>
      </c>
      <c r="L53" s="194" t="s">
        <v>367</v>
      </c>
      <c r="M53" s="194" t="s">
        <v>368</v>
      </c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66" t="s">
        <v>440</v>
      </c>
      <c r="AN53"/>
      <c r="AO53"/>
    </row>
    <row r="54" spans="1:41" ht="27.6" customHeight="1">
      <c r="A54" s="192" t="s">
        <v>142</v>
      </c>
      <c r="B54" s="193" t="s">
        <v>231</v>
      </c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 t="s">
        <v>376</v>
      </c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5"/>
      <c r="AN54"/>
      <c r="AO54"/>
    </row>
    <row r="55" spans="1:41" ht="27.6" customHeight="1">
      <c r="A55" s="196" t="s">
        <v>142</v>
      </c>
      <c r="B55" s="197" t="s">
        <v>228</v>
      </c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 t="s">
        <v>363</v>
      </c>
      <c r="N55" s="194" t="s">
        <v>368</v>
      </c>
      <c r="O55" s="194" t="s">
        <v>376</v>
      </c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66" t="s">
        <v>440</v>
      </c>
      <c r="AN55"/>
      <c r="AO55"/>
    </row>
    <row r="56" spans="1:41" ht="27.6" customHeight="1">
      <c r="A56" s="196" t="s">
        <v>142</v>
      </c>
      <c r="B56" s="197" t="s">
        <v>228</v>
      </c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 t="s">
        <v>367</v>
      </c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5"/>
      <c r="AN56"/>
      <c r="AO56"/>
    </row>
    <row r="57" spans="1:41" ht="24" customHeight="1">
      <c r="A57" s="192" t="s">
        <v>142</v>
      </c>
      <c r="B57" s="193" t="s">
        <v>224</v>
      </c>
      <c r="C57" s="194" t="s">
        <v>363</v>
      </c>
      <c r="D57" s="194" t="s">
        <v>367</v>
      </c>
      <c r="E57" s="194" t="s">
        <v>368</v>
      </c>
      <c r="F57" s="194"/>
      <c r="G57" s="194" t="s">
        <v>376</v>
      </c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66" t="s">
        <v>440</v>
      </c>
      <c r="AN57"/>
      <c r="AO57"/>
    </row>
    <row r="58" spans="1:41" ht="27.6" customHeight="1">
      <c r="A58" s="196" t="s">
        <v>142</v>
      </c>
      <c r="B58" s="197" t="s">
        <v>230</v>
      </c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 t="s">
        <v>369</v>
      </c>
      <c r="O58" s="194"/>
      <c r="P58" s="194"/>
      <c r="Q58" s="194"/>
      <c r="R58" s="194"/>
      <c r="S58" s="194"/>
      <c r="T58" s="194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5"/>
      <c r="AN58"/>
      <c r="AO58"/>
    </row>
    <row r="59" spans="1:41" ht="24" customHeight="1" thickBot="1">
      <c r="A59" s="192" t="s">
        <v>142</v>
      </c>
      <c r="B59" s="193" t="s">
        <v>152</v>
      </c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66" t="s">
        <v>663</v>
      </c>
      <c r="AN59"/>
      <c r="AO59"/>
    </row>
    <row r="60" spans="1:41" ht="7.95" customHeight="1" thickBot="1">
      <c r="A60" s="154"/>
      <c r="B60" s="154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/>
      <c r="AO60"/>
    </row>
    <row r="61" spans="1:41" ht="24" customHeight="1">
      <c r="A61" s="198" t="s">
        <v>143</v>
      </c>
      <c r="B61" s="199" t="s">
        <v>153</v>
      </c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62" t="s">
        <v>128</v>
      </c>
      <c r="AN61"/>
      <c r="AO61"/>
    </row>
    <row r="62" spans="1:41" ht="24" customHeight="1" thickBot="1">
      <c r="A62" s="196" t="s">
        <v>143</v>
      </c>
      <c r="B62" s="197" t="s">
        <v>153</v>
      </c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66" t="s">
        <v>130</v>
      </c>
      <c r="AN62"/>
      <c r="AO62"/>
    </row>
    <row r="63" spans="1:41" ht="7.95" customHeight="1" thickBot="1">
      <c r="A63" s="154"/>
      <c r="B63" s="154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/>
      <c r="AO63"/>
    </row>
    <row r="64" spans="1:41" ht="24" customHeight="1">
      <c r="A64" s="189" t="s">
        <v>144</v>
      </c>
      <c r="B64" s="190" t="s">
        <v>154</v>
      </c>
      <c r="C64" s="191" t="s">
        <v>451</v>
      </c>
      <c r="D64" s="191" t="s">
        <v>467</v>
      </c>
      <c r="E64" s="191" t="s">
        <v>454</v>
      </c>
      <c r="F64" s="191" t="s">
        <v>452</v>
      </c>
      <c r="G64" s="191"/>
      <c r="H64" s="191"/>
      <c r="I64" s="191" t="s">
        <v>459</v>
      </c>
      <c r="J64" s="191"/>
      <c r="K64" s="191"/>
      <c r="L64" s="191"/>
      <c r="M64" s="191" t="s">
        <v>463</v>
      </c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62" t="s">
        <v>456</v>
      </c>
      <c r="AN64"/>
      <c r="AO64"/>
    </row>
    <row r="65" spans="1:41" ht="24" customHeight="1">
      <c r="A65" s="192" t="s">
        <v>144</v>
      </c>
      <c r="B65" s="193" t="s">
        <v>154</v>
      </c>
      <c r="C65" s="194"/>
      <c r="D65" s="194"/>
      <c r="E65" s="194" t="s">
        <v>457</v>
      </c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66" t="s">
        <v>650</v>
      </c>
      <c r="AN65"/>
      <c r="AO65"/>
    </row>
    <row r="66" spans="1:41" ht="24" customHeight="1">
      <c r="A66" s="192" t="s">
        <v>144</v>
      </c>
      <c r="B66" s="193" t="s">
        <v>154</v>
      </c>
      <c r="C66" s="194"/>
      <c r="D66" s="194"/>
      <c r="E66" s="194" t="s">
        <v>462</v>
      </c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66" t="s">
        <v>652</v>
      </c>
      <c r="AN66"/>
      <c r="AO66"/>
    </row>
    <row r="67" spans="1:41" ht="24" customHeight="1">
      <c r="A67" s="192" t="s">
        <v>144</v>
      </c>
      <c r="B67" s="193" t="s">
        <v>154</v>
      </c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66" t="s">
        <v>450</v>
      </c>
      <c r="AN67"/>
      <c r="AO67"/>
    </row>
    <row r="68" spans="1:41" ht="24" customHeight="1">
      <c r="A68" s="192" t="s">
        <v>144</v>
      </c>
      <c r="B68" s="193" t="s">
        <v>154</v>
      </c>
      <c r="C68" s="194"/>
      <c r="D68" s="194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66" t="s">
        <v>458</v>
      </c>
      <c r="AN68"/>
      <c r="AO68"/>
    </row>
    <row r="69" spans="1:41" ht="24" customHeight="1" thickBot="1">
      <c r="A69" s="192" t="s">
        <v>144</v>
      </c>
      <c r="B69" s="193" t="s">
        <v>154</v>
      </c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66" t="s">
        <v>656</v>
      </c>
      <c r="AN69"/>
      <c r="AO69"/>
    </row>
    <row r="70" spans="1:41" ht="7.95" customHeight="1" thickBot="1">
      <c r="A70" s="154"/>
      <c r="B70" s="154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/>
      <c r="AO70"/>
    </row>
    <row r="71" spans="1:41" ht="24" customHeight="1">
      <c r="A71" s="198" t="s">
        <v>145</v>
      </c>
      <c r="B71" s="199" t="s">
        <v>155</v>
      </c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62" t="s">
        <v>100</v>
      </c>
      <c r="AN71"/>
      <c r="AO71"/>
    </row>
    <row r="72" spans="1:41" ht="24" customHeight="1">
      <c r="A72" s="196" t="s">
        <v>145</v>
      </c>
      <c r="B72" s="197" t="s">
        <v>155</v>
      </c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66" t="s">
        <v>664</v>
      </c>
      <c r="AN72"/>
      <c r="AO72"/>
    </row>
    <row r="73" spans="1:41" ht="24" customHeight="1">
      <c r="A73" s="196" t="s">
        <v>145</v>
      </c>
      <c r="B73" s="197" t="s">
        <v>155</v>
      </c>
      <c r="C73" s="194"/>
      <c r="D73" s="194"/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66" t="s">
        <v>665</v>
      </c>
      <c r="AN73"/>
      <c r="AO73"/>
    </row>
    <row r="74" spans="1:41" ht="24" customHeight="1">
      <c r="A74" s="196" t="s">
        <v>145</v>
      </c>
      <c r="B74" s="197" t="s">
        <v>155</v>
      </c>
      <c r="C74" s="194"/>
      <c r="D74" s="194"/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66" t="s">
        <v>666</v>
      </c>
      <c r="AN74"/>
      <c r="AO74"/>
    </row>
    <row r="75" spans="1:41" ht="24" customHeight="1">
      <c r="A75" s="196" t="s">
        <v>145</v>
      </c>
      <c r="B75" s="197" t="s">
        <v>155</v>
      </c>
      <c r="C75" s="194"/>
      <c r="D75" s="194"/>
      <c r="E75" s="194"/>
      <c r="F75" s="194"/>
      <c r="G75" s="194"/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66" t="s">
        <v>667</v>
      </c>
      <c r="AN75"/>
      <c r="AO75"/>
    </row>
    <row r="76" spans="1:41" ht="24" customHeight="1">
      <c r="A76" s="196" t="s">
        <v>145</v>
      </c>
      <c r="B76" s="197" t="s">
        <v>155</v>
      </c>
      <c r="C76" s="194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66" t="s">
        <v>668</v>
      </c>
      <c r="AN76"/>
      <c r="AO76"/>
    </row>
    <row r="77" spans="1:41" ht="27.6" customHeight="1">
      <c r="A77" s="192" t="s">
        <v>145</v>
      </c>
      <c r="B77" s="193" t="s">
        <v>247</v>
      </c>
      <c r="C77" s="194"/>
      <c r="D77" s="194"/>
      <c r="E77" s="194" t="s">
        <v>565</v>
      </c>
      <c r="F77" s="194"/>
      <c r="G77" s="194"/>
      <c r="H77" s="194"/>
      <c r="I77" s="194"/>
      <c r="J77" s="194" t="s">
        <v>259</v>
      </c>
      <c r="K77" s="194" t="s">
        <v>260</v>
      </c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5"/>
      <c r="AN77"/>
      <c r="AO77"/>
    </row>
    <row r="78" spans="1:41" ht="27.6" customHeight="1">
      <c r="A78" s="192" t="s">
        <v>145</v>
      </c>
      <c r="B78" s="193" t="s">
        <v>247</v>
      </c>
      <c r="C78" s="194"/>
      <c r="D78" s="194"/>
      <c r="E78" s="194"/>
      <c r="F78" s="194"/>
      <c r="G78" s="194"/>
      <c r="H78" s="194"/>
      <c r="I78" s="194"/>
      <c r="J78" s="194" t="s">
        <v>261</v>
      </c>
      <c r="K78" s="194" t="s">
        <v>263</v>
      </c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5"/>
      <c r="AN78"/>
      <c r="AO78"/>
    </row>
    <row r="79" spans="1:41" ht="27.6" customHeight="1">
      <c r="A79" s="192" t="s">
        <v>145</v>
      </c>
      <c r="B79" s="193" t="s">
        <v>247</v>
      </c>
      <c r="C79" s="194"/>
      <c r="D79" s="194"/>
      <c r="E79" s="194"/>
      <c r="F79" s="194"/>
      <c r="G79" s="194"/>
      <c r="H79" s="194"/>
      <c r="I79" s="194"/>
      <c r="J79" s="194" t="s">
        <v>262</v>
      </c>
      <c r="K79" s="194" t="s">
        <v>264</v>
      </c>
      <c r="L79" s="194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  <c r="AI79" s="194"/>
      <c r="AJ79" s="194"/>
      <c r="AK79" s="194"/>
      <c r="AL79" s="194"/>
      <c r="AM79" s="195"/>
      <c r="AN79"/>
      <c r="AO79"/>
    </row>
    <row r="80" spans="1:41" ht="27.6" customHeight="1">
      <c r="A80" s="192" t="s">
        <v>145</v>
      </c>
      <c r="B80" s="193" t="s">
        <v>247</v>
      </c>
      <c r="C80" s="194"/>
      <c r="D80" s="194"/>
      <c r="E80" s="194"/>
      <c r="F80" s="194"/>
      <c r="G80" s="194"/>
      <c r="H80" s="194"/>
      <c r="I80" s="194"/>
      <c r="J80" s="194"/>
      <c r="K80" s="194" t="s">
        <v>265</v>
      </c>
      <c r="L80" s="194"/>
      <c r="M80" s="194"/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  <c r="AE80" s="194"/>
      <c r="AF80" s="194"/>
      <c r="AG80" s="194"/>
      <c r="AH80" s="194"/>
      <c r="AI80" s="194"/>
      <c r="AJ80" s="194"/>
      <c r="AK80" s="194"/>
      <c r="AL80" s="194"/>
      <c r="AM80" s="195"/>
      <c r="AN80"/>
      <c r="AO80"/>
    </row>
    <row r="81" spans="1:41" ht="27.6" customHeight="1">
      <c r="A81" s="192" t="s">
        <v>145</v>
      </c>
      <c r="B81" s="193" t="s">
        <v>247</v>
      </c>
      <c r="C81" s="194"/>
      <c r="D81" s="194"/>
      <c r="E81" s="194"/>
      <c r="F81" s="194"/>
      <c r="G81" s="194"/>
      <c r="H81" s="194"/>
      <c r="I81" s="194"/>
      <c r="J81" s="194"/>
      <c r="K81" s="194" t="s">
        <v>266</v>
      </c>
      <c r="L81" s="194"/>
      <c r="M81" s="194"/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  <c r="AI81" s="194"/>
      <c r="AJ81" s="194"/>
      <c r="AK81" s="194"/>
      <c r="AL81" s="194"/>
      <c r="AM81" s="195"/>
      <c r="AN81"/>
      <c r="AO81"/>
    </row>
    <row r="82" spans="1:41" ht="27.6" customHeight="1">
      <c r="A82" s="192" t="s">
        <v>145</v>
      </c>
      <c r="B82" s="193" t="s">
        <v>247</v>
      </c>
      <c r="C82" s="194"/>
      <c r="D82" s="194"/>
      <c r="E82" s="194"/>
      <c r="F82" s="194"/>
      <c r="G82" s="194"/>
      <c r="H82" s="194"/>
      <c r="I82" s="194"/>
      <c r="J82" s="194"/>
      <c r="K82" s="194" t="s">
        <v>267</v>
      </c>
      <c r="L82" s="194"/>
      <c r="M82" s="194"/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  <c r="AE82" s="194"/>
      <c r="AF82" s="194"/>
      <c r="AG82" s="194"/>
      <c r="AH82" s="194"/>
      <c r="AI82" s="194"/>
      <c r="AJ82" s="194"/>
      <c r="AK82" s="194"/>
      <c r="AL82" s="194"/>
      <c r="AM82" s="195"/>
      <c r="AN82"/>
      <c r="AO82"/>
    </row>
    <row r="83" spans="1:41" ht="24" customHeight="1">
      <c r="A83" s="196" t="s">
        <v>145</v>
      </c>
      <c r="B83" s="197" t="s">
        <v>248</v>
      </c>
      <c r="C83" s="194"/>
      <c r="D83" s="194"/>
      <c r="E83" s="194"/>
      <c r="F83" s="194"/>
      <c r="G83" s="194"/>
      <c r="H83" s="194"/>
      <c r="I83" s="194"/>
      <c r="J83" s="194"/>
      <c r="K83" s="194"/>
      <c r="L83" s="194"/>
      <c r="M83" s="194"/>
      <c r="N83" s="194" t="s">
        <v>269</v>
      </c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4"/>
      <c r="AA83" s="194"/>
      <c r="AB83" s="194"/>
      <c r="AC83" s="194"/>
      <c r="AD83" s="194"/>
      <c r="AE83" s="194"/>
      <c r="AF83" s="194"/>
      <c r="AG83" s="194"/>
      <c r="AH83" s="194"/>
      <c r="AI83" s="194"/>
      <c r="AJ83" s="194"/>
      <c r="AK83" s="194"/>
      <c r="AL83" s="194"/>
      <c r="AM83" s="195"/>
      <c r="AN83"/>
      <c r="AO83"/>
    </row>
    <row r="84" spans="1:41" ht="27.6" customHeight="1">
      <c r="A84" s="192" t="s">
        <v>145</v>
      </c>
      <c r="B84" s="193" t="s">
        <v>249</v>
      </c>
      <c r="C84" s="194"/>
      <c r="D84" s="194"/>
      <c r="E84" s="194"/>
      <c r="F84" s="194"/>
      <c r="G84" s="194" t="s">
        <v>277</v>
      </c>
      <c r="H84" s="194" t="s">
        <v>276</v>
      </c>
      <c r="I84" s="194"/>
      <c r="J84" s="194" t="s">
        <v>260</v>
      </c>
      <c r="K84" s="194"/>
      <c r="L84" s="194"/>
      <c r="M84" s="194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5"/>
      <c r="AN84"/>
      <c r="AO84"/>
    </row>
    <row r="85" spans="1:41" ht="27.6" customHeight="1">
      <c r="A85" s="192" t="s">
        <v>145</v>
      </c>
      <c r="B85" s="193" t="s">
        <v>249</v>
      </c>
      <c r="C85" s="194"/>
      <c r="D85" s="194"/>
      <c r="E85" s="194"/>
      <c r="F85" s="194"/>
      <c r="G85" s="194"/>
      <c r="H85" s="194" t="s">
        <v>261</v>
      </c>
      <c r="I85" s="194"/>
      <c r="J85" s="194" t="s">
        <v>278</v>
      </c>
      <c r="K85" s="194"/>
      <c r="L85" s="194"/>
      <c r="M85" s="194"/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4"/>
      <c r="AA85" s="194"/>
      <c r="AB85" s="194"/>
      <c r="AC85" s="194"/>
      <c r="AD85" s="194"/>
      <c r="AE85" s="194"/>
      <c r="AF85" s="194"/>
      <c r="AG85" s="194"/>
      <c r="AH85" s="194"/>
      <c r="AI85" s="194"/>
      <c r="AJ85" s="194"/>
      <c r="AK85" s="194"/>
      <c r="AL85" s="194"/>
      <c r="AM85" s="195"/>
      <c r="AN85"/>
      <c r="AO85"/>
    </row>
    <row r="86" spans="1:41" ht="27.6" customHeight="1">
      <c r="A86" s="192" t="s">
        <v>145</v>
      </c>
      <c r="B86" s="193" t="s">
        <v>249</v>
      </c>
      <c r="C86" s="194"/>
      <c r="D86" s="194"/>
      <c r="E86" s="194"/>
      <c r="F86" s="194"/>
      <c r="G86" s="194"/>
      <c r="H86" s="194"/>
      <c r="I86" s="194"/>
      <c r="J86" s="194" t="s">
        <v>264</v>
      </c>
      <c r="K86" s="194"/>
      <c r="L86" s="194"/>
      <c r="M86" s="194"/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4"/>
      <c r="AA86" s="194"/>
      <c r="AB86" s="194"/>
      <c r="AC86" s="194"/>
      <c r="AD86" s="194"/>
      <c r="AE86" s="194"/>
      <c r="AF86" s="194"/>
      <c r="AG86" s="194"/>
      <c r="AH86" s="194"/>
      <c r="AI86" s="194"/>
      <c r="AJ86" s="194"/>
      <c r="AK86" s="194"/>
      <c r="AL86" s="194"/>
      <c r="AM86" s="195"/>
      <c r="AN86"/>
      <c r="AO86"/>
    </row>
    <row r="87" spans="1:41" ht="27.6" customHeight="1">
      <c r="A87" s="192" t="s">
        <v>145</v>
      </c>
      <c r="B87" s="193" t="s">
        <v>249</v>
      </c>
      <c r="C87" s="194"/>
      <c r="D87" s="194"/>
      <c r="E87" s="194"/>
      <c r="F87" s="194"/>
      <c r="G87" s="194"/>
      <c r="H87" s="194"/>
      <c r="I87" s="194"/>
      <c r="J87" s="194" t="s">
        <v>279</v>
      </c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4"/>
      <c r="AA87" s="194"/>
      <c r="AB87" s="194"/>
      <c r="AC87" s="194"/>
      <c r="AD87" s="194"/>
      <c r="AE87" s="194"/>
      <c r="AF87" s="194"/>
      <c r="AG87" s="194"/>
      <c r="AH87" s="194"/>
      <c r="AI87" s="194"/>
      <c r="AJ87" s="194"/>
      <c r="AK87" s="194"/>
      <c r="AL87" s="194"/>
      <c r="AM87" s="195"/>
      <c r="AN87"/>
      <c r="AO87"/>
    </row>
    <row r="88" spans="1:41" ht="27.6" customHeight="1">
      <c r="A88" s="192" t="s">
        <v>145</v>
      </c>
      <c r="B88" s="193" t="s">
        <v>249</v>
      </c>
      <c r="C88" s="194"/>
      <c r="D88" s="194"/>
      <c r="E88" s="194"/>
      <c r="F88" s="194"/>
      <c r="G88" s="194"/>
      <c r="H88" s="194"/>
      <c r="I88" s="194"/>
      <c r="J88" s="194" t="s">
        <v>280</v>
      </c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  <c r="AE88" s="194"/>
      <c r="AF88" s="194"/>
      <c r="AG88" s="194"/>
      <c r="AH88" s="194"/>
      <c r="AI88" s="194"/>
      <c r="AJ88" s="194"/>
      <c r="AK88" s="194"/>
      <c r="AL88" s="194"/>
      <c r="AM88" s="195"/>
      <c r="AN88"/>
      <c r="AO88"/>
    </row>
    <row r="89" spans="1:41" ht="27.6" customHeight="1">
      <c r="A89" s="192" t="s">
        <v>145</v>
      </c>
      <c r="B89" s="193" t="s">
        <v>249</v>
      </c>
      <c r="C89" s="194"/>
      <c r="D89" s="194"/>
      <c r="E89" s="194"/>
      <c r="F89" s="194"/>
      <c r="G89" s="194"/>
      <c r="H89" s="194"/>
      <c r="I89" s="194"/>
      <c r="J89" s="194" t="s">
        <v>267</v>
      </c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4"/>
      <c r="AA89" s="194"/>
      <c r="AB89" s="194"/>
      <c r="AC89" s="194"/>
      <c r="AD89" s="194"/>
      <c r="AE89" s="194"/>
      <c r="AF89" s="194"/>
      <c r="AG89" s="194"/>
      <c r="AH89" s="194"/>
      <c r="AI89" s="194"/>
      <c r="AJ89" s="194"/>
      <c r="AK89" s="194"/>
      <c r="AL89" s="194"/>
      <c r="AM89" s="195"/>
      <c r="AN89"/>
      <c r="AO89"/>
    </row>
    <row r="90" spans="1:41" ht="24" customHeight="1">
      <c r="A90" s="196" t="s">
        <v>145</v>
      </c>
      <c r="B90" s="197" t="s">
        <v>250</v>
      </c>
      <c r="C90" s="194"/>
      <c r="D90" s="194"/>
      <c r="E90" s="194"/>
      <c r="F90" s="194"/>
      <c r="G90" s="194"/>
      <c r="H90" s="194" t="s">
        <v>284</v>
      </c>
      <c r="I90" s="194" t="s">
        <v>282</v>
      </c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  <c r="AE90" s="194"/>
      <c r="AF90" s="194"/>
      <c r="AG90" s="194"/>
      <c r="AH90" s="194"/>
      <c r="AI90" s="194"/>
      <c r="AJ90" s="194"/>
      <c r="AK90" s="194"/>
      <c r="AL90" s="194"/>
      <c r="AM90" s="195"/>
      <c r="AN90"/>
      <c r="AO90"/>
    </row>
    <row r="91" spans="1:41" ht="24" customHeight="1">
      <c r="A91" s="196" t="s">
        <v>145</v>
      </c>
      <c r="B91" s="197" t="s">
        <v>250</v>
      </c>
      <c r="C91" s="194"/>
      <c r="D91" s="194"/>
      <c r="E91" s="194"/>
      <c r="F91" s="194"/>
      <c r="G91" s="194"/>
      <c r="H91" s="194"/>
      <c r="I91" s="194" t="s">
        <v>283</v>
      </c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4"/>
      <c r="AA91" s="194"/>
      <c r="AB91" s="194"/>
      <c r="AC91" s="194"/>
      <c r="AD91" s="194"/>
      <c r="AE91" s="194"/>
      <c r="AF91" s="194"/>
      <c r="AG91" s="194"/>
      <c r="AH91" s="194"/>
      <c r="AI91" s="194"/>
      <c r="AJ91" s="194"/>
      <c r="AK91" s="194"/>
      <c r="AL91" s="194"/>
      <c r="AM91" s="195"/>
      <c r="AN91"/>
      <c r="AO91"/>
    </row>
    <row r="92" spans="1:41" ht="24" customHeight="1">
      <c r="A92" s="192" t="s">
        <v>145</v>
      </c>
      <c r="B92" s="193" t="s">
        <v>251</v>
      </c>
      <c r="C92" s="194"/>
      <c r="D92" s="194"/>
      <c r="E92" s="194"/>
      <c r="F92" s="194"/>
      <c r="G92" s="194" t="s">
        <v>286</v>
      </c>
      <c r="H92" s="194"/>
      <c r="I92" s="194"/>
      <c r="J92" s="194" t="s">
        <v>285</v>
      </c>
      <c r="K92" s="194" t="s">
        <v>283</v>
      </c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  <c r="AE92" s="194"/>
      <c r="AF92" s="194"/>
      <c r="AG92" s="194"/>
      <c r="AH92" s="194"/>
      <c r="AI92" s="194"/>
      <c r="AJ92" s="194"/>
      <c r="AK92" s="194"/>
      <c r="AL92" s="194"/>
      <c r="AM92" s="195"/>
      <c r="AN92"/>
      <c r="AO92"/>
    </row>
    <row r="93" spans="1:41" ht="24" customHeight="1">
      <c r="A93" s="192" t="s">
        <v>145</v>
      </c>
      <c r="B93" s="193" t="s">
        <v>251</v>
      </c>
      <c r="C93" s="194"/>
      <c r="D93" s="194"/>
      <c r="E93" s="194"/>
      <c r="F93" s="194"/>
      <c r="G93" s="194"/>
      <c r="H93" s="194"/>
      <c r="I93" s="194"/>
      <c r="J93" s="194" t="s">
        <v>284</v>
      </c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  <c r="AD93" s="194"/>
      <c r="AE93" s="194"/>
      <c r="AF93" s="194"/>
      <c r="AG93" s="194"/>
      <c r="AH93" s="194"/>
      <c r="AI93" s="194"/>
      <c r="AJ93" s="194"/>
      <c r="AK93" s="194"/>
      <c r="AL93" s="194"/>
      <c r="AM93" s="195"/>
      <c r="AN93"/>
      <c r="AO93"/>
    </row>
    <row r="94" spans="1:41" ht="27.6" customHeight="1">
      <c r="A94" s="196" t="s">
        <v>145</v>
      </c>
      <c r="B94" s="197" t="s">
        <v>252</v>
      </c>
      <c r="C94" s="194"/>
      <c r="D94" s="194"/>
      <c r="E94" s="194"/>
      <c r="F94" s="194" t="s">
        <v>277</v>
      </c>
      <c r="G94" s="194" t="s">
        <v>287</v>
      </c>
      <c r="H94" s="194"/>
      <c r="I94" s="194"/>
      <c r="J94" s="194" t="s">
        <v>278</v>
      </c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  <c r="AE94" s="194"/>
      <c r="AF94" s="194"/>
      <c r="AG94" s="194"/>
      <c r="AH94" s="194"/>
      <c r="AI94" s="194"/>
      <c r="AJ94" s="194"/>
      <c r="AK94" s="194"/>
      <c r="AL94" s="194"/>
      <c r="AM94" s="195"/>
      <c r="AN94"/>
      <c r="AO94"/>
    </row>
    <row r="95" spans="1:41" ht="27.6" customHeight="1">
      <c r="A95" s="196" t="s">
        <v>145</v>
      </c>
      <c r="B95" s="197" t="s">
        <v>252</v>
      </c>
      <c r="C95" s="194"/>
      <c r="D95" s="194"/>
      <c r="E95" s="194"/>
      <c r="F95" s="194"/>
      <c r="G95" s="194" t="s">
        <v>288</v>
      </c>
      <c r="H95" s="194"/>
      <c r="I95" s="194"/>
      <c r="J95" s="194" t="s">
        <v>264</v>
      </c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4"/>
      <c r="AA95" s="194"/>
      <c r="AB95" s="194"/>
      <c r="AC95" s="194"/>
      <c r="AD95" s="194"/>
      <c r="AE95" s="194"/>
      <c r="AF95" s="194"/>
      <c r="AG95" s="194"/>
      <c r="AH95" s="194"/>
      <c r="AI95" s="194"/>
      <c r="AJ95" s="194"/>
      <c r="AK95" s="194"/>
      <c r="AL95" s="194"/>
      <c r="AM95" s="195"/>
      <c r="AN95"/>
      <c r="AO95"/>
    </row>
    <row r="96" spans="1:41" ht="27.6" customHeight="1">
      <c r="A96" s="196" t="s">
        <v>145</v>
      </c>
      <c r="B96" s="197" t="s">
        <v>252</v>
      </c>
      <c r="C96" s="194"/>
      <c r="D96" s="194"/>
      <c r="E96" s="194"/>
      <c r="F96" s="194"/>
      <c r="G96" s="194" t="s">
        <v>289</v>
      </c>
      <c r="H96" s="194"/>
      <c r="I96" s="194"/>
      <c r="J96" s="194" t="s">
        <v>290</v>
      </c>
      <c r="K96" s="194"/>
      <c r="L96" s="194"/>
      <c r="M96" s="194"/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4"/>
      <c r="AA96" s="194"/>
      <c r="AB96" s="194"/>
      <c r="AC96" s="194"/>
      <c r="AD96" s="194"/>
      <c r="AE96" s="194"/>
      <c r="AF96" s="194"/>
      <c r="AG96" s="194"/>
      <c r="AH96" s="194"/>
      <c r="AI96" s="194"/>
      <c r="AJ96" s="194"/>
      <c r="AK96" s="194"/>
      <c r="AL96" s="194"/>
      <c r="AM96" s="195"/>
      <c r="AN96"/>
      <c r="AO96"/>
    </row>
    <row r="97" spans="1:41" ht="27.6" customHeight="1">
      <c r="A97" s="196" t="s">
        <v>145</v>
      </c>
      <c r="B97" s="197" t="s">
        <v>252</v>
      </c>
      <c r="C97" s="194"/>
      <c r="D97" s="194"/>
      <c r="E97" s="194"/>
      <c r="F97" s="194"/>
      <c r="G97" s="194"/>
      <c r="H97" s="194"/>
      <c r="I97" s="194"/>
      <c r="J97" s="194" t="s">
        <v>267</v>
      </c>
      <c r="K97" s="194"/>
      <c r="L97" s="194"/>
      <c r="M97" s="194"/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4"/>
      <c r="AA97" s="194"/>
      <c r="AB97" s="194"/>
      <c r="AC97" s="194"/>
      <c r="AD97" s="194"/>
      <c r="AE97" s="194"/>
      <c r="AF97" s="194"/>
      <c r="AG97" s="194"/>
      <c r="AH97" s="194"/>
      <c r="AI97" s="194"/>
      <c r="AJ97" s="194"/>
      <c r="AK97" s="194"/>
      <c r="AL97" s="194"/>
      <c r="AM97" s="195"/>
      <c r="AN97"/>
      <c r="AO97"/>
    </row>
    <row r="98" spans="1:41" ht="27.6" customHeight="1">
      <c r="A98" s="196" t="s">
        <v>145</v>
      </c>
      <c r="B98" s="197" t="s">
        <v>252</v>
      </c>
      <c r="C98" s="194"/>
      <c r="D98" s="194"/>
      <c r="E98" s="194"/>
      <c r="F98" s="194"/>
      <c r="G98" s="194"/>
      <c r="H98" s="194"/>
      <c r="I98" s="194"/>
      <c r="J98" s="194" t="s">
        <v>291</v>
      </c>
      <c r="K98" s="194"/>
      <c r="L98" s="194"/>
      <c r="M98" s="194"/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4"/>
      <c r="AA98" s="194"/>
      <c r="AB98" s="194"/>
      <c r="AC98" s="194"/>
      <c r="AD98" s="194"/>
      <c r="AE98" s="194"/>
      <c r="AF98" s="194"/>
      <c r="AG98" s="194"/>
      <c r="AH98" s="194"/>
      <c r="AI98" s="194"/>
      <c r="AJ98" s="194"/>
      <c r="AK98" s="194"/>
      <c r="AL98" s="194"/>
      <c r="AM98" s="195"/>
      <c r="AN98"/>
      <c r="AO98"/>
    </row>
    <row r="99" spans="1:41" ht="24" customHeight="1">
      <c r="A99" s="192" t="s">
        <v>145</v>
      </c>
      <c r="B99" s="193" t="s">
        <v>253</v>
      </c>
      <c r="C99" s="194"/>
      <c r="D99" s="194"/>
      <c r="E99" s="194"/>
      <c r="F99" s="194"/>
      <c r="G99" s="194"/>
      <c r="H99" s="194"/>
      <c r="I99" s="194"/>
      <c r="J99" s="194"/>
      <c r="K99" s="194" t="s">
        <v>284</v>
      </c>
      <c r="L99" s="194"/>
      <c r="M99" s="194" t="s">
        <v>292</v>
      </c>
      <c r="N99" s="194" t="s">
        <v>294</v>
      </c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4"/>
      <c r="AA99" s="194"/>
      <c r="AB99" s="194"/>
      <c r="AC99" s="194"/>
      <c r="AD99" s="194"/>
      <c r="AE99" s="194"/>
      <c r="AF99" s="194"/>
      <c r="AG99" s="194"/>
      <c r="AH99" s="194"/>
      <c r="AI99" s="194"/>
      <c r="AJ99" s="194"/>
      <c r="AK99" s="194"/>
      <c r="AL99" s="194"/>
      <c r="AM99" s="195"/>
      <c r="AN99"/>
      <c r="AO99"/>
    </row>
    <row r="100" spans="1:41" ht="24" customHeight="1">
      <c r="A100" s="192" t="s">
        <v>145</v>
      </c>
      <c r="B100" s="193" t="s">
        <v>253</v>
      </c>
      <c r="C100" s="194"/>
      <c r="D100" s="194"/>
      <c r="E100" s="194"/>
      <c r="F100" s="194"/>
      <c r="G100" s="194"/>
      <c r="H100" s="194"/>
      <c r="I100" s="194"/>
      <c r="J100" s="194"/>
      <c r="K100" s="194" t="s">
        <v>286</v>
      </c>
      <c r="L100" s="194"/>
      <c r="M100" s="194"/>
      <c r="N100" s="194" t="s">
        <v>293</v>
      </c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4"/>
      <c r="AA100" s="194"/>
      <c r="AB100" s="194"/>
      <c r="AC100" s="194"/>
      <c r="AD100" s="194"/>
      <c r="AE100" s="194"/>
      <c r="AF100" s="194"/>
      <c r="AG100" s="194"/>
      <c r="AH100" s="194"/>
      <c r="AI100" s="194"/>
      <c r="AJ100" s="194"/>
      <c r="AK100" s="194"/>
      <c r="AL100" s="194"/>
      <c r="AM100" s="195"/>
      <c r="AN100"/>
      <c r="AO100"/>
    </row>
    <row r="101" spans="1:41" ht="24" customHeight="1">
      <c r="A101" s="192" t="s">
        <v>145</v>
      </c>
      <c r="B101" s="193" t="s">
        <v>253</v>
      </c>
      <c r="C101" s="194"/>
      <c r="D101" s="194"/>
      <c r="E101" s="194"/>
      <c r="F101" s="194"/>
      <c r="G101" s="194"/>
      <c r="H101" s="194"/>
      <c r="I101" s="194"/>
      <c r="J101" s="194"/>
      <c r="K101" s="194"/>
      <c r="L101" s="194"/>
      <c r="M101" s="194"/>
      <c r="N101" s="194" t="s">
        <v>283</v>
      </c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4"/>
      <c r="AA101" s="194"/>
      <c r="AB101" s="194"/>
      <c r="AC101" s="194"/>
      <c r="AD101" s="194"/>
      <c r="AE101" s="194"/>
      <c r="AF101" s="194"/>
      <c r="AG101" s="194"/>
      <c r="AH101" s="194"/>
      <c r="AI101" s="194"/>
      <c r="AJ101" s="194"/>
      <c r="AK101" s="194"/>
      <c r="AL101" s="194"/>
      <c r="AM101" s="195"/>
      <c r="AN101"/>
      <c r="AO101"/>
    </row>
    <row r="102" spans="1:41" ht="24" customHeight="1">
      <c r="A102" s="192" t="s">
        <v>145</v>
      </c>
      <c r="B102" s="193" t="s">
        <v>253</v>
      </c>
      <c r="C102" s="194"/>
      <c r="D102" s="194"/>
      <c r="E102" s="194"/>
      <c r="F102" s="194"/>
      <c r="G102" s="194"/>
      <c r="H102" s="194"/>
      <c r="I102" s="194"/>
      <c r="J102" s="194"/>
      <c r="K102" s="194"/>
      <c r="L102" s="194"/>
      <c r="M102" s="194"/>
      <c r="N102" s="194" t="s">
        <v>98</v>
      </c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4"/>
      <c r="AA102" s="194"/>
      <c r="AB102" s="194"/>
      <c r="AC102" s="194"/>
      <c r="AD102" s="194"/>
      <c r="AE102" s="194"/>
      <c r="AF102" s="194"/>
      <c r="AG102" s="194"/>
      <c r="AH102" s="194"/>
      <c r="AI102" s="194"/>
      <c r="AJ102" s="194"/>
      <c r="AK102" s="194"/>
      <c r="AL102" s="194"/>
      <c r="AM102" s="195"/>
      <c r="AN102"/>
      <c r="AO102"/>
    </row>
    <row r="103" spans="1:41" ht="24" customHeight="1">
      <c r="A103" s="196" t="s">
        <v>145</v>
      </c>
      <c r="B103" s="197" t="s">
        <v>254</v>
      </c>
      <c r="C103" s="194"/>
      <c r="D103" s="194"/>
      <c r="E103" s="194"/>
      <c r="F103" s="194"/>
      <c r="G103" s="194"/>
      <c r="H103" s="194"/>
      <c r="I103" s="194"/>
      <c r="J103" s="194" t="s">
        <v>273</v>
      </c>
      <c r="K103" s="194" t="s">
        <v>272</v>
      </c>
      <c r="L103" s="194"/>
      <c r="M103" s="194" t="s">
        <v>274</v>
      </c>
      <c r="N103" s="194" t="s">
        <v>275</v>
      </c>
      <c r="O103" s="194"/>
      <c r="P103" s="194"/>
      <c r="Q103" s="194"/>
      <c r="R103" s="194"/>
      <c r="S103" s="194" t="s">
        <v>270</v>
      </c>
      <c r="T103" s="194"/>
      <c r="U103" s="194"/>
      <c r="V103" s="194"/>
      <c r="W103" s="194"/>
      <c r="X103" s="194"/>
      <c r="Y103" s="194"/>
      <c r="Z103" s="194"/>
      <c r="AA103" s="194"/>
      <c r="AB103" s="194"/>
      <c r="AC103" s="194"/>
      <c r="AD103" s="194"/>
      <c r="AE103" s="194"/>
      <c r="AF103" s="194"/>
      <c r="AG103" s="194"/>
      <c r="AH103" s="194"/>
      <c r="AI103" s="194"/>
      <c r="AJ103" s="194"/>
      <c r="AK103" s="194"/>
      <c r="AL103" s="194"/>
      <c r="AM103" s="195"/>
      <c r="AN103"/>
      <c r="AO103"/>
    </row>
    <row r="104" spans="1:41" ht="24" customHeight="1" thickBot="1">
      <c r="A104" s="196" t="s">
        <v>145</v>
      </c>
      <c r="B104" s="197" t="s">
        <v>254</v>
      </c>
      <c r="C104" s="194"/>
      <c r="D104" s="194"/>
      <c r="E104" s="194"/>
      <c r="F104" s="194"/>
      <c r="G104" s="194"/>
      <c r="H104" s="194"/>
      <c r="I104" s="194"/>
      <c r="J104" s="194"/>
      <c r="K104" s="194"/>
      <c r="L104" s="194"/>
      <c r="M104" s="194"/>
      <c r="N104" s="194"/>
      <c r="O104" s="194"/>
      <c r="P104" s="194"/>
      <c r="Q104" s="194"/>
      <c r="R104" s="194"/>
      <c r="S104" s="194" t="s">
        <v>271</v>
      </c>
      <c r="T104" s="194"/>
      <c r="U104" s="194"/>
      <c r="V104" s="194"/>
      <c r="W104" s="194"/>
      <c r="X104" s="194"/>
      <c r="Y104" s="194"/>
      <c r="Z104" s="194"/>
      <c r="AA104" s="194"/>
      <c r="AB104" s="194"/>
      <c r="AC104" s="194"/>
      <c r="AD104" s="194"/>
      <c r="AE104" s="194"/>
      <c r="AF104" s="194"/>
      <c r="AG104" s="194"/>
      <c r="AH104" s="194"/>
      <c r="AI104" s="194"/>
      <c r="AJ104" s="194"/>
      <c r="AK104" s="194"/>
      <c r="AL104" s="194"/>
      <c r="AM104" s="195"/>
      <c r="AN104"/>
      <c r="AO104"/>
    </row>
    <row r="105" spans="1:41" ht="7.95" customHeight="1" thickBot="1">
      <c r="A105" s="154"/>
      <c r="B105" s="154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/>
      <c r="AO105"/>
    </row>
    <row r="106" spans="1:41" ht="24" customHeight="1">
      <c r="A106" s="189" t="s">
        <v>146</v>
      </c>
      <c r="B106" s="190" t="s">
        <v>297</v>
      </c>
      <c r="C106" s="191"/>
      <c r="D106" s="191"/>
      <c r="E106" s="191"/>
      <c r="F106" s="191" t="s">
        <v>490</v>
      </c>
      <c r="G106" s="191" t="s">
        <v>491</v>
      </c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62" t="s">
        <v>661</v>
      </c>
      <c r="AN106"/>
      <c r="AO106"/>
    </row>
    <row r="107" spans="1:41" ht="24" customHeight="1">
      <c r="A107" s="196" t="s">
        <v>146</v>
      </c>
      <c r="B107" s="197" t="s">
        <v>299</v>
      </c>
      <c r="C107" s="194"/>
      <c r="D107" s="194"/>
      <c r="E107" s="194"/>
      <c r="F107" s="194" t="s">
        <v>508</v>
      </c>
      <c r="G107" s="194" t="s">
        <v>491</v>
      </c>
      <c r="H107" s="194"/>
      <c r="I107" s="194"/>
      <c r="J107" s="194"/>
      <c r="K107" s="194"/>
      <c r="L107" s="194"/>
      <c r="M107" s="194"/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4"/>
      <c r="AA107" s="194"/>
      <c r="AB107" s="194"/>
      <c r="AC107" s="194"/>
      <c r="AD107" s="194"/>
      <c r="AE107" s="194"/>
      <c r="AF107" s="194"/>
      <c r="AG107" s="194"/>
      <c r="AH107" s="194"/>
      <c r="AI107" s="194"/>
      <c r="AJ107" s="194"/>
      <c r="AK107" s="194"/>
      <c r="AL107" s="194"/>
      <c r="AM107" s="166" t="s">
        <v>662</v>
      </c>
      <c r="AN107"/>
      <c r="AO107"/>
    </row>
    <row r="108" spans="1:41" ht="24" customHeight="1">
      <c r="A108" s="192" t="s">
        <v>146</v>
      </c>
      <c r="B108" s="193" t="s">
        <v>296</v>
      </c>
      <c r="C108" s="194"/>
      <c r="D108" s="194"/>
      <c r="E108" s="194"/>
      <c r="F108" s="194"/>
      <c r="G108" s="194"/>
      <c r="H108" s="194"/>
      <c r="I108" s="194"/>
      <c r="J108" s="194"/>
      <c r="K108" s="194"/>
      <c r="L108" s="194"/>
      <c r="M108" s="194"/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4"/>
      <c r="AA108" s="194"/>
      <c r="AB108" s="194"/>
      <c r="AC108" s="194"/>
      <c r="AD108" s="194"/>
      <c r="AE108" s="194"/>
      <c r="AF108" s="194"/>
      <c r="AG108" s="194"/>
      <c r="AH108" s="194"/>
      <c r="AI108" s="194"/>
      <c r="AJ108" s="194"/>
      <c r="AK108" s="194"/>
      <c r="AL108" s="194"/>
      <c r="AM108" s="166" t="s">
        <v>660</v>
      </c>
      <c r="AN108"/>
      <c r="AO108"/>
    </row>
    <row r="109" spans="1:41" ht="24" customHeight="1">
      <c r="A109" s="196" t="s">
        <v>146</v>
      </c>
      <c r="B109" s="197" t="s">
        <v>300</v>
      </c>
      <c r="C109" s="194"/>
      <c r="D109" s="194"/>
      <c r="E109" s="194"/>
      <c r="F109" s="194" t="s">
        <v>304</v>
      </c>
      <c r="G109" s="194"/>
      <c r="H109" s="194"/>
      <c r="I109" s="194"/>
      <c r="J109" s="194"/>
      <c r="K109" s="194"/>
      <c r="L109" s="194"/>
      <c r="M109" s="194"/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4"/>
      <c r="AA109" s="194"/>
      <c r="AB109" s="194"/>
      <c r="AC109" s="194"/>
      <c r="AD109" s="194"/>
      <c r="AE109" s="194"/>
      <c r="AF109" s="194"/>
      <c r="AG109" s="194"/>
      <c r="AH109" s="194"/>
      <c r="AI109" s="194"/>
      <c r="AJ109" s="194"/>
      <c r="AK109" s="194"/>
      <c r="AL109" s="194"/>
      <c r="AM109" s="166" t="s">
        <v>91</v>
      </c>
      <c r="AN109"/>
      <c r="AO109"/>
    </row>
    <row r="110" spans="1:41" ht="24" customHeight="1">
      <c r="A110" s="192" t="s">
        <v>146</v>
      </c>
      <c r="B110" s="193" t="s">
        <v>233</v>
      </c>
      <c r="C110" s="194"/>
      <c r="D110" s="194"/>
      <c r="E110" s="194"/>
      <c r="F110" s="194"/>
      <c r="G110" s="194"/>
      <c r="H110" s="194"/>
      <c r="I110" s="194"/>
      <c r="J110" s="194"/>
      <c r="K110" s="194"/>
      <c r="L110" s="194"/>
      <c r="M110" s="194"/>
      <c r="N110" s="194"/>
      <c r="O110" s="194" t="s">
        <v>437</v>
      </c>
      <c r="P110" s="194" t="s">
        <v>445</v>
      </c>
      <c r="Q110" s="194" t="s">
        <v>439</v>
      </c>
      <c r="R110" s="194" t="s">
        <v>440</v>
      </c>
      <c r="S110" s="194" t="s">
        <v>184</v>
      </c>
      <c r="T110" s="194"/>
      <c r="U110" s="194"/>
      <c r="V110" s="194"/>
      <c r="W110" s="194"/>
      <c r="X110" s="194"/>
      <c r="Y110" s="194"/>
      <c r="Z110" s="194"/>
      <c r="AA110" s="194"/>
      <c r="AB110" s="194"/>
      <c r="AC110" s="194"/>
      <c r="AD110" s="194"/>
      <c r="AE110" s="194"/>
      <c r="AF110" s="194"/>
      <c r="AG110" s="194"/>
      <c r="AH110" s="194"/>
      <c r="AI110" s="194"/>
      <c r="AJ110" s="194"/>
      <c r="AK110" s="194"/>
      <c r="AL110" s="194"/>
      <c r="AM110" s="166" t="s">
        <v>553</v>
      </c>
      <c r="AN110"/>
      <c r="AO110"/>
    </row>
    <row r="111" spans="1:41" ht="24" customHeight="1">
      <c r="A111" s="196" t="s">
        <v>146</v>
      </c>
      <c r="B111" s="197" t="s">
        <v>234</v>
      </c>
      <c r="C111" s="194"/>
      <c r="D111" s="194"/>
      <c r="E111" s="194"/>
      <c r="F111" s="194"/>
      <c r="G111" s="194"/>
      <c r="H111" s="194"/>
      <c r="I111" s="194"/>
      <c r="J111" s="194"/>
      <c r="K111" s="194"/>
      <c r="L111" s="194"/>
      <c r="M111" s="194"/>
      <c r="N111" s="194" t="s">
        <v>437</v>
      </c>
      <c r="O111" s="194"/>
      <c r="P111" s="194" t="s">
        <v>439</v>
      </c>
      <c r="Q111" s="194" t="s">
        <v>440</v>
      </c>
      <c r="R111" s="194"/>
      <c r="S111" s="194" t="s">
        <v>184</v>
      </c>
      <c r="T111" s="194"/>
      <c r="U111" s="194"/>
      <c r="V111" s="194"/>
      <c r="W111" s="194"/>
      <c r="X111" s="194"/>
      <c r="Y111" s="194"/>
      <c r="Z111" s="194"/>
      <c r="AA111" s="194"/>
      <c r="AB111" s="194"/>
      <c r="AC111" s="194"/>
      <c r="AD111" s="194"/>
      <c r="AE111" s="194"/>
      <c r="AF111" s="194"/>
      <c r="AG111" s="194"/>
      <c r="AH111" s="194"/>
      <c r="AI111" s="194"/>
      <c r="AJ111" s="194"/>
      <c r="AK111" s="194"/>
      <c r="AL111" s="194"/>
      <c r="AM111" s="166" t="s">
        <v>445</v>
      </c>
      <c r="AN111"/>
      <c r="AO111"/>
    </row>
    <row r="112" spans="1:41" ht="24" customHeight="1">
      <c r="A112" s="196" t="s">
        <v>146</v>
      </c>
      <c r="B112" s="197" t="s">
        <v>234</v>
      </c>
      <c r="C112" s="194"/>
      <c r="D112" s="194"/>
      <c r="E112" s="194"/>
      <c r="F112" s="194"/>
      <c r="G112" s="194"/>
      <c r="H112" s="194"/>
      <c r="I112" s="194"/>
      <c r="J112" s="194"/>
      <c r="K112" s="194"/>
      <c r="L112" s="194"/>
      <c r="M112" s="194"/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4"/>
      <c r="AA112" s="194"/>
      <c r="AB112" s="194"/>
      <c r="AC112" s="194"/>
      <c r="AD112" s="194"/>
      <c r="AE112" s="194"/>
      <c r="AF112" s="194"/>
      <c r="AG112" s="194"/>
      <c r="AH112" s="194"/>
      <c r="AI112" s="194"/>
      <c r="AJ112" s="194"/>
      <c r="AK112" s="194"/>
      <c r="AL112" s="194"/>
      <c r="AM112" s="166" t="s">
        <v>553</v>
      </c>
      <c r="AN112"/>
      <c r="AO112"/>
    </row>
    <row r="113" spans="1:41" ht="24" customHeight="1">
      <c r="A113" s="192" t="s">
        <v>146</v>
      </c>
      <c r="B113" s="193" t="s">
        <v>235</v>
      </c>
      <c r="C113" s="194"/>
      <c r="D113" s="194"/>
      <c r="E113" s="194"/>
      <c r="F113" s="194"/>
      <c r="G113" s="194"/>
      <c r="H113" s="194"/>
      <c r="I113" s="194"/>
      <c r="J113" s="194"/>
      <c r="K113" s="194"/>
      <c r="L113" s="194"/>
      <c r="M113" s="194"/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4"/>
      <c r="AA113" s="194"/>
      <c r="AB113" s="194"/>
      <c r="AC113" s="194"/>
      <c r="AD113" s="194"/>
      <c r="AE113" s="194"/>
      <c r="AF113" s="194"/>
      <c r="AG113" s="194"/>
      <c r="AH113" s="194"/>
      <c r="AI113" s="194"/>
      <c r="AJ113" s="194"/>
      <c r="AK113" s="194"/>
      <c r="AL113" s="194"/>
      <c r="AM113" s="166" t="s">
        <v>657</v>
      </c>
      <c r="AN113"/>
      <c r="AO113"/>
    </row>
    <row r="114" spans="1:41" ht="24" customHeight="1">
      <c r="A114" s="192" t="s">
        <v>146</v>
      </c>
      <c r="B114" s="193" t="s">
        <v>235</v>
      </c>
      <c r="C114" s="194"/>
      <c r="D114" s="194"/>
      <c r="E114" s="194"/>
      <c r="F114" s="194"/>
      <c r="G114" s="194"/>
      <c r="H114" s="194"/>
      <c r="I114" s="194"/>
      <c r="J114" s="194"/>
      <c r="K114" s="194"/>
      <c r="L114" s="194"/>
      <c r="M114" s="194"/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  <c r="AI114" s="194"/>
      <c r="AJ114" s="194"/>
      <c r="AK114" s="194"/>
      <c r="AL114" s="194"/>
      <c r="AM114" s="166" t="s">
        <v>658</v>
      </c>
      <c r="AN114"/>
      <c r="AO114"/>
    </row>
    <row r="115" spans="1:41" ht="24" customHeight="1">
      <c r="A115" s="192" t="s">
        <v>146</v>
      </c>
      <c r="B115" s="193" t="s">
        <v>235</v>
      </c>
      <c r="C115" s="194"/>
      <c r="D115" s="194"/>
      <c r="E115" s="194"/>
      <c r="F115" s="194"/>
      <c r="G115" s="194"/>
      <c r="H115" s="194"/>
      <c r="I115" s="194"/>
      <c r="J115" s="194"/>
      <c r="K115" s="194"/>
      <c r="L115" s="194"/>
      <c r="M115" s="194"/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  <c r="AI115" s="194"/>
      <c r="AJ115" s="194"/>
      <c r="AK115" s="194"/>
      <c r="AL115" s="194"/>
      <c r="AM115" s="166" t="s">
        <v>82</v>
      </c>
      <c r="AN115"/>
      <c r="AO115"/>
    </row>
    <row r="116" spans="1:41" ht="24" customHeight="1">
      <c r="A116" s="196" t="s">
        <v>146</v>
      </c>
      <c r="B116" s="197" t="s">
        <v>156</v>
      </c>
      <c r="C116" s="194"/>
      <c r="D116" s="194"/>
      <c r="E116" s="194"/>
      <c r="F116" s="194"/>
      <c r="G116" s="194"/>
      <c r="H116" s="194"/>
      <c r="I116" s="194"/>
      <c r="J116" s="194"/>
      <c r="K116" s="194"/>
      <c r="L116" s="194"/>
      <c r="M116" s="194"/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4"/>
      <c r="AA116" s="194"/>
      <c r="AB116" s="194"/>
      <c r="AC116" s="194"/>
      <c r="AD116" s="194"/>
      <c r="AE116" s="194"/>
      <c r="AF116" s="194"/>
      <c r="AG116" s="194"/>
      <c r="AH116" s="194"/>
      <c r="AI116" s="194"/>
      <c r="AJ116" s="194"/>
      <c r="AK116" s="194"/>
      <c r="AL116" s="194"/>
      <c r="AM116" s="166" t="s">
        <v>84</v>
      </c>
      <c r="AN116"/>
      <c r="AO116"/>
    </row>
    <row r="117" spans="1:41" ht="24" customHeight="1">
      <c r="A117" s="196" t="s">
        <v>146</v>
      </c>
      <c r="B117" s="197" t="s">
        <v>156</v>
      </c>
      <c r="C117" s="194"/>
      <c r="D117" s="194"/>
      <c r="E117" s="194"/>
      <c r="F117" s="194"/>
      <c r="G117" s="194"/>
      <c r="H117" s="194"/>
      <c r="I117" s="194"/>
      <c r="J117" s="194"/>
      <c r="K117" s="194"/>
      <c r="L117" s="194"/>
      <c r="M117" s="194"/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4"/>
      <c r="AA117" s="194"/>
      <c r="AB117" s="194"/>
      <c r="AC117" s="194"/>
      <c r="AD117" s="194"/>
      <c r="AE117" s="194"/>
      <c r="AF117" s="194"/>
      <c r="AG117" s="194"/>
      <c r="AH117" s="194"/>
      <c r="AI117" s="194"/>
      <c r="AJ117" s="194"/>
      <c r="AK117" s="194"/>
      <c r="AL117" s="194"/>
      <c r="AM117" s="166" t="s">
        <v>86</v>
      </c>
      <c r="AN117"/>
      <c r="AO117"/>
    </row>
    <row r="118" spans="1:41" ht="24" customHeight="1" thickBot="1">
      <c r="A118" s="192" t="s">
        <v>146</v>
      </c>
      <c r="B118" s="193" t="s">
        <v>298</v>
      </c>
      <c r="C118" s="194"/>
      <c r="D118" s="194"/>
      <c r="E118" s="194"/>
      <c r="F118" s="194"/>
      <c r="G118" s="194"/>
      <c r="H118" s="194"/>
      <c r="I118" s="194"/>
      <c r="J118" s="194"/>
      <c r="K118" s="194"/>
      <c r="L118" s="194"/>
      <c r="M118" s="194" t="s">
        <v>496</v>
      </c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4"/>
      <c r="AA118" s="194"/>
      <c r="AB118" s="194"/>
      <c r="AC118" s="194"/>
      <c r="AD118" s="194"/>
      <c r="AE118" s="194"/>
      <c r="AF118" s="194"/>
      <c r="AG118" s="194"/>
      <c r="AH118" s="194"/>
      <c r="AI118" s="194"/>
      <c r="AJ118" s="194"/>
      <c r="AK118" s="194"/>
      <c r="AL118" s="194"/>
      <c r="AM118" s="166" t="s">
        <v>200</v>
      </c>
      <c r="AN118"/>
      <c r="AO118"/>
    </row>
    <row r="119" spans="1:41" ht="7.95" customHeight="1" thickBot="1">
      <c r="A119" s="154"/>
      <c r="B119" s="154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/>
      <c r="AO119"/>
    </row>
    <row r="120" spans="1:41" ht="24" customHeight="1">
      <c r="A120" s="200" t="s">
        <v>147</v>
      </c>
      <c r="B120" s="201" t="s">
        <v>232</v>
      </c>
      <c r="C120" s="202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 t="s">
        <v>437</v>
      </c>
      <c r="N120" s="202" t="s">
        <v>439</v>
      </c>
      <c r="O120" s="202" t="s">
        <v>440</v>
      </c>
      <c r="P120" s="202" t="s">
        <v>184</v>
      </c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2"/>
      <c r="AH120" s="202"/>
      <c r="AI120" s="202"/>
      <c r="AJ120" s="202"/>
      <c r="AK120" s="202"/>
      <c r="AL120" s="202"/>
      <c r="AM120" s="162" t="s">
        <v>553</v>
      </c>
      <c r="AN120"/>
      <c r="AO120"/>
    </row>
    <row r="121" spans="1:41" ht="24" customHeight="1">
      <c r="A121" s="203" t="s">
        <v>147</v>
      </c>
      <c r="B121" s="204" t="s">
        <v>232</v>
      </c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 t="s">
        <v>445</v>
      </c>
      <c r="N121" s="205"/>
      <c r="O121" s="205"/>
      <c r="P121" s="205"/>
      <c r="Q121" s="205"/>
      <c r="R121" s="205"/>
      <c r="S121" s="205"/>
      <c r="T121" s="205"/>
      <c r="U121" s="205"/>
      <c r="V121" s="205"/>
      <c r="W121" s="205"/>
      <c r="X121" s="205"/>
      <c r="Y121" s="205"/>
      <c r="Z121" s="205"/>
      <c r="AA121" s="205"/>
      <c r="AB121" s="205"/>
      <c r="AC121" s="205"/>
      <c r="AD121" s="205"/>
      <c r="AE121" s="205"/>
      <c r="AF121" s="205"/>
      <c r="AG121" s="205"/>
      <c r="AH121" s="205"/>
      <c r="AI121" s="205"/>
      <c r="AJ121" s="205"/>
      <c r="AK121" s="205"/>
      <c r="AL121" s="205"/>
      <c r="AM121" s="206"/>
      <c r="AN121"/>
      <c r="AO121"/>
    </row>
    <row r="122" spans="1:41" ht="24" customHeight="1">
      <c r="A122" s="207" t="s">
        <v>147</v>
      </c>
      <c r="B122" s="208" t="s">
        <v>238</v>
      </c>
      <c r="C122" s="205"/>
      <c r="D122" s="205"/>
      <c r="E122" s="205"/>
      <c r="F122" s="205"/>
      <c r="G122" s="205" t="s">
        <v>437</v>
      </c>
      <c r="H122" s="205" t="s">
        <v>439</v>
      </c>
      <c r="I122" s="205" t="s">
        <v>440</v>
      </c>
      <c r="J122" s="205" t="s">
        <v>184</v>
      </c>
      <c r="K122" s="205"/>
      <c r="L122" s="205"/>
      <c r="M122" s="205"/>
      <c r="N122" s="205"/>
      <c r="O122" s="205"/>
      <c r="P122" s="205"/>
      <c r="Q122" s="205"/>
      <c r="R122" s="205"/>
      <c r="S122" s="205"/>
      <c r="T122" s="205"/>
      <c r="U122" s="205"/>
      <c r="V122" s="205"/>
      <c r="W122" s="205"/>
      <c r="X122" s="205"/>
      <c r="Y122" s="205"/>
      <c r="Z122" s="205"/>
      <c r="AA122" s="205"/>
      <c r="AB122" s="205"/>
      <c r="AC122" s="205"/>
      <c r="AD122" s="205"/>
      <c r="AE122" s="205"/>
      <c r="AF122" s="205"/>
      <c r="AG122" s="205"/>
      <c r="AH122" s="205"/>
      <c r="AI122" s="205"/>
      <c r="AJ122" s="205"/>
      <c r="AK122" s="205"/>
      <c r="AL122" s="205"/>
      <c r="AM122" s="166" t="s">
        <v>553</v>
      </c>
      <c r="AN122"/>
      <c r="AO122"/>
    </row>
    <row r="123" spans="1:41" ht="24" customHeight="1">
      <c r="A123" s="207" t="s">
        <v>147</v>
      </c>
      <c r="B123" s="208" t="s">
        <v>238</v>
      </c>
      <c r="C123" s="205"/>
      <c r="D123" s="205"/>
      <c r="E123" s="205"/>
      <c r="F123" s="205"/>
      <c r="G123" s="205" t="s">
        <v>445</v>
      </c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  <c r="AB123" s="205"/>
      <c r="AC123" s="205"/>
      <c r="AD123" s="205"/>
      <c r="AE123" s="205"/>
      <c r="AF123" s="205"/>
      <c r="AG123" s="205"/>
      <c r="AH123" s="205"/>
      <c r="AI123" s="205"/>
      <c r="AJ123" s="205"/>
      <c r="AK123" s="205"/>
      <c r="AL123" s="205"/>
      <c r="AM123" s="206"/>
      <c r="AN123"/>
      <c r="AO123"/>
    </row>
    <row r="124" spans="1:41" ht="24" customHeight="1">
      <c r="A124" s="203" t="s">
        <v>147</v>
      </c>
      <c r="B124" s="204" t="s">
        <v>237</v>
      </c>
      <c r="C124" s="205"/>
      <c r="D124" s="205"/>
      <c r="E124" s="205"/>
      <c r="F124" s="205"/>
      <c r="G124" s="205"/>
      <c r="H124" s="205"/>
      <c r="I124" s="205"/>
      <c r="J124" s="205"/>
      <c r="K124" s="205"/>
      <c r="L124" s="205" t="s">
        <v>437</v>
      </c>
      <c r="M124" s="205" t="s">
        <v>439</v>
      </c>
      <c r="N124" s="205" t="s">
        <v>440</v>
      </c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5"/>
      <c r="AL124" s="205"/>
      <c r="AM124" s="166" t="s">
        <v>553</v>
      </c>
      <c r="AN124"/>
      <c r="AO124"/>
    </row>
    <row r="125" spans="1:41" ht="24" customHeight="1">
      <c r="A125" s="203" t="s">
        <v>147</v>
      </c>
      <c r="B125" s="204" t="s">
        <v>237</v>
      </c>
      <c r="C125" s="205"/>
      <c r="D125" s="205"/>
      <c r="E125" s="205"/>
      <c r="F125" s="205"/>
      <c r="G125" s="205"/>
      <c r="H125" s="205"/>
      <c r="I125" s="205"/>
      <c r="J125" s="205"/>
      <c r="K125" s="205"/>
      <c r="L125" s="205" t="s">
        <v>445</v>
      </c>
      <c r="M125" s="205"/>
      <c r="N125" s="205" t="s">
        <v>184</v>
      </c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  <c r="AB125" s="205"/>
      <c r="AC125" s="205"/>
      <c r="AD125" s="205"/>
      <c r="AE125" s="205"/>
      <c r="AF125" s="205"/>
      <c r="AG125" s="205"/>
      <c r="AH125" s="205"/>
      <c r="AI125" s="205"/>
      <c r="AJ125" s="205"/>
      <c r="AK125" s="205"/>
      <c r="AL125" s="205"/>
      <c r="AM125" s="206"/>
      <c r="AN125"/>
      <c r="AO125"/>
    </row>
    <row r="126" spans="1:41" ht="24" customHeight="1" thickBot="1">
      <c r="A126" s="207" t="s">
        <v>147</v>
      </c>
      <c r="B126" s="208" t="s">
        <v>236</v>
      </c>
      <c r="C126" s="205"/>
      <c r="D126" s="205"/>
      <c r="E126" s="205"/>
      <c r="F126" s="205"/>
      <c r="G126" s="205"/>
      <c r="H126" s="205"/>
      <c r="I126" s="205"/>
      <c r="J126" s="205"/>
      <c r="K126" s="205" t="s">
        <v>437</v>
      </c>
      <c r="L126" s="205" t="s">
        <v>445</v>
      </c>
      <c r="M126" s="205"/>
      <c r="N126" s="205" t="s">
        <v>439</v>
      </c>
      <c r="O126" s="205" t="s">
        <v>440</v>
      </c>
      <c r="P126" s="205" t="s">
        <v>184</v>
      </c>
      <c r="Q126" s="205"/>
      <c r="R126" s="205"/>
      <c r="S126" s="205"/>
      <c r="T126" s="205"/>
      <c r="U126" s="205"/>
      <c r="V126" s="205"/>
      <c r="W126" s="205"/>
      <c r="X126" s="205"/>
      <c r="Y126" s="205"/>
      <c r="Z126" s="205"/>
      <c r="AA126" s="205"/>
      <c r="AB126" s="205"/>
      <c r="AC126" s="205"/>
      <c r="AD126" s="205"/>
      <c r="AE126" s="205"/>
      <c r="AF126" s="205"/>
      <c r="AG126" s="205"/>
      <c r="AH126" s="205"/>
      <c r="AI126" s="205"/>
      <c r="AJ126" s="205"/>
      <c r="AK126" s="205"/>
      <c r="AL126" s="205"/>
      <c r="AM126" s="166" t="s">
        <v>553</v>
      </c>
      <c r="AN126"/>
      <c r="AO126"/>
    </row>
    <row r="127" spans="1:41" ht="7.95" customHeight="1" thickBot="1">
      <c r="A127" s="154"/>
      <c r="B127" s="154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/>
      <c r="AO127"/>
    </row>
    <row r="128" spans="1:41" ht="24" customHeight="1">
      <c r="A128" s="209" t="s">
        <v>148</v>
      </c>
      <c r="B128" s="210" t="s">
        <v>157</v>
      </c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  <c r="AI128" s="211"/>
      <c r="AJ128" s="211"/>
      <c r="AK128" s="211"/>
      <c r="AL128" s="211"/>
      <c r="AM128" s="162" t="s">
        <v>679</v>
      </c>
      <c r="AN128"/>
      <c r="AO128"/>
    </row>
    <row r="129" spans="1:41" ht="24" customHeight="1" thickBot="1">
      <c r="A129" s="212" t="s">
        <v>148</v>
      </c>
      <c r="B129" s="213" t="s">
        <v>157</v>
      </c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166" t="s">
        <v>680</v>
      </c>
      <c r="AN129"/>
      <c r="AO129"/>
    </row>
    <row r="130" spans="1:41" ht="7.95" customHeight="1" thickBot="1">
      <c r="A130" s="154"/>
      <c r="B130" s="154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/>
      <c r="AO130"/>
    </row>
    <row r="131" spans="1:41" ht="24" customHeight="1" thickBot="1">
      <c r="A131" s="215" t="s">
        <v>149</v>
      </c>
      <c r="B131" s="216" t="s">
        <v>322</v>
      </c>
      <c r="C131" s="217"/>
      <c r="D131" s="217"/>
      <c r="E131" s="217"/>
      <c r="F131" s="217"/>
      <c r="G131" s="217"/>
      <c r="H131" s="217"/>
      <c r="I131" s="217"/>
      <c r="J131" s="217"/>
      <c r="K131" s="217"/>
      <c r="L131" s="217"/>
      <c r="M131" s="217"/>
      <c r="N131" s="217"/>
      <c r="O131" s="217"/>
      <c r="P131" s="217"/>
      <c r="Q131" s="217"/>
      <c r="R131" s="217" t="s">
        <v>488</v>
      </c>
      <c r="S131" s="217"/>
      <c r="T131" s="217"/>
      <c r="U131" s="217"/>
      <c r="V131" s="217"/>
      <c r="W131" s="217"/>
      <c r="X131" s="217"/>
      <c r="Y131" s="217"/>
      <c r="Z131" s="217"/>
      <c r="AA131" s="217"/>
      <c r="AB131" s="217"/>
      <c r="AC131" s="217"/>
      <c r="AD131" s="217"/>
      <c r="AE131" s="217"/>
      <c r="AF131" s="217"/>
      <c r="AG131" s="217"/>
      <c r="AH131" s="217"/>
      <c r="AI131" s="217"/>
      <c r="AJ131" s="217"/>
      <c r="AK131" s="217"/>
      <c r="AL131" s="217"/>
      <c r="AM131" s="218"/>
      <c r="AN131"/>
      <c r="AO131"/>
    </row>
    <row r="132" spans="1:41" ht="7.95" customHeight="1" thickBot="1">
      <c r="A132" s="154"/>
      <c r="B132" s="154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  <c r="AN132"/>
      <c r="AO132"/>
    </row>
    <row r="133" spans="1:41" ht="24" customHeight="1">
      <c r="A133" s="219" t="s">
        <v>150</v>
      </c>
      <c r="B133" s="220" t="s">
        <v>310</v>
      </c>
      <c r="C133" s="221"/>
      <c r="D133" s="221"/>
      <c r="E133" s="221"/>
      <c r="F133" s="221"/>
      <c r="G133" s="221"/>
      <c r="H133" s="221"/>
      <c r="I133" s="221"/>
      <c r="J133" s="221"/>
      <c r="K133" s="221"/>
      <c r="L133" s="221"/>
      <c r="M133" s="221"/>
      <c r="N133" s="221" t="s">
        <v>320</v>
      </c>
      <c r="O133" s="221"/>
      <c r="P133" s="221"/>
      <c r="Q133" s="221"/>
      <c r="R133" s="221"/>
      <c r="S133" s="221"/>
      <c r="T133" s="221"/>
      <c r="U133" s="221"/>
      <c r="V133" s="221"/>
      <c r="W133" s="221"/>
      <c r="X133" s="221"/>
      <c r="Y133" s="221"/>
      <c r="Z133" s="221"/>
      <c r="AA133" s="221"/>
      <c r="AB133" s="221"/>
      <c r="AC133" s="221"/>
      <c r="AD133" s="221"/>
      <c r="AE133" s="221"/>
      <c r="AF133" s="221"/>
      <c r="AG133" s="221"/>
      <c r="AH133" s="221"/>
      <c r="AI133" s="221"/>
      <c r="AJ133" s="221"/>
      <c r="AK133" s="221"/>
      <c r="AL133" s="221"/>
      <c r="AM133" s="222"/>
      <c r="AN133"/>
      <c r="AO133"/>
    </row>
    <row r="134" spans="1:41" ht="24" customHeight="1">
      <c r="A134" s="223" t="s">
        <v>150</v>
      </c>
      <c r="B134" s="224" t="s">
        <v>314</v>
      </c>
      <c r="C134" s="225"/>
      <c r="D134" s="225"/>
      <c r="E134" s="225"/>
      <c r="F134" s="225"/>
      <c r="G134" s="225"/>
      <c r="H134" s="225"/>
      <c r="I134" s="225"/>
      <c r="J134" s="225" t="s">
        <v>320</v>
      </c>
      <c r="K134" s="225"/>
      <c r="L134" s="225"/>
      <c r="M134" s="225"/>
      <c r="N134" s="225"/>
      <c r="O134" s="225"/>
      <c r="P134" s="225"/>
      <c r="Q134" s="225"/>
      <c r="R134" s="225"/>
      <c r="S134" s="225"/>
      <c r="T134" s="225"/>
      <c r="U134" s="225"/>
      <c r="V134" s="225"/>
      <c r="W134" s="225"/>
      <c r="X134" s="225"/>
      <c r="Y134" s="225"/>
      <c r="Z134" s="225"/>
      <c r="AA134" s="225"/>
      <c r="AB134" s="225"/>
      <c r="AC134" s="225"/>
      <c r="AD134" s="225"/>
      <c r="AE134" s="225"/>
      <c r="AF134" s="225"/>
      <c r="AG134" s="225"/>
      <c r="AH134" s="225"/>
      <c r="AI134" s="225"/>
      <c r="AJ134" s="225"/>
      <c r="AK134" s="225"/>
      <c r="AL134" s="225"/>
      <c r="AM134" s="226"/>
      <c r="AN134"/>
      <c r="AO134"/>
    </row>
    <row r="135" spans="1:41" ht="24" customHeight="1">
      <c r="A135" s="227" t="s">
        <v>150</v>
      </c>
      <c r="B135" s="228" t="s">
        <v>308</v>
      </c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 t="s">
        <v>320</v>
      </c>
      <c r="N135" s="225"/>
      <c r="O135" s="225"/>
      <c r="P135" s="225"/>
      <c r="Q135" s="225"/>
      <c r="R135" s="225"/>
      <c r="S135" s="225"/>
      <c r="T135" s="225"/>
      <c r="U135" s="225"/>
      <c r="V135" s="225"/>
      <c r="W135" s="225"/>
      <c r="X135" s="225"/>
      <c r="Y135" s="225"/>
      <c r="Z135" s="225"/>
      <c r="AA135" s="225"/>
      <c r="AB135" s="225"/>
      <c r="AC135" s="225"/>
      <c r="AD135" s="225"/>
      <c r="AE135" s="225"/>
      <c r="AF135" s="225"/>
      <c r="AG135" s="225"/>
      <c r="AH135" s="225"/>
      <c r="AI135" s="225"/>
      <c r="AJ135" s="225"/>
      <c r="AK135" s="225"/>
      <c r="AL135" s="225"/>
      <c r="AM135" s="226"/>
      <c r="AN135"/>
      <c r="AO135"/>
    </row>
    <row r="136" spans="1:41" ht="24" customHeight="1">
      <c r="A136" s="223" t="s">
        <v>150</v>
      </c>
      <c r="B136" s="224" t="s">
        <v>317</v>
      </c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25"/>
      <c r="S136" s="225"/>
      <c r="T136" s="225"/>
      <c r="U136" s="225"/>
      <c r="V136" s="225"/>
      <c r="W136" s="225"/>
      <c r="X136" s="225"/>
      <c r="Y136" s="225"/>
      <c r="Z136" s="225"/>
      <c r="AA136" s="225"/>
      <c r="AB136" s="225"/>
      <c r="AC136" s="225"/>
      <c r="AD136" s="225"/>
      <c r="AE136" s="225"/>
      <c r="AF136" s="225"/>
      <c r="AG136" s="225"/>
      <c r="AH136" s="225"/>
      <c r="AI136" s="225"/>
      <c r="AJ136" s="225"/>
      <c r="AK136" s="225"/>
      <c r="AL136" s="225"/>
      <c r="AM136" s="166" t="s">
        <v>669</v>
      </c>
      <c r="AN136"/>
      <c r="AO136"/>
    </row>
    <row r="137" spans="1:41" ht="24" customHeight="1">
      <c r="A137" s="227" t="s">
        <v>150</v>
      </c>
      <c r="B137" s="228" t="s">
        <v>319</v>
      </c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25"/>
      <c r="S137" s="225"/>
      <c r="T137" s="225"/>
      <c r="U137" s="225"/>
      <c r="V137" s="225"/>
      <c r="W137" s="225"/>
      <c r="X137" s="225"/>
      <c r="Y137" s="225"/>
      <c r="Z137" s="225"/>
      <c r="AA137" s="225"/>
      <c r="AB137" s="225"/>
      <c r="AC137" s="225"/>
      <c r="AD137" s="225"/>
      <c r="AE137" s="225"/>
      <c r="AF137" s="225"/>
      <c r="AG137" s="225"/>
      <c r="AH137" s="225"/>
      <c r="AI137" s="225"/>
      <c r="AJ137" s="225"/>
      <c r="AK137" s="225"/>
      <c r="AL137" s="225"/>
      <c r="AM137" s="166" t="s">
        <v>669</v>
      </c>
      <c r="AN137"/>
      <c r="AO137"/>
    </row>
    <row r="138" spans="1:41" ht="24" customHeight="1">
      <c r="A138" s="223" t="s">
        <v>150</v>
      </c>
      <c r="B138" s="224" t="s">
        <v>318</v>
      </c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25"/>
      <c r="S138" s="225"/>
      <c r="T138" s="225"/>
      <c r="U138" s="225"/>
      <c r="V138" s="225"/>
      <c r="W138" s="225"/>
      <c r="X138" s="225"/>
      <c r="Y138" s="225"/>
      <c r="Z138" s="225"/>
      <c r="AA138" s="225"/>
      <c r="AB138" s="225"/>
      <c r="AC138" s="225"/>
      <c r="AD138" s="225"/>
      <c r="AE138" s="225"/>
      <c r="AF138" s="225"/>
      <c r="AG138" s="225"/>
      <c r="AH138" s="225"/>
      <c r="AI138" s="225"/>
      <c r="AJ138" s="225"/>
      <c r="AK138" s="225"/>
      <c r="AL138" s="225"/>
      <c r="AM138" s="166" t="s">
        <v>669</v>
      </c>
      <c r="AN138"/>
      <c r="AO138"/>
    </row>
    <row r="139" spans="1:41" ht="24" customHeight="1">
      <c r="A139" s="227" t="s">
        <v>150</v>
      </c>
      <c r="B139" s="228" t="s">
        <v>316</v>
      </c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 t="s">
        <v>320</v>
      </c>
      <c r="N139" s="225"/>
      <c r="O139" s="225"/>
      <c r="P139" s="225"/>
      <c r="Q139" s="225"/>
      <c r="R139" s="225"/>
      <c r="S139" s="225"/>
      <c r="T139" s="225"/>
      <c r="U139" s="225"/>
      <c r="V139" s="225"/>
      <c r="W139" s="225"/>
      <c r="X139" s="225"/>
      <c r="Y139" s="225"/>
      <c r="Z139" s="225"/>
      <c r="AA139" s="225"/>
      <c r="AB139" s="225"/>
      <c r="AC139" s="225"/>
      <c r="AD139" s="225"/>
      <c r="AE139" s="225"/>
      <c r="AF139" s="225"/>
      <c r="AG139" s="225"/>
      <c r="AH139" s="225"/>
      <c r="AI139" s="225"/>
      <c r="AJ139" s="225"/>
      <c r="AK139" s="225"/>
      <c r="AL139" s="225"/>
      <c r="AM139" s="226"/>
      <c r="AN139"/>
      <c r="AO139"/>
    </row>
    <row r="140" spans="1:41" ht="24" customHeight="1">
      <c r="A140" s="223" t="s">
        <v>150</v>
      </c>
      <c r="B140" s="224" t="s">
        <v>313</v>
      </c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 t="s">
        <v>320</v>
      </c>
      <c r="N140" s="225"/>
      <c r="O140" s="225"/>
      <c r="P140" s="225"/>
      <c r="Q140" s="225"/>
      <c r="R140" s="225"/>
      <c r="S140" s="225"/>
      <c r="T140" s="225"/>
      <c r="U140" s="225"/>
      <c r="V140" s="225"/>
      <c r="W140" s="225"/>
      <c r="X140" s="225"/>
      <c r="Y140" s="225"/>
      <c r="Z140" s="225"/>
      <c r="AA140" s="225"/>
      <c r="AB140" s="225"/>
      <c r="AC140" s="225"/>
      <c r="AD140" s="225"/>
      <c r="AE140" s="225"/>
      <c r="AF140" s="225"/>
      <c r="AG140" s="225"/>
      <c r="AH140" s="225"/>
      <c r="AI140" s="225"/>
      <c r="AJ140" s="225"/>
      <c r="AK140" s="225"/>
      <c r="AL140" s="225"/>
      <c r="AM140" s="226"/>
      <c r="AN140"/>
      <c r="AO140"/>
    </row>
    <row r="141" spans="1:41" ht="24" customHeight="1">
      <c r="A141" s="227" t="s">
        <v>150</v>
      </c>
      <c r="B141" s="228" t="s">
        <v>307</v>
      </c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 t="s">
        <v>320</v>
      </c>
      <c r="O141" s="225"/>
      <c r="P141" s="225"/>
      <c r="Q141" s="225"/>
      <c r="R141" s="225"/>
      <c r="S141" s="225"/>
      <c r="T141" s="225"/>
      <c r="U141" s="225"/>
      <c r="V141" s="225"/>
      <c r="W141" s="225"/>
      <c r="X141" s="225"/>
      <c r="Y141" s="225"/>
      <c r="Z141" s="225"/>
      <c r="AA141" s="225"/>
      <c r="AB141" s="225"/>
      <c r="AC141" s="225"/>
      <c r="AD141" s="225"/>
      <c r="AE141" s="225"/>
      <c r="AF141" s="225"/>
      <c r="AG141" s="225"/>
      <c r="AH141" s="225"/>
      <c r="AI141" s="225"/>
      <c r="AJ141" s="225"/>
      <c r="AK141" s="225"/>
      <c r="AL141" s="225"/>
      <c r="AM141" s="226"/>
      <c r="AN141"/>
      <c r="AO141"/>
    </row>
    <row r="142" spans="1:41" ht="24" customHeight="1">
      <c r="A142" s="223" t="s">
        <v>150</v>
      </c>
      <c r="B142" s="224" t="s">
        <v>309</v>
      </c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 t="s">
        <v>320</v>
      </c>
      <c r="O142" s="225"/>
      <c r="P142" s="225"/>
      <c r="Q142" s="225"/>
      <c r="R142" s="225"/>
      <c r="S142" s="225"/>
      <c r="T142" s="225"/>
      <c r="U142" s="225"/>
      <c r="V142" s="225"/>
      <c r="W142" s="225"/>
      <c r="X142" s="225"/>
      <c r="Y142" s="225"/>
      <c r="Z142" s="225"/>
      <c r="AA142" s="225"/>
      <c r="AB142" s="225"/>
      <c r="AC142" s="225"/>
      <c r="AD142" s="225"/>
      <c r="AE142" s="225"/>
      <c r="AF142" s="225"/>
      <c r="AG142" s="225"/>
      <c r="AH142" s="225"/>
      <c r="AI142" s="225"/>
      <c r="AJ142" s="225"/>
      <c r="AK142" s="225"/>
      <c r="AL142" s="225"/>
      <c r="AM142" s="226"/>
      <c r="AN142"/>
      <c r="AO142"/>
    </row>
    <row r="143" spans="1:41" ht="24" customHeight="1">
      <c r="A143" s="227" t="s">
        <v>150</v>
      </c>
      <c r="B143" s="228" t="s">
        <v>305</v>
      </c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 t="s">
        <v>320</v>
      </c>
      <c r="P143" s="225"/>
      <c r="Q143" s="225"/>
      <c r="R143" s="225"/>
      <c r="S143" s="225"/>
      <c r="T143" s="225"/>
      <c r="U143" s="225"/>
      <c r="V143" s="225"/>
      <c r="W143" s="225"/>
      <c r="X143" s="225"/>
      <c r="Y143" s="225"/>
      <c r="Z143" s="225"/>
      <c r="AA143" s="225"/>
      <c r="AB143" s="225"/>
      <c r="AC143" s="225"/>
      <c r="AD143" s="225"/>
      <c r="AE143" s="225"/>
      <c r="AF143" s="225"/>
      <c r="AG143" s="225"/>
      <c r="AH143" s="225"/>
      <c r="AI143" s="225"/>
      <c r="AJ143" s="225"/>
      <c r="AK143" s="225"/>
      <c r="AL143" s="225"/>
      <c r="AM143" s="226"/>
      <c r="AN143"/>
      <c r="AO143"/>
    </row>
    <row r="144" spans="1:41" ht="24" customHeight="1">
      <c r="A144" s="223" t="s">
        <v>150</v>
      </c>
      <c r="B144" s="224" t="s">
        <v>315</v>
      </c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 t="s">
        <v>320</v>
      </c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25"/>
      <c r="AD144" s="225"/>
      <c r="AE144" s="225"/>
      <c r="AF144" s="225"/>
      <c r="AG144" s="225"/>
      <c r="AH144" s="225"/>
      <c r="AI144" s="225"/>
      <c r="AJ144" s="225"/>
      <c r="AK144" s="225"/>
      <c r="AL144" s="225"/>
      <c r="AM144" s="226"/>
      <c r="AN144"/>
      <c r="AO144"/>
    </row>
    <row r="145" spans="1:41" ht="24" customHeight="1">
      <c r="A145" s="227" t="s">
        <v>150</v>
      </c>
      <c r="B145" s="228" t="s">
        <v>312</v>
      </c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 t="s">
        <v>320</v>
      </c>
      <c r="Q145" s="225"/>
      <c r="R145" s="225"/>
      <c r="S145" s="225"/>
      <c r="T145" s="225"/>
      <c r="U145" s="225"/>
      <c r="V145" s="225"/>
      <c r="W145" s="225"/>
      <c r="X145" s="225"/>
      <c r="Y145" s="225"/>
      <c r="Z145" s="225"/>
      <c r="AA145" s="225"/>
      <c r="AB145" s="225"/>
      <c r="AC145" s="225"/>
      <c r="AD145" s="225"/>
      <c r="AE145" s="225"/>
      <c r="AF145" s="225"/>
      <c r="AG145" s="225"/>
      <c r="AH145" s="225"/>
      <c r="AI145" s="225"/>
      <c r="AJ145" s="225"/>
      <c r="AK145" s="225"/>
      <c r="AL145" s="225"/>
      <c r="AM145" s="226"/>
      <c r="AN145"/>
      <c r="AO145"/>
    </row>
    <row r="146" spans="1:41" ht="24" customHeight="1">
      <c r="A146" s="223" t="s">
        <v>150</v>
      </c>
      <c r="B146" s="224" t="s">
        <v>306</v>
      </c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 t="s">
        <v>320</v>
      </c>
      <c r="P146" s="225"/>
      <c r="Q146" s="225"/>
      <c r="R146" s="225"/>
      <c r="S146" s="225"/>
      <c r="T146" s="225"/>
      <c r="U146" s="225"/>
      <c r="V146" s="225"/>
      <c r="W146" s="225"/>
      <c r="X146" s="225"/>
      <c r="Y146" s="225"/>
      <c r="Z146" s="225"/>
      <c r="AA146" s="225"/>
      <c r="AB146" s="225"/>
      <c r="AC146" s="225"/>
      <c r="AD146" s="225"/>
      <c r="AE146" s="225"/>
      <c r="AF146" s="225"/>
      <c r="AG146" s="225"/>
      <c r="AH146" s="225"/>
      <c r="AI146" s="225"/>
      <c r="AJ146" s="225"/>
      <c r="AK146" s="225"/>
      <c r="AL146" s="225"/>
      <c r="AM146" s="226"/>
      <c r="AN146"/>
      <c r="AO146"/>
    </row>
    <row r="147" spans="1:41" ht="24" customHeight="1" thickBot="1">
      <c r="A147" s="227" t="s">
        <v>150</v>
      </c>
      <c r="B147" s="228" t="s">
        <v>311</v>
      </c>
      <c r="C147" s="225"/>
      <c r="D147" s="225"/>
      <c r="E147" s="225"/>
      <c r="F147" s="225"/>
      <c r="G147" s="225"/>
      <c r="H147" s="225"/>
      <c r="I147" s="225"/>
      <c r="J147" s="225"/>
      <c r="K147" s="225" t="s">
        <v>320</v>
      </c>
      <c r="L147" s="225"/>
      <c r="M147" s="225"/>
      <c r="N147" s="225"/>
      <c r="O147" s="225"/>
      <c r="P147" s="225"/>
      <c r="Q147" s="225"/>
      <c r="R147" s="225"/>
      <c r="S147" s="225"/>
      <c r="T147" s="225"/>
      <c r="U147" s="225"/>
      <c r="V147" s="225"/>
      <c r="W147" s="225"/>
      <c r="X147" s="225"/>
      <c r="Y147" s="225"/>
      <c r="Z147" s="225"/>
      <c r="AA147" s="225"/>
      <c r="AB147" s="225"/>
      <c r="AC147" s="225"/>
      <c r="AD147" s="225"/>
      <c r="AE147" s="225"/>
      <c r="AF147" s="225"/>
      <c r="AG147" s="225"/>
      <c r="AH147" s="225"/>
      <c r="AI147" s="225"/>
      <c r="AJ147" s="225"/>
      <c r="AK147" s="225"/>
      <c r="AL147" s="225"/>
      <c r="AM147" s="226"/>
      <c r="AN147"/>
      <c r="AO147"/>
    </row>
    <row r="148" spans="1:41" ht="7.95" customHeight="1" thickBot="1">
      <c r="A148" s="154"/>
      <c r="B148" s="154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/>
      <c r="AO148"/>
    </row>
    <row r="149" spans="1:41" ht="24" customHeight="1">
      <c r="A149" s="215" t="s">
        <v>646</v>
      </c>
      <c r="B149" s="216" t="s">
        <v>647</v>
      </c>
      <c r="C149" s="217"/>
      <c r="D149" s="217"/>
      <c r="E149" s="217"/>
      <c r="F149" s="217"/>
      <c r="G149" s="217"/>
      <c r="H149" s="217"/>
      <c r="I149" s="217"/>
      <c r="J149" s="217"/>
      <c r="K149" s="217"/>
      <c r="L149" s="217"/>
      <c r="M149" s="217"/>
      <c r="N149" s="217"/>
      <c r="O149" s="217"/>
      <c r="P149" s="217"/>
      <c r="Q149" s="217"/>
      <c r="R149" s="217"/>
      <c r="S149" s="217"/>
      <c r="T149" s="217"/>
      <c r="U149" s="217"/>
      <c r="V149" s="217"/>
      <c r="W149" s="217"/>
      <c r="X149" s="217"/>
      <c r="Y149" s="217"/>
      <c r="Z149" s="217"/>
      <c r="AA149" s="217"/>
      <c r="AB149" s="217"/>
      <c r="AC149" s="217"/>
      <c r="AD149" s="217"/>
      <c r="AE149" s="217"/>
      <c r="AF149" s="217"/>
      <c r="AG149" s="217"/>
      <c r="AH149" s="217"/>
      <c r="AI149" s="217"/>
      <c r="AJ149" s="217"/>
      <c r="AK149" s="217"/>
      <c r="AL149" s="217"/>
      <c r="AM149" s="162" t="s">
        <v>673</v>
      </c>
      <c r="AN149"/>
      <c r="AO149"/>
    </row>
    <row r="150" spans="1:41" ht="24" customHeight="1">
      <c r="A150" s="229" t="s">
        <v>646</v>
      </c>
      <c r="B150" s="230" t="s">
        <v>647</v>
      </c>
      <c r="C150" s="231"/>
      <c r="D150" s="231"/>
      <c r="E150" s="231"/>
      <c r="F150" s="231"/>
      <c r="G150" s="231"/>
      <c r="H150" s="231"/>
      <c r="I150" s="231"/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  <c r="U150" s="231"/>
      <c r="V150" s="231"/>
      <c r="W150" s="231"/>
      <c r="X150" s="231"/>
      <c r="Y150" s="231"/>
      <c r="Z150" s="231"/>
      <c r="AA150" s="231"/>
      <c r="AB150" s="231"/>
      <c r="AC150" s="231"/>
      <c r="AD150" s="231"/>
      <c r="AE150" s="231"/>
      <c r="AF150" s="231"/>
      <c r="AG150" s="231"/>
      <c r="AH150" s="231"/>
      <c r="AI150" s="231"/>
      <c r="AJ150" s="231"/>
      <c r="AK150" s="231"/>
      <c r="AL150" s="231"/>
      <c r="AM150" s="166" t="s">
        <v>670</v>
      </c>
      <c r="AN150"/>
      <c r="AO150"/>
    </row>
    <row r="151" spans="1:41" ht="24" customHeight="1">
      <c r="A151" s="229" t="s">
        <v>646</v>
      </c>
      <c r="B151" s="230" t="s">
        <v>647</v>
      </c>
      <c r="C151" s="231"/>
      <c r="D151" s="231"/>
      <c r="E151" s="231"/>
      <c r="F151" s="231"/>
      <c r="G151" s="231"/>
      <c r="H151" s="231"/>
      <c r="I151" s="231"/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  <c r="U151" s="231"/>
      <c r="V151" s="231"/>
      <c r="W151" s="231"/>
      <c r="X151" s="231"/>
      <c r="Y151" s="231"/>
      <c r="Z151" s="231"/>
      <c r="AA151" s="231"/>
      <c r="AB151" s="231"/>
      <c r="AC151" s="231"/>
      <c r="AD151" s="231"/>
      <c r="AE151" s="231"/>
      <c r="AF151" s="231"/>
      <c r="AG151" s="231"/>
      <c r="AH151" s="231"/>
      <c r="AI151" s="231"/>
      <c r="AJ151" s="231"/>
      <c r="AK151" s="231"/>
      <c r="AL151" s="231"/>
      <c r="AM151" s="166" t="s">
        <v>671</v>
      </c>
      <c r="AN151"/>
      <c r="AO151"/>
    </row>
    <row r="152" spans="1:41" ht="24" customHeight="1">
      <c r="A152" s="229" t="s">
        <v>646</v>
      </c>
      <c r="B152" s="230" t="s">
        <v>647</v>
      </c>
      <c r="C152" s="231"/>
      <c r="D152" s="231"/>
      <c r="E152" s="231"/>
      <c r="F152" s="231"/>
      <c r="G152" s="231"/>
      <c r="H152" s="231"/>
      <c r="I152" s="231"/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31"/>
      <c r="AD152" s="231"/>
      <c r="AE152" s="231"/>
      <c r="AF152" s="231"/>
      <c r="AG152" s="231"/>
      <c r="AH152" s="231"/>
      <c r="AI152" s="231"/>
      <c r="AJ152" s="231"/>
      <c r="AK152" s="231"/>
      <c r="AL152" s="231"/>
      <c r="AM152" s="166" t="s">
        <v>672</v>
      </c>
      <c r="AN152"/>
      <c r="AO152"/>
    </row>
    <row r="153" spans="1:41" ht="24" customHeight="1">
      <c r="A153" s="229" t="s">
        <v>646</v>
      </c>
      <c r="B153" s="230" t="s">
        <v>647</v>
      </c>
      <c r="C153" s="231"/>
      <c r="D153" s="231"/>
      <c r="E153" s="231"/>
      <c r="F153" s="231"/>
      <c r="G153" s="231"/>
      <c r="H153" s="231"/>
      <c r="I153" s="231"/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31"/>
      <c r="AD153" s="231"/>
      <c r="AE153" s="231"/>
      <c r="AF153" s="231"/>
      <c r="AG153" s="231"/>
      <c r="AH153" s="231"/>
      <c r="AI153" s="231"/>
      <c r="AJ153" s="231"/>
      <c r="AK153" s="231"/>
      <c r="AL153" s="231"/>
      <c r="AM153" s="166" t="s">
        <v>114</v>
      </c>
      <c r="AN153"/>
      <c r="AO153"/>
    </row>
    <row r="154" spans="1:41" ht="24" customHeight="1">
      <c r="A154" s="229" t="s">
        <v>646</v>
      </c>
      <c r="B154" s="230" t="s">
        <v>647</v>
      </c>
      <c r="C154" s="231"/>
      <c r="D154" s="231"/>
      <c r="E154" s="231"/>
      <c r="F154" s="231"/>
      <c r="G154" s="231"/>
      <c r="H154" s="231"/>
      <c r="I154" s="231"/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31"/>
      <c r="AD154" s="231"/>
      <c r="AE154" s="231"/>
      <c r="AF154" s="231"/>
      <c r="AG154" s="231"/>
      <c r="AH154" s="231"/>
      <c r="AI154" s="231"/>
      <c r="AJ154" s="231"/>
      <c r="AK154" s="231"/>
      <c r="AL154" s="231"/>
      <c r="AM154" s="166" t="s">
        <v>674</v>
      </c>
      <c r="AN154"/>
      <c r="AO154"/>
    </row>
    <row r="155" spans="1:41" ht="24" customHeight="1">
      <c r="A155" s="229" t="s">
        <v>646</v>
      </c>
      <c r="B155" s="230" t="s">
        <v>647</v>
      </c>
      <c r="C155" s="231"/>
      <c r="D155" s="231"/>
      <c r="E155" s="231"/>
      <c r="F155" s="231"/>
      <c r="G155" s="231"/>
      <c r="H155" s="231"/>
      <c r="I155" s="231"/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  <c r="U155" s="231"/>
      <c r="V155" s="231"/>
      <c r="W155" s="231"/>
      <c r="X155" s="231"/>
      <c r="Y155" s="231"/>
      <c r="Z155" s="231"/>
      <c r="AA155" s="231"/>
      <c r="AB155" s="231"/>
      <c r="AC155" s="231"/>
      <c r="AD155" s="231"/>
      <c r="AE155" s="231"/>
      <c r="AF155" s="231"/>
      <c r="AG155" s="231"/>
      <c r="AH155" s="231"/>
      <c r="AI155" s="231"/>
      <c r="AJ155" s="231"/>
      <c r="AK155" s="231"/>
      <c r="AL155" s="231"/>
      <c r="AM155" s="166" t="s">
        <v>675</v>
      </c>
      <c r="AN155"/>
      <c r="AO155"/>
    </row>
    <row r="156" spans="1:41" ht="24" customHeight="1">
      <c r="A156" s="229" t="s">
        <v>646</v>
      </c>
      <c r="B156" s="230" t="s">
        <v>647</v>
      </c>
      <c r="C156" s="231"/>
      <c r="D156" s="231"/>
      <c r="E156" s="231"/>
      <c r="F156" s="231"/>
      <c r="G156" s="231"/>
      <c r="H156" s="231"/>
      <c r="I156" s="231"/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  <c r="U156" s="231"/>
      <c r="V156" s="231"/>
      <c r="W156" s="231"/>
      <c r="X156" s="231"/>
      <c r="Y156" s="231"/>
      <c r="Z156" s="231"/>
      <c r="AA156" s="231"/>
      <c r="AB156" s="231"/>
      <c r="AC156" s="231"/>
      <c r="AD156" s="231"/>
      <c r="AE156" s="231"/>
      <c r="AF156" s="231"/>
      <c r="AG156" s="231"/>
      <c r="AH156" s="231"/>
      <c r="AI156" s="231"/>
      <c r="AJ156" s="231"/>
      <c r="AK156" s="231"/>
      <c r="AL156" s="231"/>
      <c r="AM156" s="166" t="s">
        <v>281</v>
      </c>
      <c r="AN156"/>
      <c r="AO156"/>
    </row>
    <row r="157" spans="1:41" ht="24" customHeight="1">
      <c r="A157" s="229" t="s">
        <v>646</v>
      </c>
      <c r="B157" s="230" t="s">
        <v>647</v>
      </c>
      <c r="C157" s="231"/>
      <c r="D157" s="231"/>
      <c r="E157" s="231"/>
      <c r="F157" s="231"/>
      <c r="G157" s="231"/>
      <c r="H157" s="231"/>
      <c r="I157" s="231"/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  <c r="U157" s="231"/>
      <c r="V157" s="231"/>
      <c r="W157" s="231"/>
      <c r="X157" s="231"/>
      <c r="Y157" s="231"/>
      <c r="Z157" s="231"/>
      <c r="AA157" s="231"/>
      <c r="AB157" s="231"/>
      <c r="AC157" s="231"/>
      <c r="AD157" s="231"/>
      <c r="AE157" s="231"/>
      <c r="AF157" s="231"/>
      <c r="AG157" s="231"/>
      <c r="AH157" s="231"/>
      <c r="AI157" s="231"/>
      <c r="AJ157" s="231"/>
      <c r="AK157" s="231"/>
      <c r="AL157" s="231"/>
      <c r="AM157" s="166" t="s">
        <v>119</v>
      </c>
      <c r="AN157"/>
      <c r="AO157"/>
    </row>
    <row r="158" spans="1:41" ht="24" customHeight="1">
      <c r="A158" s="229" t="s">
        <v>646</v>
      </c>
      <c r="B158" s="230" t="s">
        <v>647</v>
      </c>
      <c r="C158" s="231"/>
      <c r="D158" s="231"/>
      <c r="E158" s="231"/>
      <c r="F158" s="231"/>
      <c r="G158" s="231"/>
      <c r="H158" s="231"/>
      <c r="I158" s="231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  <c r="Z158" s="231"/>
      <c r="AA158" s="231"/>
      <c r="AB158" s="231"/>
      <c r="AC158" s="231"/>
      <c r="AD158" s="231"/>
      <c r="AE158" s="231"/>
      <c r="AF158" s="231"/>
      <c r="AG158" s="231"/>
      <c r="AH158" s="231"/>
      <c r="AI158" s="231"/>
      <c r="AJ158" s="231"/>
      <c r="AK158" s="231"/>
      <c r="AL158" s="231"/>
      <c r="AM158" s="166" t="s">
        <v>676</v>
      </c>
      <c r="AN158"/>
      <c r="AO158"/>
    </row>
    <row r="159" spans="1:41" ht="24" customHeight="1">
      <c r="A159" s="229" t="s">
        <v>646</v>
      </c>
      <c r="B159" s="230" t="s">
        <v>647</v>
      </c>
      <c r="C159" s="231"/>
      <c r="D159" s="231"/>
      <c r="E159" s="231"/>
      <c r="F159" s="231"/>
      <c r="G159" s="231"/>
      <c r="H159" s="231"/>
      <c r="I159" s="231"/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  <c r="U159" s="231"/>
      <c r="V159" s="231"/>
      <c r="W159" s="231"/>
      <c r="X159" s="231"/>
      <c r="Y159" s="231"/>
      <c r="Z159" s="231"/>
      <c r="AA159" s="231"/>
      <c r="AB159" s="231"/>
      <c r="AC159" s="231"/>
      <c r="AD159" s="231"/>
      <c r="AE159" s="231"/>
      <c r="AF159" s="231"/>
      <c r="AG159" s="231"/>
      <c r="AH159" s="231"/>
      <c r="AI159" s="231"/>
      <c r="AJ159" s="231"/>
      <c r="AK159" s="231"/>
      <c r="AL159" s="231"/>
      <c r="AM159" s="166" t="s">
        <v>677</v>
      </c>
      <c r="AN159"/>
      <c r="AO159"/>
    </row>
    <row r="160" spans="1:41" ht="24" customHeight="1">
      <c r="A160" s="229" t="s">
        <v>646</v>
      </c>
      <c r="B160" s="230" t="s">
        <v>647</v>
      </c>
      <c r="C160" s="231"/>
      <c r="D160" s="231"/>
      <c r="E160" s="231"/>
      <c r="F160" s="231"/>
      <c r="G160" s="231"/>
      <c r="H160" s="231"/>
      <c r="I160" s="231"/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  <c r="U160" s="231"/>
      <c r="V160" s="231"/>
      <c r="W160" s="231"/>
      <c r="X160" s="231"/>
      <c r="Y160" s="231"/>
      <c r="Z160" s="231"/>
      <c r="AA160" s="231"/>
      <c r="AB160" s="231"/>
      <c r="AC160" s="231"/>
      <c r="AD160" s="231"/>
      <c r="AE160" s="231"/>
      <c r="AF160" s="231"/>
      <c r="AG160" s="231"/>
      <c r="AH160" s="231"/>
      <c r="AI160" s="231"/>
      <c r="AJ160" s="231"/>
      <c r="AK160" s="231"/>
      <c r="AL160" s="231"/>
      <c r="AM160" s="166" t="s">
        <v>375</v>
      </c>
      <c r="AN160"/>
      <c r="AO160"/>
    </row>
    <row r="161" spans="1:41" ht="28.2" customHeight="1" thickBot="1">
      <c r="A161" s="155" t="s">
        <v>646</v>
      </c>
      <c r="B161" s="157" t="s">
        <v>647</v>
      </c>
      <c r="C161" s="158"/>
      <c r="D161" s="158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06" t="s">
        <v>678</v>
      </c>
      <c r="AN161"/>
      <c r="AO161"/>
    </row>
  </sheetData>
  <phoneticPr fontId="1" type="noConversion"/>
  <conditionalFormatting sqref="A162:T209">
    <cfRule type="expression" dxfId="536" priority="1">
      <formula>IF($A162="#09 Steelwork",TRUE,flase)</formula>
    </cfRule>
    <cfRule type="expression" dxfId="535" priority="2">
      <formula>IF($A162="#10 Conveyor",TRUE,flase)</formula>
    </cfRule>
    <cfRule type="expression" dxfId="534" priority="3">
      <formula>IF($A162="#06 Work Zone",TRUE,flase)</formula>
    </cfRule>
    <cfRule type="expression" dxfId="533" priority="4">
      <formula>IF($A162="#13 Air Handling",TRUE,flase)</formula>
    </cfRule>
    <cfRule type="expression" dxfId="532" priority="5">
      <formula>IF($A162="#01 Spraybooth",TRUE,flase)</formula>
    </cfRule>
    <cfRule type="expression" dxfId="531" priority="6">
      <formula>IF($A162="#04 Ovens",TRUE,flase)</formula>
    </cfRule>
    <cfRule type="expression" dxfId="530" priority="7">
      <formula>IF($A162="#02 PT/ED",TRUE,flase)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6B9D3-E353-42DA-8557-FF0B0016EA33}">
  <sheetPr codeName="Sheet3"/>
  <dimension ref="A1:AM346"/>
  <sheetViews>
    <sheetView zoomScale="70" zoomScaleNormal="70" workbookViewId="0">
      <selection activeCell="O225" sqref="O225"/>
    </sheetView>
  </sheetViews>
  <sheetFormatPr defaultColWidth="8.88671875" defaultRowHeight="11.4" customHeight="1" outlineLevelRow="1" outlineLevelCol="1"/>
  <cols>
    <col min="1" max="1" width="14" style="57" customWidth="1"/>
    <col min="2" max="2" width="9.88671875" style="57" customWidth="1"/>
    <col min="3" max="3" width="10.109375" style="2" customWidth="1"/>
    <col min="4" max="4" width="13.44140625" style="75" bestFit="1" customWidth="1"/>
    <col min="5" max="5" width="10.5546875" style="1" customWidth="1"/>
    <col min="6" max="6" width="38.88671875" style="75" customWidth="1"/>
    <col min="7" max="7" width="50.77734375" style="75" bestFit="1" customWidth="1"/>
    <col min="8" max="8" width="28.88671875" style="1" customWidth="1"/>
    <col min="9" max="9" width="17.88671875" style="1" customWidth="1"/>
    <col min="10" max="10" width="28.88671875" style="1" bestFit="1" customWidth="1"/>
    <col min="11" max="11" width="12.88671875" style="1" customWidth="1"/>
    <col min="12" max="13" width="14.109375" style="1" customWidth="1"/>
    <col min="14" max="14" width="12.88671875" style="56" customWidth="1"/>
    <col min="15" max="15" width="16.44140625" style="1" customWidth="1" outlineLevel="1"/>
    <col min="16" max="16" width="15.44140625" style="1" customWidth="1" outlineLevel="1"/>
    <col min="17" max="17" width="18.44140625" style="2" customWidth="1"/>
    <col min="18" max="20" width="15.88671875" style="2" customWidth="1"/>
    <col min="21" max="22" width="11.44140625" style="1" customWidth="1"/>
    <col min="23" max="23" width="14.88671875" style="6" customWidth="1"/>
    <col min="24" max="24" width="13.44140625" style="2" hidden="1" customWidth="1" outlineLevel="1"/>
    <col min="25" max="25" width="14.44140625" style="3" hidden="1" customWidth="1" outlineLevel="1"/>
    <col min="26" max="26" width="16.44140625" style="3" hidden="1" customWidth="1" outlineLevel="1"/>
    <col min="27" max="27" width="15.88671875" style="1" hidden="1" customWidth="1" outlineLevel="1"/>
    <col min="28" max="28" width="11.44140625" style="1" hidden="1" customWidth="1" outlineLevel="1"/>
    <col min="29" max="29" width="14.44140625" style="6" hidden="1" customWidth="1" outlineLevel="1"/>
    <col min="30" max="30" width="3.88671875" style="57" bestFit="1" customWidth="1" collapsed="1"/>
    <col min="31" max="31" width="15" style="77" customWidth="1"/>
    <col min="32" max="32" width="12" style="77" customWidth="1"/>
    <col min="33" max="34" width="10.88671875" style="77" customWidth="1"/>
    <col min="35" max="37" width="12.109375" style="77" customWidth="1"/>
    <col min="38" max="38" width="6.88671875" style="57" customWidth="1"/>
    <col min="39" max="39" width="11.44140625" style="57" customWidth="1"/>
    <col min="40" max="48" width="3.88671875" style="57" bestFit="1" customWidth="1"/>
    <col min="49" max="49" width="13.44140625" style="57" bestFit="1" customWidth="1"/>
    <col min="50" max="50" width="12.44140625" style="57" bestFit="1" customWidth="1"/>
    <col min="51" max="16384" width="8.88671875" style="57"/>
  </cols>
  <sheetData>
    <row r="1" spans="1:39" ht="34.049999999999997" customHeight="1">
      <c r="A1" s="11" t="s">
        <v>4</v>
      </c>
      <c r="B1" s="11"/>
      <c r="C1" s="4"/>
      <c r="D1" s="5"/>
      <c r="F1" s="5"/>
      <c r="G1" s="5"/>
      <c r="I1" s="81" t="s">
        <v>5</v>
      </c>
      <c r="J1" s="82">
        <v>46433</v>
      </c>
      <c r="K1" s="81" t="s">
        <v>6</v>
      </c>
      <c r="L1" s="82">
        <v>46583</v>
      </c>
      <c r="AG1" s="81"/>
      <c r="AH1" s="81"/>
      <c r="AI1" s="81"/>
      <c r="AJ1" s="81"/>
      <c r="AK1" s="81"/>
    </row>
    <row r="2" spans="1:39" ht="46.65" customHeight="1">
      <c r="A2" s="12" t="s">
        <v>7</v>
      </c>
      <c r="B2" s="12" t="s">
        <v>8</v>
      </c>
      <c r="C2" s="13" t="s">
        <v>9</v>
      </c>
      <c r="D2" s="14" t="s">
        <v>10</v>
      </c>
      <c r="E2" s="14" t="s">
        <v>173</v>
      </c>
      <c r="F2" s="14" t="s">
        <v>324</v>
      </c>
      <c r="G2" s="14" t="s">
        <v>325</v>
      </c>
      <c r="H2" s="14" t="s">
        <v>11</v>
      </c>
      <c r="I2" s="14" t="s">
        <v>12</v>
      </c>
      <c r="J2" s="14" t="s">
        <v>13</v>
      </c>
      <c r="K2" s="14" t="s">
        <v>14</v>
      </c>
      <c r="L2" s="14" t="s">
        <v>15</v>
      </c>
      <c r="M2" s="14" t="s">
        <v>16</v>
      </c>
      <c r="N2" s="52" t="s">
        <v>17</v>
      </c>
      <c r="O2" s="14" t="s">
        <v>18</v>
      </c>
      <c r="P2" s="14" t="s">
        <v>19</v>
      </c>
      <c r="Q2" s="15" t="s">
        <v>20</v>
      </c>
      <c r="R2" s="15" t="s">
        <v>21</v>
      </c>
      <c r="S2" s="15" t="s">
        <v>22</v>
      </c>
      <c r="T2" s="15" t="s">
        <v>23</v>
      </c>
      <c r="U2" s="15" t="s">
        <v>24</v>
      </c>
      <c r="V2" s="16" t="s">
        <v>25</v>
      </c>
      <c r="W2" s="17" t="s">
        <v>26</v>
      </c>
      <c r="X2" s="18" t="s">
        <v>27</v>
      </c>
      <c r="Y2" s="19" t="s">
        <v>28</v>
      </c>
      <c r="Z2" s="19" t="s">
        <v>29</v>
      </c>
      <c r="AA2" s="20" t="s">
        <v>30</v>
      </c>
      <c r="AB2" s="20" t="s">
        <v>25</v>
      </c>
      <c r="AC2" s="21" t="s">
        <v>26</v>
      </c>
      <c r="AE2" s="52" t="s">
        <v>31</v>
      </c>
      <c r="AF2" s="52" t="s">
        <v>32</v>
      </c>
      <c r="AG2" s="52" t="s">
        <v>33</v>
      </c>
      <c r="AH2" s="52" t="s">
        <v>34</v>
      </c>
      <c r="AI2" s="52" t="s">
        <v>35</v>
      </c>
      <c r="AJ2" s="52" t="s">
        <v>36</v>
      </c>
      <c r="AK2" s="52" t="s">
        <v>37</v>
      </c>
    </row>
    <row r="3" spans="1:39" ht="15.6" customHeight="1">
      <c r="A3" s="69"/>
      <c r="B3" s="70"/>
      <c r="C3" s="7"/>
      <c r="D3" s="71"/>
      <c r="E3" s="72"/>
      <c r="F3" s="71"/>
      <c r="G3" s="71"/>
      <c r="H3" s="72"/>
      <c r="I3" s="36"/>
      <c r="J3" s="36"/>
      <c r="K3" s="37"/>
      <c r="L3" s="37"/>
      <c r="M3" s="37"/>
      <c r="N3" s="53"/>
      <c r="O3" s="8"/>
      <c r="P3" s="37"/>
      <c r="Q3" s="36"/>
      <c r="R3" s="36"/>
      <c r="S3" s="36"/>
      <c r="T3" s="36"/>
      <c r="U3" s="8"/>
      <c r="V3" s="8"/>
      <c r="W3" s="38"/>
      <c r="X3" s="39"/>
      <c r="Y3" s="40"/>
      <c r="Z3" s="40"/>
      <c r="AA3" s="8"/>
      <c r="AB3" s="9"/>
      <c r="AC3" s="41"/>
    </row>
    <row r="4" spans="1:39" ht="20.100000000000001" customHeight="1" outlineLevel="1">
      <c r="A4" s="33">
        <f ca="1">COUNTIF(J$3:OFFSET(J4,-1,0),"Subtotal:")+1</f>
        <v>1</v>
      </c>
      <c r="B4" s="23" t="str">
        <f ca="1">IF(OFFSET(B4,1,0)&lt;&gt;"",OFFSET(B4,1,0),"")</f>
        <v/>
      </c>
      <c r="C4" s="42"/>
      <c r="D4" s="59" t="s">
        <v>44</v>
      </c>
      <c r="E4" s="60" t="str">
        <f>LEFT(F4,3)</f>
        <v>#02</v>
      </c>
      <c r="F4" s="59" t="s">
        <v>179</v>
      </c>
      <c r="G4" s="59" t="s">
        <v>3898</v>
      </c>
      <c r="H4" s="60"/>
      <c r="I4" s="24">
        <f>IF(J4&lt;&gt;"",J4 - ('Shipping Program'!$D$9 + 'Shipping Program'!$F$9 + 'Shipping Program'!$H$9), "")</f>
        <v>46460</v>
      </c>
      <c r="J4" s="43">
        <v>46507</v>
      </c>
      <c r="K4" s="44" t="str">
        <f>IF(SUM(M4:N4)=0,"",SUM(M4:N4))</f>
        <v/>
      </c>
      <c r="L4" s="44"/>
      <c r="M4" s="44"/>
      <c r="N4" s="54"/>
      <c r="O4" s="25">
        <f>VLOOKUP(I4,'Shipping Program'!$A$32:$B$78,2)-1</f>
        <v>1</v>
      </c>
      <c r="P4" s="44">
        <f>O4</f>
        <v>1</v>
      </c>
      <c r="Q4" s="24">
        <f>R4-7</f>
        <v>46440</v>
      </c>
      <c r="R4" s="24">
        <f>IFERROR(_xlfn.XLOOKUP(P4,'Shipping Program'!$B$32:$B$78,'Shipping Program'!$A$32:$A$78),IFERROR(INDEX(_V7Batches!$B:$B,MATCH(P4&amp;"",_V7Batches!$A:$A,0)),""))</f>
        <v>46447</v>
      </c>
      <c r="S4" s="24">
        <f>IFERROR(_xlfn.XLOOKUP(P4,'Shipping Program'!$B$32:$B$78,'Shipping Program'!$E$32:$E$78),IFERROR(INDEX(_V7Batches!$D:$D,MATCH(P4&amp;"",_V7Batches!$A:$A,0)),""))</f>
        <v>46477</v>
      </c>
      <c r="T4" s="24">
        <f>S4+'Shipping Program'!$H$9</f>
        <v>46484</v>
      </c>
      <c r="U4" s="25">
        <f>IFERROR(IF(J4*T4&lt;&gt;0,J4-T4,""),"")</f>
        <v>23</v>
      </c>
      <c r="V4" s="25" t="str">
        <f>IF(U4&lt;&gt;"",IF(U4&gt;28,"Too early",IF(U4&lt;14,"Too late","")),"")</f>
        <v/>
      </c>
      <c r="W4" s="35"/>
      <c r="X4" s="26">
        <f ca="1">IF(OFFSET(X4,1,0)="",R4,OFFSET(X4,1,0))</f>
        <v>46447</v>
      </c>
      <c r="Y4" s="26">
        <f ca="1">IF(OFFSET(Y4,1,0)="",X4+'Shipping Program'!$F$9,OFFSET(Y4,1,0))</f>
        <v>46477</v>
      </c>
      <c r="Z4" s="26">
        <f ca="1">IF(OFFSET(Z4,1,0)="",Y4+'Shipping Program'!$H$9,OFFSET(Z4,1,0))</f>
        <v>46484</v>
      </c>
      <c r="AA4" s="27">
        <f ca="1">IFERROR(IF(J4*Z4&lt;&gt;0,J4-Z4,""),"")</f>
        <v>23</v>
      </c>
      <c r="AB4" s="27" t="str">
        <f ca="1">IF(AA4&lt;&gt;"",IF(AA4&gt;28,"Too early",IF(AA4&lt;14,"Too late","")),"")</f>
        <v/>
      </c>
      <c r="AC4" s="46"/>
      <c r="AE4" s="80" t="s">
        <v>43</v>
      </c>
      <c r="AF4" s="80" t="s">
        <v>41</v>
      </c>
      <c r="AG4" s="80" t="s">
        <v>45</v>
      </c>
      <c r="AH4" s="80" t="str">
        <f>IF(AI4="","",AI4*AJ4*AK4/1000/1000/1000)</f>
        <v/>
      </c>
      <c r="AI4" s="80"/>
      <c r="AJ4" s="80"/>
      <c r="AK4" s="80"/>
    </row>
    <row r="5" spans="1:39" ht="20.100000000000001" customHeight="1" outlineLevel="1">
      <c r="A5" s="33">
        <f ca="1">COUNTIF(J$3:OFFSET(J5,-1,0),"Subtotal:")+1</f>
        <v>1</v>
      </c>
      <c r="B5" s="23" t="str">
        <f ca="1">IF(OFFSET(B5,1,0)&lt;&gt;"",OFFSET(B5,1,0),"")</f>
        <v/>
      </c>
      <c r="C5" s="42"/>
      <c r="D5" s="59" t="s">
        <v>44</v>
      </c>
      <c r="E5" s="60" t="str">
        <f>LEFT(F5,3)</f>
        <v>#02</v>
      </c>
      <c r="F5" s="59" t="s">
        <v>178</v>
      </c>
      <c r="G5" s="59" t="s">
        <v>3896</v>
      </c>
      <c r="H5" s="60"/>
      <c r="I5" s="24">
        <f>IF(J5&lt;&gt;"",J5 - ('Shipping Program'!$D$9 + 'Shipping Program'!$F$9 + 'Shipping Program'!$H$9), "")</f>
        <v>46459</v>
      </c>
      <c r="J5" s="43">
        <v>46506</v>
      </c>
      <c r="K5" s="44" t="str">
        <f>IF(SUM(M5:N5)=0,"",SUM(M5:N5))</f>
        <v/>
      </c>
      <c r="L5" s="44"/>
      <c r="M5" s="44"/>
      <c r="N5" s="54"/>
      <c r="O5" s="25">
        <f>VLOOKUP(I5,'Shipping Program'!$A$32:$B$78,2)-1</f>
        <v>1</v>
      </c>
      <c r="P5" s="44">
        <f>O5</f>
        <v>1</v>
      </c>
      <c r="Q5" s="24">
        <f>R5-7</f>
        <v>46440</v>
      </c>
      <c r="R5" s="24">
        <f>IFERROR(_xlfn.XLOOKUP(P5,'Shipping Program'!$B$32:$B$78,'Shipping Program'!$A$32:$A$78),IFERROR(INDEX(_V7Batches!$B:$B,MATCH(P5&amp;"",_V7Batches!$A:$A,0)),""))</f>
        <v>46447</v>
      </c>
      <c r="S5" s="24">
        <f>IFERROR(_xlfn.XLOOKUP(P5,'Shipping Program'!$B$32:$B$78,'Shipping Program'!$E$32:$E$78),IFERROR(INDEX(_V7Batches!$D:$D,MATCH(P5&amp;"",_V7Batches!$A:$A,0)),""))</f>
        <v>46477</v>
      </c>
      <c r="T5" s="24">
        <f>S5+'Shipping Program'!$H$9</f>
        <v>46484</v>
      </c>
      <c r="U5" s="25">
        <f>IFERROR(IF(J5*T5&lt;&gt;0,J5-T5,""),"")</f>
        <v>22</v>
      </c>
      <c r="V5" s="25" t="str">
        <f>IF(U5&lt;&gt;"",IF(U5&gt;28,"Too early",IF(U5&lt;14,"Too late","")),"")</f>
        <v/>
      </c>
      <c r="W5" s="35"/>
      <c r="X5" s="26">
        <f ca="1">IF(OFFSET(X5,1,0)="",R5,OFFSET(X5,1,0))</f>
        <v>46447</v>
      </c>
      <c r="Y5" s="26">
        <f ca="1">IF(OFFSET(Y5,1,0)="",X5+'Shipping Program'!$F$9,OFFSET(Y5,1,0))</f>
        <v>46477</v>
      </c>
      <c r="Z5" s="26">
        <f ca="1">IF(OFFSET(Z5,1,0)="",Y5+'Shipping Program'!$H$9,OFFSET(Z5,1,0))</f>
        <v>46484</v>
      </c>
      <c r="AA5" s="27">
        <f ca="1">IFERROR(IF(J5*Z5&lt;&gt;0,J5-Z5,""),"")</f>
        <v>22</v>
      </c>
      <c r="AB5" s="27" t="str">
        <f ca="1">IF(AA5&lt;&gt;"",IF(AA5&gt;28,"Too early",IF(AA5&lt;14,"Too late","")),"")</f>
        <v/>
      </c>
      <c r="AC5" s="46"/>
      <c r="AE5" s="80" t="s">
        <v>43</v>
      </c>
      <c r="AF5" s="80" t="s">
        <v>41</v>
      </c>
      <c r="AG5" s="80" t="s">
        <v>45</v>
      </c>
      <c r="AH5" s="80" t="str">
        <f>IF(AI5="","",AI5*AJ5*AK5/1000/1000/1000)</f>
        <v/>
      </c>
      <c r="AI5" s="80"/>
      <c r="AJ5" s="80"/>
      <c r="AK5" s="80"/>
    </row>
    <row r="6" spans="1:39" ht="20.100000000000001" customHeight="1" outlineLevel="1">
      <c r="A6" s="33">
        <f ca="1">COUNTIF(J$3:OFFSET(J6,-1,0),"Subtotal:")+1</f>
        <v>1</v>
      </c>
      <c r="B6" s="65" t="str">
        <f ca="1">IF(OFFSET(B6,1,0)&lt;&gt;"",OFFSET(B6,1,0),"")</f>
        <v/>
      </c>
      <c r="C6" s="66"/>
      <c r="D6" s="61" t="s">
        <v>47</v>
      </c>
      <c r="E6" s="60" t="str">
        <f>LEFT(F6,3)</f>
        <v>#02</v>
      </c>
      <c r="F6" s="59" t="s">
        <v>179</v>
      </c>
      <c r="G6" s="61" t="s">
        <v>3904</v>
      </c>
      <c r="H6" s="60"/>
      <c r="I6" s="24">
        <f>IF(J6&lt;&gt;"",J6 - ('Shipping Program'!$D$9 + 'Shipping Program'!$F$9 + 'Shipping Program'!$H$9), "")</f>
        <v>46459</v>
      </c>
      <c r="J6" s="43">
        <v>46506</v>
      </c>
      <c r="K6" s="44" t="str">
        <f>IF(SUM(M6:N6)=0,"",SUM(M6:N6))</f>
        <v/>
      </c>
      <c r="L6" s="67"/>
      <c r="M6" s="44"/>
      <c r="N6" s="54"/>
      <c r="O6" s="25">
        <f>VLOOKUP(I6,'Shipping Program'!$A$32:$B$78,2)-1</f>
        <v>1</v>
      </c>
      <c r="P6" s="44">
        <f>O6</f>
        <v>1</v>
      </c>
      <c r="Q6" s="24">
        <f>R6-7</f>
        <v>46440</v>
      </c>
      <c r="R6" s="24">
        <f>IFERROR(_xlfn.XLOOKUP(P6,'Shipping Program'!$B$32:$B$78,'Shipping Program'!$A$32:$A$78),IFERROR(INDEX(_V7Batches!$B:$B,MATCH(P6&amp;"",_V7Batches!$A:$A,0)),""))</f>
        <v>46447</v>
      </c>
      <c r="S6" s="24">
        <f>IFERROR(_xlfn.XLOOKUP(P6,'Shipping Program'!$B$32:$B$78,'Shipping Program'!$E$32:$E$78),IFERROR(INDEX(_V7Batches!$D:$D,MATCH(P6&amp;"",_V7Batches!$A:$A,0)),""))</f>
        <v>46477</v>
      </c>
      <c r="T6" s="24">
        <f>S6+'Shipping Program'!$H$9</f>
        <v>46484</v>
      </c>
      <c r="U6" s="25">
        <f>IFERROR(IF(J6*T6&lt;&gt;0,J6-T6,""),"")</f>
        <v>22</v>
      </c>
      <c r="V6" s="25" t="str">
        <f>IF(U6&lt;&gt;"",IF(U6&gt;28,"Too early",IF(U6&lt;14,"Too late","")),"")</f>
        <v/>
      </c>
      <c r="W6" s="35"/>
      <c r="X6" s="26">
        <f ca="1">IF(OFFSET(X6,1,0)="",R6,OFFSET(X6,1,0))</f>
        <v>46447</v>
      </c>
      <c r="Y6" s="26">
        <f ca="1">IF(OFFSET(Y6,1,0)="",X6+'Shipping Program'!$F$9,OFFSET(Y6,1,0))</f>
        <v>46477</v>
      </c>
      <c r="Z6" s="26">
        <f ca="1">IF(OFFSET(Z6,1,0)="",Y6+'Shipping Program'!$H$9,OFFSET(Z6,1,0))</f>
        <v>46484</v>
      </c>
      <c r="AA6" s="27">
        <f ca="1">IFERROR(IF(J6*Z6&lt;&gt;0,J6-Z6,""),"")</f>
        <v>22</v>
      </c>
      <c r="AB6" s="27" t="str">
        <f ca="1">IF(AA6&lt;&gt;"",IF(AA6&gt;28,"Too early",IF(AA6&lt;14,"Too late","")),"")</f>
        <v/>
      </c>
      <c r="AC6" s="46"/>
      <c r="AD6" s="68"/>
      <c r="AE6" s="80" t="s">
        <v>43</v>
      </c>
      <c r="AF6" s="80" t="s">
        <v>41</v>
      </c>
      <c r="AG6" s="80" t="s">
        <v>45</v>
      </c>
      <c r="AH6" s="80" t="str">
        <f>IF(AI6="","",AI6*AJ6*AK6/1000/1000/1000)</f>
        <v/>
      </c>
      <c r="AI6" s="80"/>
      <c r="AJ6" s="80"/>
      <c r="AK6" s="80"/>
      <c r="AL6" s="68"/>
      <c r="AM6" s="68"/>
    </row>
    <row r="7" spans="1:39" ht="20.100000000000001" customHeight="1" outlineLevel="1">
      <c r="A7" s="33">
        <f ca="1">COUNTIF(J$3:OFFSET(J7,-1,0),"Subtotal:")+1</f>
        <v>1</v>
      </c>
      <c r="B7" s="65" t="str">
        <f ca="1">IF(OFFSET(B7,1,0)&lt;&gt;"",OFFSET(B7,1,0),"")</f>
        <v/>
      </c>
      <c r="C7" s="66"/>
      <c r="D7" s="61" t="s">
        <v>47</v>
      </c>
      <c r="E7" s="60" t="str">
        <f>LEFT(F7,3)</f>
        <v>#02</v>
      </c>
      <c r="F7" s="59" t="s">
        <v>178</v>
      </c>
      <c r="G7" s="61" t="s">
        <v>3904</v>
      </c>
      <c r="H7" s="60"/>
      <c r="I7" s="24">
        <f>IF(J7&lt;&gt;"",J7 - ('Shipping Program'!$D$9 + 'Shipping Program'!$F$9 + 'Shipping Program'!$H$9), "")</f>
        <v>46460</v>
      </c>
      <c r="J7" s="43">
        <v>46507</v>
      </c>
      <c r="K7" s="44" t="str">
        <f>IF(SUM(M7:N7)=0,"",SUM(M7:N7))</f>
        <v/>
      </c>
      <c r="L7" s="67"/>
      <c r="M7" s="44"/>
      <c r="N7" s="54"/>
      <c r="O7" s="25">
        <f>VLOOKUP(I7,'Shipping Program'!$A$32:$B$78,2)-1</f>
        <v>1</v>
      </c>
      <c r="P7" s="44">
        <f>O7</f>
        <v>1</v>
      </c>
      <c r="Q7" s="24">
        <f>R7-7</f>
        <v>46440</v>
      </c>
      <c r="R7" s="24">
        <f>IFERROR(_xlfn.XLOOKUP(P7,'Shipping Program'!$B$32:$B$78,'Shipping Program'!$A$32:$A$78),IFERROR(INDEX(_V7Batches!$B:$B,MATCH(P7&amp;"",_V7Batches!$A:$A,0)),""))</f>
        <v>46447</v>
      </c>
      <c r="S7" s="24">
        <f>IFERROR(_xlfn.XLOOKUP(P7,'Shipping Program'!$B$32:$B$78,'Shipping Program'!$E$32:$E$78),IFERROR(INDEX(_V7Batches!$D:$D,MATCH(P7&amp;"",_V7Batches!$A:$A,0)),""))</f>
        <v>46477</v>
      </c>
      <c r="T7" s="24">
        <f>S7+'Shipping Program'!$H$9</f>
        <v>46484</v>
      </c>
      <c r="U7" s="25">
        <f>IFERROR(IF(J7*T7&lt;&gt;0,J7-T7,""),"")</f>
        <v>23</v>
      </c>
      <c r="V7" s="25" t="str">
        <f>IF(U7&lt;&gt;"",IF(U7&gt;28,"Too early",IF(U7&lt;14,"Too late","")),"")</f>
        <v/>
      </c>
      <c r="W7" s="35"/>
      <c r="X7" s="26">
        <f ca="1">IF(OFFSET(X7,1,0)="",R7,OFFSET(X7,1,0))</f>
        <v>46447</v>
      </c>
      <c r="Y7" s="26">
        <f ca="1">IF(OFFSET(Y7,1,0)="",X7+'Shipping Program'!$F$9,OFFSET(Y7,1,0))</f>
        <v>46477</v>
      </c>
      <c r="Z7" s="26">
        <f ca="1">IF(OFFSET(Z7,1,0)="",Y7+'Shipping Program'!$H$9,OFFSET(Z7,1,0))</f>
        <v>46484</v>
      </c>
      <c r="AA7" s="27">
        <f ca="1">IFERROR(IF(J7*Z7&lt;&gt;0,J7-Z7,""),"")</f>
        <v>23</v>
      </c>
      <c r="AB7" s="27" t="str">
        <f ca="1">IF(AA7&lt;&gt;"",IF(AA7&gt;28,"Too early",IF(AA7&lt;14,"Too late","")),"")</f>
        <v/>
      </c>
      <c r="AC7" s="46"/>
      <c r="AD7" s="68"/>
      <c r="AE7" s="80" t="s">
        <v>43</v>
      </c>
      <c r="AF7" s="80" t="s">
        <v>41</v>
      </c>
      <c r="AG7" s="80" t="s">
        <v>45</v>
      </c>
      <c r="AH7" s="80" t="str">
        <f>IF(AI7="","",AI7*AJ7*AK7/1000/1000/1000)</f>
        <v/>
      </c>
      <c r="AI7" s="80"/>
      <c r="AJ7" s="80"/>
      <c r="AK7" s="80"/>
      <c r="AL7" s="68"/>
      <c r="AM7" s="68"/>
    </row>
    <row r="8" spans="1:39" ht="20.100000000000001" customHeight="1" outlineLevel="1">
      <c r="A8" s="33">
        <f ca="1">COUNTIF(J$3:OFFSET(J8,-1,0),"Subtotal:")+1</f>
        <v>1</v>
      </c>
      <c r="B8" s="23" t="str">
        <f ca="1">IF(OFFSET(B8,1,0)&lt;&gt;"",OFFSET(B8,1,0),"")</f>
        <v/>
      </c>
      <c r="C8" s="42"/>
      <c r="D8" s="59" t="s">
        <v>38</v>
      </c>
      <c r="E8" s="60" t="str">
        <f>LEFT(F8,3)</f>
        <v>#09</v>
      </c>
      <c r="F8" s="59" t="s">
        <v>154</v>
      </c>
      <c r="G8" s="59" t="s">
        <v>170</v>
      </c>
      <c r="H8" s="60"/>
      <c r="I8" s="24">
        <f>IF(J8&lt;&gt;"",J8 - ('Shipping Program'!$D$9 + 'Shipping Program'!$F$9 + 'Shipping Program'!$H$9), "")</f>
        <v>46460</v>
      </c>
      <c r="J8" s="43">
        <v>46507</v>
      </c>
      <c r="K8" s="44" t="str">
        <f>IF(SUM(M8:N8)=0,"",SUM(M8:N8))</f>
        <v/>
      </c>
      <c r="L8" s="44"/>
      <c r="M8" s="44"/>
      <c r="N8" s="54"/>
      <c r="O8" s="25">
        <f>VLOOKUP(I8,'Shipping Program'!$A$32:$B$78,2)-1</f>
        <v>1</v>
      </c>
      <c r="P8" s="44">
        <f>O8</f>
        <v>1</v>
      </c>
      <c r="Q8" s="24">
        <f>R8-7</f>
        <v>46440</v>
      </c>
      <c r="R8" s="24">
        <f>IFERROR(_xlfn.XLOOKUP(P8,'Shipping Program'!$B$32:$B$78,'Shipping Program'!$A$32:$A$78),IFERROR(INDEX(_V7Batches!$B:$B,MATCH(P8&amp;"",_V7Batches!$A:$A,0)),""))</f>
        <v>46447</v>
      </c>
      <c r="S8" s="24">
        <f>IFERROR(_xlfn.XLOOKUP(P8,'Shipping Program'!$B$32:$B$78,'Shipping Program'!$E$32:$E$78),IFERROR(INDEX(_V7Batches!$D:$D,MATCH(P8&amp;"",_V7Batches!$A:$A,0)),""))</f>
        <v>46477</v>
      </c>
      <c r="T8" s="24">
        <f>S8+'Shipping Program'!$H$9</f>
        <v>46484</v>
      </c>
      <c r="U8" s="25">
        <f>IFERROR(IF(J8*T8&lt;&gt;0,J8-T8,""),"")</f>
        <v>23</v>
      </c>
      <c r="V8" s="25" t="str">
        <f>IF(U8&lt;&gt;"",IF(U8&gt;28,"Too early",IF(U8&lt;14,"Too late","")),"")</f>
        <v/>
      </c>
      <c r="W8" s="35"/>
      <c r="X8" s="26">
        <f ca="1">IF(OFFSET(X8,1,0)="",R8,OFFSET(X8,1,0))</f>
        <v>46447</v>
      </c>
      <c r="Y8" s="26">
        <f ca="1">IF(OFFSET(Y8,1,0)="",X8+'Shipping Program'!$F$9,OFFSET(Y8,1,0))</f>
        <v>46477</v>
      </c>
      <c r="Z8" s="26">
        <f ca="1">IF(OFFSET(Z8,1,0)="",Y8+'Shipping Program'!$H$9,OFFSET(Z8,1,0))</f>
        <v>46484</v>
      </c>
      <c r="AA8" s="27">
        <f ca="1">IFERROR(IF(J8*Z8&lt;&gt;0,J8-Z8,""),"")</f>
        <v>23</v>
      </c>
      <c r="AB8" s="27" t="str">
        <f ca="1">IF(AA8&lt;&gt;"",IF(AA8&gt;28,"Too early",IF(AA8&lt;14,"Too late","")),"")</f>
        <v/>
      </c>
      <c r="AC8" s="46"/>
      <c r="AE8" s="80" t="s">
        <v>54</v>
      </c>
      <c r="AF8" s="80"/>
      <c r="AG8" s="80"/>
      <c r="AH8" s="80" t="str">
        <f>IF(AI8="","",AI8*AJ8*AK8/1000/1000/1000)</f>
        <v/>
      </c>
      <c r="AI8" s="80"/>
      <c r="AJ8" s="80"/>
      <c r="AK8" s="80"/>
    </row>
    <row r="9" spans="1:39" ht="20.100000000000001" customHeight="1" outlineLevel="1">
      <c r="A9" s="33">
        <f ca="1">COUNTIF(J$3:OFFSET(J9,-1,0),"Subtotal:")+1</f>
        <v>1</v>
      </c>
      <c r="B9" s="62" t="str">
        <f ca="1">IF(OFFSET(B9,1,0)&lt;&gt;"",OFFSET(B9,1,0),"")</f>
        <v/>
      </c>
      <c r="C9" s="63"/>
      <c r="D9" s="59" t="s">
        <v>95</v>
      </c>
      <c r="E9" s="60" t="str">
        <f>LEFT(F9,3)</f>
        <v>#06</v>
      </c>
      <c r="F9" s="59" t="s">
        <v>224</v>
      </c>
      <c r="G9" s="59" t="s">
        <v>243</v>
      </c>
      <c r="H9" s="60"/>
      <c r="I9" s="24">
        <f>IF(J9&lt;&gt;"",J9 - ('Shipping Program'!$D$9 + 'Shipping Program'!$F$9 + 'Shipping Program'!$H$9), "")</f>
        <v>46460</v>
      </c>
      <c r="J9" s="43">
        <v>46507</v>
      </c>
      <c r="K9" s="44" t="str">
        <f>IF(SUM(M9:N9)=0,"",SUM(M9:N9))</f>
        <v/>
      </c>
      <c r="L9" s="64"/>
      <c r="M9" s="44"/>
      <c r="N9" s="54"/>
      <c r="O9" s="25">
        <f>VLOOKUP(I9,'Shipping Program'!$A$32:$B$78,2)-1</f>
        <v>1</v>
      </c>
      <c r="P9" s="44">
        <f>O9</f>
        <v>1</v>
      </c>
      <c r="Q9" s="24">
        <f>R9-7</f>
        <v>46440</v>
      </c>
      <c r="R9" s="24">
        <f>IFERROR(_xlfn.XLOOKUP(P9,'Shipping Program'!$B$32:$B$78,'Shipping Program'!$A$32:$A$78),IFERROR(INDEX(_V7Batches!$B:$B,MATCH(P9&amp;"",_V7Batches!$A:$A,0)),""))</f>
        <v>46447</v>
      </c>
      <c r="S9" s="24">
        <f>IFERROR(_xlfn.XLOOKUP(P9,'Shipping Program'!$B$32:$B$78,'Shipping Program'!$E$32:$E$78),IFERROR(INDEX(_V7Batches!$D:$D,MATCH(P9&amp;"",_V7Batches!$A:$A,0)),""))</f>
        <v>46477</v>
      </c>
      <c r="T9" s="24">
        <f>S9+'Shipping Program'!$H$9</f>
        <v>46484</v>
      </c>
      <c r="U9" s="25">
        <f>IFERROR(IF(J9*T9&lt;&gt;0,J9-T9,""),"")</f>
        <v>23</v>
      </c>
      <c r="V9" s="25" t="str">
        <f>IF(U9&lt;&gt;"",IF(U9&gt;28,"Too early",IF(U9&lt;14,"Too late","")),"")</f>
        <v/>
      </c>
      <c r="W9" s="35"/>
      <c r="X9" s="26">
        <f ca="1">IF(OFFSET(X9,1,0)="",R9,OFFSET(X9,1,0))</f>
        <v>46447</v>
      </c>
      <c r="Y9" s="26">
        <f ca="1">IF(OFFSET(Y9,1,0)="",X9+'Shipping Program'!$F$9,OFFSET(Y9,1,0))</f>
        <v>46477</v>
      </c>
      <c r="Z9" s="26">
        <f ca="1">IF(OFFSET(Z9,1,0)="",Y9+'Shipping Program'!$H$9,OFFSET(Z9,1,0))</f>
        <v>46484</v>
      </c>
      <c r="AA9" s="27">
        <f ca="1">IFERROR(IF(J9*Z9&lt;&gt;0,J9-Z9,""),"")</f>
        <v>23</v>
      </c>
      <c r="AB9" s="27" t="str">
        <f ca="1">IF(AA9&lt;&gt;"",IF(AA9&gt;28,"Too early",IF(AA9&lt;14,"Too late","")),"")</f>
        <v/>
      </c>
      <c r="AC9" s="46"/>
      <c r="AE9" s="80" t="s">
        <v>43</v>
      </c>
      <c r="AF9" s="80" t="s">
        <v>41</v>
      </c>
      <c r="AG9" s="80" t="s">
        <v>42</v>
      </c>
      <c r="AH9" s="80" t="str">
        <f>IF(AI9="","",AI9*AJ9*AK9/1000/1000/1000)</f>
        <v/>
      </c>
      <c r="AI9" s="80"/>
      <c r="AJ9" s="80"/>
      <c r="AK9" s="80"/>
    </row>
    <row r="10" spans="1:39" ht="20.100000000000001" customHeight="1" outlineLevel="1">
      <c r="A10" s="34">
        <f ca="1">COUNTIF(J$3:OFFSET(J10,-1,0),"Subtotal:")+1</f>
        <v>1</v>
      </c>
      <c r="B10" s="47"/>
      <c r="C10" s="48"/>
      <c r="D10" s="73"/>
      <c r="E10" s="49"/>
      <c r="F10" s="74"/>
      <c r="G10" s="74"/>
      <c r="H10" s="49"/>
      <c r="I10" s="49"/>
      <c r="J10" s="49" t="s">
        <v>6424</v>
      </c>
      <c r="K10" s="28">
        <f ca="1">SUMIF(A$3:OFFSET(A10,-1,0),A10,K$3:OFFSET(K10,-1,0))</f>
        <v>0</v>
      </c>
      <c r="L10" s="28">
        <f ca="1">SUMIF(A$3:OFFSET(A10,-1,0),A10,L$3:OFFSET(L10,-1,0))</f>
        <v>0</v>
      </c>
      <c r="M10" s="28"/>
      <c r="N10" s="55"/>
      <c r="O10" s="49"/>
      <c r="P10" s="49"/>
      <c r="Q10" s="29">
        <f ca="1">R10-7</f>
        <v>46440</v>
      </c>
      <c r="R10" s="29">
        <f ca="1">IF(J10="Subtotal:",OFFSET(R10,-1,0),"")</f>
        <v>46447</v>
      </c>
      <c r="S10" s="29">
        <f ca="1">IF(J10="Subtotal:",OFFSET(S10,-1,0),"")</f>
        <v>46477</v>
      </c>
      <c r="T10" s="29">
        <f ca="1">IF(J10="Subtotal:",OFFSET(T10,-1,0),"")</f>
        <v>46484</v>
      </c>
      <c r="U10" s="30" t="str">
        <f ca="1">IFERROR(IF(J10*T10&lt;&gt;0,J10-T10,""),"")</f>
        <v/>
      </c>
      <c r="V10" s="31" t="str">
        <f ca="1">IF(U10&lt;&gt;"",IF(U10&gt;28,"Too early",IF(U10&lt;14,"Too late","")),"")</f>
        <v/>
      </c>
      <c r="W10" s="28">
        <f ca="1">(SUMIFS($K:$K,$J:$J,"&lt;&gt;Subtotal:",$J:$J,"&gt;"&amp;S10,$S:$S,"&lt;="&amp;S10))*24*1.3+(SUMIFS($L:$L,$J:$J,"&lt;&gt;Subtotal:",$J:$J,"&gt;"&amp;S10,$S:$S,"&lt;="&amp;S10))/3*1.3</f>
        <v>0</v>
      </c>
      <c r="X10" s="50"/>
      <c r="Y10" s="50"/>
      <c r="Z10" s="50"/>
      <c r="AA10" s="30" t="str">
        <f>IFERROR(IF(J10*Z10&lt;&gt;0,J10-Z10,""),"")</f>
        <v/>
      </c>
      <c r="AB10" s="31" t="str">
        <f>IF(AA10&lt;&gt;"",IF(AA10&gt;28,"Too early",IF(AA10&lt;14,"Too late","")),"")</f>
        <v/>
      </c>
      <c r="AC10" s="32">
        <f>(SUMIFS($K:$K,$J:$J,"&lt;&gt;Subtotal:",$J:$J,"&gt;"&amp;Y10,$Y:$Y,"&lt;="&amp;Y10))*24*1.3+(SUMIFS($L:$L,$J:$J,"&lt;&gt;Subtotal:",$J:$J,"&gt;"&amp;Y10,$Y:$Y,"&lt;="&amp;Y10))/3*1.3</f>
        <v>0</v>
      </c>
      <c r="AD10" s="58"/>
      <c r="AE10" s="78"/>
      <c r="AF10" s="78"/>
      <c r="AG10" s="78"/>
      <c r="AH10" s="78"/>
      <c r="AI10" s="78"/>
      <c r="AJ10" s="78"/>
      <c r="AK10" s="78"/>
    </row>
    <row r="11" spans="1:39" ht="20.100000000000001" customHeight="1" outlineLevel="1">
      <c r="A11" s="33">
        <f ca="1">COUNTIF(J$3:OFFSET(J11,-1,0),"Subtotal:")+1</f>
        <v>2</v>
      </c>
      <c r="B11" s="23" t="str">
        <f ca="1">IF(OFFSET(B11,1,0)&lt;&gt;"",OFFSET(B11,1,0),"")</f>
        <v/>
      </c>
      <c r="C11" s="42"/>
      <c r="D11" s="59" t="s">
        <v>44</v>
      </c>
      <c r="E11" s="60" t="str">
        <f>LEFT(F11,3)</f>
        <v>#02</v>
      </c>
      <c r="F11" s="59" t="s">
        <v>179</v>
      </c>
      <c r="G11" s="59" t="s">
        <v>3897</v>
      </c>
      <c r="H11" s="60"/>
      <c r="I11" s="24">
        <f>IF(J11&lt;&gt;"",J11 - ('Shipping Program'!$D$9 + 'Shipping Program'!$F$9 + 'Shipping Program'!$H$9), "")</f>
        <v>46462</v>
      </c>
      <c r="J11" s="43">
        <v>46509</v>
      </c>
      <c r="K11" s="44" t="str">
        <f>IF(SUM(M11:N11)=0,"",SUM(M11:N11))</f>
        <v/>
      </c>
      <c r="L11" s="44"/>
      <c r="M11" s="44"/>
      <c r="N11" s="54"/>
      <c r="O11" s="25">
        <f>VLOOKUP(I11,'Shipping Program'!$A$32:$B$78,2)-1</f>
        <v>2</v>
      </c>
      <c r="P11" s="44">
        <f>O11</f>
        <v>2</v>
      </c>
      <c r="Q11" s="24">
        <f>R11-7</f>
        <v>46447</v>
      </c>
      <c r="R11" s="24">
        <f>IFERROR(_xlfn.XLOOKUP(P11,'Shipping Program'!$B$32:$B$78,'Shipping Program'!$A$32:$A$78),IFERROR(INDEX(_V7Batches!$B:$B,MATCH(P11&amp;"",_V7Batches!$A:$A,0)),""))</f>
        <v>46454</v>
      </c>
      <c r="S11" s="24">
        <f>IFERROR(_xlfn.XLOOKUP(P11,'Shipping Program'!$B$32:$B$78,'Shipping Program'!$E$32:$E$78),IFERROR(INDEX(_V7Batches!$D:$D,MATCH(P11&amp;"",_V7Batches!$A:$A,0)),""))</f>
        <v>46484</v>
      </c>
      <c r="T11" s="24">
        <f>S11+'Shipping Program'!$H$9</f>
        <v>46491</v>
      </c>
      <c r="U11" s="25">
        <f>IFERROR(IF(J11*T11&lt;&gt;0,J11-T11,""),"")</f>
        <v>18</v>
      </c>
      <c r="V11" s="25" t="str">
        <f>IF(U11&lt;&gt;"",IF(U11&gt;28,"Too early",IF(U11&lt;14,"Too late","")),"")</f>
        <v/>
      </c>
      <c r="W11" s="35"/>
      <c r="X11" s="26">
        <f ca="1">IF(OFFSET(X11,1,0)="",R11,OFFSET(X11,1,0))</f>
        <v>46454</v>
      </c>
      <c r="Y11" s="26">
        <f ca="1">IF(OFFSET(Y11,1,0)="",X11+'Shipping Program'!$F$9,OFFSET(Y11,1,0))</f>
        <v>46484</v>
      </c>
      <c r="Z11" s="26">
        <f ca="1">IF(OFFSET(Z11,1,0)="",Y11+'Shipping Program'!$H$9,OFFSET(Z11,1,0))</f>
        <v>46491</v>
      </c>
      <c r="AA11" s="27">
        <f ca="1">IFERROR(IF(J11*Z11&lt;&gt;0,J11-Z11,""),"")</f>
        <v>18</v>
      </c>
      <c r="AB11" s="27" t="str">
        <f ca="1">IF(AA11&lt;&gt;"",IF(AA11&gt;28,"Too early",IF(AA11&lt;14,"Too late","")),"")</f>
        <v/>
      </c>
      <c r="AC11" s="46"/>
      <c r="AE11" s="80" t="s">
        <v>43</v>
      </c>
      <c r="AF11" s="80" t="s">
        <v>41</v>
      </c>
      <c r="AG11" s="80" t="s">
        <v>45</v>
      </c>
      <c r="AH11" s="80" t="str">
        <f>IF(AI11="","",AI11*AJ11*AK11/1000/1000/1000)</f>
        <v/>
      </c>
      <c r="AI11" s="80"/>
      <c r="AJ11" s="80"/>
      <c r="AK11" s="80"/>
    </row>
    <row r="12" spans="1:39" ht="20.100000000000001" customHeight="1" outlineLevel="1">
      <c r="A12" s="33">
        <f ca="1">COUNTIF(J$3:OFFSET(J12,-1,0),"Subtotal:")+1</f>
        <v>2</v>
      </c>
      <c r="B12" s="23" t="str">
        <f ca="1">IF(OFFSET(B12,1,0)&lt;&gt;"",OFFSET(B12,1,0),"")</f>
        <v/>
      </c>
      <c r="C12" s="42"/>
      <c r="D12" s="59" t="s">
        <v>44</v>
      </c>
      <c r="E12" s="60" t="str">
        <f>LEFT(F12,3)</f>
        <v>#02</v>
      </c>
      <c r="F12" s="59" t="s">
        <v>178</v>
      </c>
      <c r="G12" s="59" t="s">
        <v>3900</v>
      </c>
      <c r="H12" s="60"/>
      <c r="I12" s="24">
        <f>IF(J12&lt;&gt;"",J12 - ('Shipping Program'!$D$9 + 'Shipping Program'!$F$9 + 'Shipping Program'!$H$9), "")</f>
        <v>46466</v>
      </c>
      <c r="J12" s="43">
        <v>46513</v>
      </c>
      <c r="K12" s="44" t="str">
        <f>IF(SUM(M12:N12)=0,"",SUM(M12:N12))</f>
        <v/>
      </c>
      <c r="L12" s="44"/>
      <c r="M12" s="44"/>
      <c r="N12" s="54"/>
      <c r="O12" s="25">
        <f>VLOOKUP(I12,'Shipping Program'!$A$32:$B$78,2)-1</f>
        <v>2</v>
      </c>
      <c r="P12" s="44">
        <f>O12</f>
        <v>2</v>
      </c>
      <c r="Q12" s="24">
        <f>R12-7</f>
        <v>46447</v>
      </c>
      <c r="R12" s="24">
        <f>IFERROR(_xlfn.XLOOKUP(P12,'Shipping Program'!$B$32:$B$78,'Shipping Program'!$A$32:$A$78),IFERROR(INDEX(_V7Batches!$B:$B,MATCH(P12&amp;"",_V7Batches!$A:$A,0)),""))</f>
        <v>46454</v>
      </c>
      <c r="S12" s="24">
        <f>IFERROR(_xlfn.XLOOKUP(P12,'Shipping Program'!$B$32:$B$78,'Shipping Program'!$E$32:$E$78),IFERROR(INDEX(_V7Batches!$D:$D,MATCH(P12&amp;"",_V7Batches!$A:$A,0)),""))</f>
        <v>46484</v>
      </c>
      <c r="T12" s="24">
        <f>S12+'Shipping Program'!$H$9</f>
        <v>46491</v>
      </c>
      <c r="U12" s="25">
        <f>IFERROR(IF(J12*T12&lt;&gt;0,J12-T12,""),"")</f>
        <v>22</v>
      </c>
      <c r="V12" s="25" t="str">
        <f>IF(U12&lt;&gt;"",IF(U12&gt;28,"Too early",IF(U12&lt;14,"Too late","")),"")</f>
        <v/>
      </c>
      <c r="W12" s="35"/>
      <c r="X12" s="26">
        <f ca="1">IF(OFFSET(X12,1,0)="",R12,OFFSET(X12,1,0))</f>
        <v>46454</v>
      </c>
      <c r="Y12" s="26">
        <f ca="1">IF(OFFSET(Y12,1,0)="",X12+'Shipping Program'!$F$9,OFFSET(Y12,1,0))</f>
        <v>46484</v>
      </c>
      <c r="Z12" s="26">
        <f ca="1">IF(OFFSET(Z12,1,0)="",Y12+'Shipping Program'!$H$9,OFFSET(Z12,1,0))</f>
        <v>46491</v>
      </c>
      <c r="AA12" s="27">
        <f ca="1">IFERROR(IF(J12*Z12&lt;&gt;0,J12-Z12,""),"")</f>
        <v>22</v>
      </c>
      <c r="AB12" s="27" t="str">
        <f ca="1">IF(AA12&lt;&gt;"",IF(AA12&gt;28,"Too early",IF(AA12&lt;14,"Too late","")),"")</f>
        <v/>
      </c>
      <c r="AC12" s="46"/>
      <c r="AE12" s="80" t="s">
        <v>43</v>
      </c>
      <c r="AF12" s="80" t="s">
        <v>41</v>
      </c>
      <c r="AG12" s="80" t="s">
        <v>45</v>
      </c>
      <c r="AH12" s="80" t="str">
        <f>IF(AI12="","",AI12*AJ12*AK12/1000/1000/1000)</f>
        <v/>
      </c>
      <c r="AI12" s="80"/>
      <c r="AJ12" s="80"/>
      <c r="AK12" s="80"/>
    </row>
    <row r="13" spans="1:39" ht="20.100000000000001" customHeight="1" outlineLevel="1">
      <c r="A13" s="33">
        <f ca="1">COUNTIF(J$3:OFFSET(J13,-1,0),"Subtotal:")+1</f>
        <v>2</v>
      </c>
      <c r="B13" s="23" t="str">
        <f ca="1">IF(OFFSET(B13,1,0)&lt;&gt;"",OFFSET(B13,1,0),"")</f>
        <v/>
      </c>
      <c r="C13" s="42"/>
      <c r="D13" s="59" t="s">
        <v>62</v>
      </c>
      <c r="E13" s="60" t="str">
        <f>LEFT(F13,3)</f>
        <v>#04</v>
      </c>
      <c r="F13" s="59" t="s">
        <v>209</v>
      </c>
      <c r="G13" s="59" t="s">
        <v>215</v>
      </c>
      <c r="H13" s="60"/>
      <c r="I13" s="24">
        <f>IF(J13&lt;&gt;"",J13 - ('Shipping Program'!$D$9 + 'Shipping Program'!$F$9 + 'Shipping Program'!$H$9), "")</f>
        <v>46467</v>
      </c>
      <c r="J13" s="43">
        <v>46514</v>
      </c>
      <c r="K13" s="44" t="str">
        <f>IF(SUM(M13:N13)=0,"",SUM(M13:N13))</f>
        <v/>
      </c>
      <c r="L13" s="44"/>
      <c r="M13" s="44"/>
      <c r="N13" s="54"/>
      <c r="O13" s="25">
        <f>VLOOKUP(I13,'Shipping Program'!$A$32:$B$78,2)-1</f>
        <v>2</v>
      </c>
      <c r="P13" s="44">
        <f>O13</f>
        <v>2</v>
      </c>
      <c r="Q13" s="24">
        <f>R13-7</f>
        <v>46447</v>
      </c>
      <c r="R13" s="24">
        <f>IFERROR(_xlfn.XLOOKUP(P13,'Shipping Program'!$B$32:$B$78,'Shipping Program'!$A$32:$A$78),IFERROR(INDEX(_V7Batches!$B:$B,MATCH(P13&amp;"",_V7Batches!$A:$A,0)),""))</f>
        <v>46454</v>
      </c>
      <c r="S13" s="24">
        <f>IFERROR(_xlfn.XLOOKUP(P13,'Shipping Program'!$B$32:$B$78,'Shipping Program'!$E$32:$E$78),IFERROR(INDEX(_V7Batches!$D:$D,MATCH(P13&amp;"",_V7Batches!$A:$A,0)),""))</f>
        <v>46484</v>
      </c>
      <c r="T13" s="24">
        <f>S13+'Shipping Program'!$H$9</f>
        <v>46491</v>
      </c>
      <c r="U13" s="25">
        <f>IFERROR(IF(J13*T13&lt;&gt;0,J13-T13,""),"")</f>
        <v>23</v>
      </c>
      <c r="V13" s="25" t="str">
        <f>IF(U13&lt;&gt;"",IF(U13&gt;28,"Too early",IF(U13&lt;14,"Too late","")),"")</f>
        <v/>
      </c>
      <c r="W13" s="35"/>
      <c r="X13" s="26">
        <f ca="1">IF(OFFSET(X13,1,0)="",R13,OFFSET(X13,1,0))</f>
        <v>46454</v>
      </c>
      <c r="Y13" s="26">
        <f ca="1">IF(OFFSET(Y13,1,0)="",X13+'Shipping Program'!$F$9,OFFSET(Y13,1,0))</f>
        <v>46484</v>
      </c>
      <c r="Z13" s="26">
        <f ca="1">IF(OFFSET(Z13,1,0)="",Y13+'Shipping Program'!$H$9,OFFSET(Z13,1,0))</f>
        <v>46491</v>
      </c>
      <c r="AA13" s="27">
        <f ca="1">IFERROR(IF(J13*Z13&lt;&gt;0,J13-Z13,""),"")</f>
        <v>23</v>
      </c>
      <c r="AB13" s="27" t="str">
        <f ca="1">IF(AA13&lt;&gt;"",IF(AA13&gt;28,"Too early",IF(AA13&lt;14,"Too late","")),"")</f>
        <v/>
      </c>
      <c r="AC13" s="46"/>
      <c r="AE13" s="80" t="s">
        <v>43</v>
      </c>
      <c r="AF13" s="80" t="s">
        <v>41</v>
      </c>
      <c r="AG13" s="80" t="s">
        <v>63</v>
      </c>
      <c r="AH13" s="80" t="str">
        <f>IF(AI13="","",AI13*AJ13*AK13/1000/1000/1000)</f>
        <v/>
      </c>
      <c r="AI13" s="80"/>
      <c r="AJ13" s="80"/>
      <c r="AK13" s="80"/>
    </row>
    <row r="14" spans="1:39" ht="20.100000000000001" customHeight="1" outlineLevel="1">
      <c r="A14" s="33">
        <f ca="1">COUNTIF(J$3:OFFSET(J14,-1,0),"Subtotal:")+1</f>
        <v>2</v>
      </c>
      <c r="B14" s="23" t="str">
        <f ca="1">IF(OFFSET(B14,1,0)&lt;&gt;"",OFFSET(B14,1,0),"")</f>
        <v/>
      </c>
      <c r="C14" s="42"/>
      <c r="D14" s="59" t="s">
        <v>62</v>
      </c>
      <c r="E14" s="60" t="str">
        <f>LEFT(F14,3)</f>
        <v>#04</v>
      </c>
      <c r="F14" s="59" t="s">
        <v>209</v>
      </c>
      <c r="G14" s="59" t="s">
        <v>216</v>
      </c>
      <c r="H14" s="60"/>
      <c r="I14" s="24">
        <f>IF(J14&lt;&gt;"",J14 - ('Shipping Program'!$D$9 + 'Shipping Program'!$F$9 + 'Shipping Program'!$H$9), "")</f>
        <v>46466</v>
      </c>
      <c r="J14" s="43">
        <v>46513</v>
      </c>
      <c r="K14" s="44" t="str">
        <f>IF(SUM(M14:N14)=0,"",SUM(M14:N14))</f>
        <v/>
      </c>
      <c r="L14" s="44"/>
      <c r="M14" s="44"/>
      <c r="N14" s="54"/>
      <c r="O14" s="25">
        <f>VLOOKUP(I14,'Shipping Program'!$A$32:$B$78,2)-1</f>
        <v>2</v>
      </c>
      <c r="P14" s="44">
        <f>O14</f>
        <v>2</v>
      </c>
      <c r="Q14" s="24">
        <f>R14-7</f>
        <v>46447</v>
      </c>
      <c r="R14" s="24">
        <f>IFERROR(_xlfn.XLOOKUP(P14,'Shipping Program'!$B$32:$B$78,'Shipping Program'!$A$32:$A$78),IFERROR(INDEX(_V7Batches!$B:$B,MATCH(P14&amp;"",_V7Batches!$A:$A,0)),""))</f>
        <v>46454</v>
      </c>
      <c r="S14" s="24">
        <f>IFERROR(_xlfn.XLOOKUP(P14,'Shipping Program'!$B$32:$B$78,'Shipping Program'!$E$32:$E$78),IFERROR(INDEX(_V7Batches!$D:$D,MATCH(P14&amp;"",_V7Batches!$A:$A,0)),""))</f>
        <v>46484</v>
      </c>
      <c r="T14" s="24">
        <f>S14+'Shipping Program'!$H$9</f>
        <v>46491</v>
      </c>
      <c r="U14" s="25">
        <f>IFERROR(IF(J14*T14&lt;&gt;0,J14-T14,""),"")</f>
        <v>22</v>
      </c>
      <c r="V14" s="25" t="str">
        <f>IF(U14&lt;&gt;"",IF(U14&gt;28,"Too early",IF(U14&lt;14,"Too late","")),"")</f>
        <v/>
      </c>
      <c r="W14" s="35"/>
      <c r="X14" s="26">
        <f ca="1">IF(OFFSET(X14,1,0)="",R14,OFFSET(X14,1,0))</f>
        <v>46454</v>
      </c>
      <c r="Y14" s="26">
        <f ca="1">IF(OFFSET(Y14,1,0)="",X14+'Shipping Program'!$F$9,OFFSET(Y14,1,0))</f>
        <v>46484</v>
      </c>
      <c r="Z14" s="26">
        <f ca="1">IF(OFFSET(Z14,1,0)="",Y14+'Shipping Program'!$H$9,OFFSET(Z14,1,0))</f>
        <v>46491</v>
      </c>
      <c r="AA14" s="27">
        <f ca="1">IFERROR(IF(J14*Z14&lt;&gt;0,J14-Z14,""),"")</f>
        <v>22</v>
      </c>
      <c r="AB14" s="27" t="str">
        <f ca="1">IF(AA14&lt;&gt;"",IF(AA14&gt;28,"Too early",IF(AA14&lt;14,"Too late","")),"")</f>
        <v/>
      </c>
      <c r="AC14" s="46"/>
      <c r="AE14" s="80" t="s">
        <v>43</v>
      </c>
      <c r="AF14" s="80" t="s">
        <v>41</v>
      </c>
      <c r="AG14" s="80" t="s">
        <v>63</v>
      </c>
      <c r="AH14" s="80" t="str">
        <f>IF(AI14="","",AI14*AJ14*AK14/1000/1000/1000)</f>
        <v/>
      </c>
      <c r="AI14" s="80"/>
      <c r="AJ14" s="80"/>
      <c r="AK14" s="80"/>
    </row>
    <row r="15" spans="1:39" ht="20.100000000000001" customHeight="1" outlineLevel="1">
      <c r="A15" s="33">
        <f ca="1">COUNTIF(J$3:OFFSET(J15,-1,0),"Subtotal:")+1</f>
        <v>2</v>
      </c>
      <c r="B15" s="23" t="str">
        <f ca="1">IF(OFFSET(B15,1,0)&lt;&gt;"",OFFSET(B15,1,0),"")</f>
        <v/>
      </c>
      <c r="C15" s="42"/>
      <c r="D15" s="59" t="s">
        <v>62</v>
      </c>
      <c r="E15" s="60" t="str">
        <f>LEFT(F15,3)</f>
        <v>#04</v>
      </c>
      <c r="F15" s="59" t="s">
        <v>209</v>
      </c>
      <c r="G15" s="59" t="s">
        <v>218</v>
      </c>
      <c r="H15" s="60"/>
      <c r="I15" s="24">
        <f>IF(J15&lt;&gt;"",J15 - ('Shipping Program'!$D$9 + 'Shipping Program'!$F$9 + 'Shipping Program'!$H$9), "")</f>
        <v>46464</v>
      </c>
      <c r="J15" s="43">
        <v>46511</v>
      </c>
      <c r="K15" s="44" t="str">
        <f>IF(SUM(M15:N15)=0,"",SUM(M15:N15))</f>
        <v/>
      </c>
      <c r="L15" s="44"/>
      <c r="M15" s="44"/>
      <c r="N15" s="54"/>
      <c r="O15" s="25">
        <f>VLOOKUP(I15,'Shipping Program'!$A$32:$B$78,2)-1</f>
        <v>2</v>
      </c>
      <c r="P15" s="44">
        <f>O15</f>
        <v>2</v>
      </c>
      <c r="Q15" s="24">
        <f>R15-7</f>
        <v>46447</v>
      </c>
      <c r="R15" s="24">
        <f>IFERROR(_xlfn.XLOOKUP(P15,'Shipping Program'!$B$32:$B$78,'Shipping Program'!$A$32:$A$78),IFERROR(INDEX(_V7Batches!$B:$B,MATCH(P15&amp;"",_V7Batches!$A:$A,0)),""))</f>
        <v>46454</v>
      </c>
      <c r="S15" s="24">
        <f>IFERROR(_xlfn.XLOOKUP(P15,'Shipping Program'!$B$32:$B$78,'Shipping Program'!$E$32:$E$78),IFERROR(INDEX(_V7Batches!$D:$D,MATCH(P15&amp;"",_V7Batches!$A:$A,0)),""))</f>
        <v>46484</v>
      </c>
      <c r="T15" s="24">
        <f>S15+'Shipping Program'!$H$9</f>
        <v>46491</v>
      </c>
      <c r="U15" s="25">
        <f>IFERROR(IF(J15*T15&lt;&gt;0,J15-T15,""),"")</f>
        <v>20</v>
      </c>
      <c r="V15" s="25" t="str">
        <f>IF(U15&lt;&gt;"",IF(U15&gt;28,"Too early",IF(U15&lt;14,"Too late","")),"")</f>
        <v/>
      </c>
      <c r="W15" s="35"/>
      <c r="X15" s="26">
        <f ca="1">IF(OFFSET(X15,1,0)="",R15,OFFSET(X15,1,0))</f>
        <v>46454</v>
      </c>
      <c r="Y15" s="26">
        <f ca="1">IF(OFFSET(Y15,1,0)="",X15+'Shipping Program'!$F$9,OFFSET(Y15,1,0))</f>
        <v>46484</v>
      </c>
      <c r="Z15" s="26">
        <f ca="1">IF(OFFSET(Z15,1,0)="",Y15+'Shipping Program'!$H$9,OFFSET(Z15,1,0))</f>
        <v>46491</v>
      </c>
      <c r="AA15" s="27">
        <f ca="1">IFERROR(IF(J15*Z15&lt;&gt;0,J15-Z15,""),"")</f>
        <v>20</v>
      </c>
      <c r="AB15" s="27" t="str">
        <f ca="1">IF(AA15&lt;&gt;"",IF(AA15&gt;28,"Too early",IF(AA15&lt;14,"Too late","")),"")</f>
        <v/>
      </c>
      <c r="AC15" s="46"/>
      <c r="AE15" s="80" t="s">
        <v>43</v>
      </c>
      <c r="AF15" s="80" t="s">
        <v>41</v>
      </c>
      <c r="AG15" s="80" t="s">
        <v>63</v>
      </c>
      <c r="AH15" s="80" t="str">
        <f>IF(AI15="","",AI15*AJ15*AK15/1000/1000/1000)</f>
        <v/>
      </c>
      <c r="AI15" s="80"/>
      <c r="AJ15" s="80"/>
      <c r="AK15" s="80"/>
    </row>
    <row r="16" spans="1:39" ht="20.100000000000001" customHeight="1" outlineLevel="1">
      <c r="A16" s="33">
        <f ca="1">COUNTIF(J$3:OFFSET(J16,-1,0),"Subtotal:")+1</f>
        <v>2</v>
      </c>
      <c r="B16" s="23" t="str">
        <f ca="1">IF(OFFSET(B16,1,0)&lt;&gt;"",OFFSET(B16,1,0),"")</f>
        <v/>
      </c>
      <c r="C16" s="42"/>
      <c r="D16" s="59" t="s">
        <v>38</v>
      </c>
      <c r="E16" s="60" t="str">
        <f>LEFT(F16,3)</f>
        <v>#09</v>
      </c>
      <c r="F16" s="59" t="s">
        <v>154</v>
      </c>
      <c r="G16" s="59" t="s">
        <v>162</v>
      </c>
      <c r="H16" s="60" t="s">
        <v>61</v>
      </c>
      <c r="I16" s="24">
        <f>IF(J16&lt;&gt;"",J16 - ('Shipping Program'!$D$9 + 'Shipping Program'!$F$9 + 'Shipping Program'!$H$9), "")</f>
        <v>46466</v>
      </c>
      <c r="J16" s="43">
        <v>46513</v>
      </c>
      <c r="K16" s="44" t="str">
        <f>IF(SUM(M16:N16)=0,"",SUM(M16:N16))</f>
        <v/>
      </c>
      <c r="L16" s="44"/>
      <c r="M16" s="44"/>
      <c r="N16" s="54"/>
      <c r="O16" s="25">
        <f>VLOOKUP(I16,'Shipping Program'!$A$32:$B$78,2)-1</f>
        <v>2</v>
      </c>
      <c r="P16" s="44">
        <f>O16</f>
        <v>2</v>
      </c>
      <c r="Q16" s="24">
        <f>R16-7</f>
        <v>46447</v>
      </c>
      <c r="R16" s="24">
        <f>IFERROR(_xlfn.XLOOKUP(P16,'Shipping Program'!$B$32:$B$78,'Shipping Program'!$A$32:$A$78),IFERROR(INDEX(_V7Batches!$B:$B,MATCH(P16&amp;"",_V7Batches!$A:$A,0)),""))</f>
        <v>46454</v>
      </c>
      <c r="S16" s="24">
        <f>IFERROR(_xlfn.XLOOKUP(P16,'Shipping Program'!$B$32:$B$78,'Shipping Program'!$E$32:$E$78),IFERROR(INDEX(_V7Batches!$D:$D,MATCH(P16&amp;"",_V7Batches!$A:$A,0)),""))</f>
        <v>46484</v>
      </c>
      <c r="T16" s="24">
        <f>S16+'Shipping Program'!$H$9</f>
        <v>46491</v>
      </c>
      <c r="U16" s="25">
        <f>IFERROR(IF(J16*T16&lt;&gt;0,J16-T16,""),"")</f>
        <v>22</v>
      </c>
      <c r="V16" s="25" t="str">
        <f>IF(U16&lt;&gt;"",IF(U16&gt;28,"Too early",IF(U16&lt;14,"Too late","")),"")</f>
        <v/>
      </c>
      <c r="W16" s="35"/>
      <c r="X16" s="26">
        <f ca="1">IF(OFFSET(X16,1,0)="",R16,OFFSET(X16,1,0))</f>
        <v>46454</v>
      </c>
      <c r="Y16" s="26">
        <f ca="1">IF(OFFSET(Y16,1,0)="",X16+'Shipping Program'!$F$9,OFFSET(Y16,1,0))</f>
        <v>46484</v>
      </c>
      <c r="Z16" s="26">
        <f ca="1">IF(OFFSET(Z16,1,0)="",Y16+'Shipping Program'!$H$9,OFFSET(Z16,1,0))</f>
        <v>46491</v>
      </c>
      <c r="AA16" s="27">
        <f ca="1">IFERROR(IF(J16*Z16&lt;&gt;0,J16-Z16,""),"")</f>
        <v>22</v>
      </c>
      <c r="AB16" s="27" t="str">
        <f ca="1">IF(AA16&lt;&gt;"",IF(AA16&gt;28,"Too early",IF(AA16&lt;14,"Too late","")),"")</f>
        <v/>
      </c>
      <c r="AC16" s="46"/>
      <c r="AE16" s="80" t="s">
        <v>54</v>
      </c>
      <c r="AF16" s="80"/>
      <c r="AG16" s="80"/>
      <c r="AH16" s="80" t="str">
        <f>IF(AI16="","",AI16*AJ16*AK16/1000/1000/1000)</f>
        <v/>
      </c>
      <c r="AI16" s="80"/>
      <c r="AJ16" s="80"/>
      <c r="AK16" s="80"/>
    </row>
    <row r="17" spans="1:39" ht="20.100000000000001" customHeight="1" outlineLevel="1">
      <c r="A17" s="33">
        <f ca="1">COUNTIF(J$3:OFFSET(J17,-1,0),"Subtotal:")+1</f>
        <v>2</v>
      </c>
      <c r="B17" s="23" t="str">
        <f ca="1">IF(OFFSET(B17,1,0)&lt;&gt;"",OFFSET(B17,1,0),"")</f>
        <v/>
      </c>
      <c r="C17" s="42"/>
      <c r="D17" s="59" t="s">
        <v>44</v>
      </c>
      <c r="E17" s="60" t="str">
        <f>LEFT(F17,3)</f>
        <v>#02</v>
      </c>
      <c r="F17" s="59" t="s">
        <v>178</v>
      </c>
      <c r="G17" s="59" t="s">
        <v>3901</v>
      </c>
      <c r="H17" s="60"/>
      <c r="I17" s="24">
        <f>IF(J17&lt;&gt;"",J17 - ('Shipping Program'!$D$9 + 'Shipping Program'!$F$9 + 'Shipping Program'!$H$9), "")</f>
        <v>46464</v>
      </c>
      <c r="J17" s="43">
        <v>46511</v>
      </c>
      <c r="K17" s="44" t="str">
        <f>IF(SUM(M17:N17)=0,"",SUM(M17:N17))</f>
        <v/>
      </c>
      <c r="L17" s="44"/>
      <c r="M17" s="44"/>
      <c r="N17" s="54"/>
      <c r="O17" s="25">
        <f>VLOOKUP(I17,'Shipping Program'!$A$32:$B$78,2)-1</f>
        <v>2</v>
      </c>
      <c r="P17" s="44">
        <f>O17</f>
        <v>2</v>
      </c>
      <c r="Q17" s="24">
        <f>R17-7</f>
        <v>46447</v>
      </c>
      <c r="R17" s="24">
        <f>IFERROR(_xlfn.XLOOKUP(P17,'Shipping Program'!$B$32:$B$78,'Shipping Program'!$A$32:$A$78),IFERROR(INDEX(_V7Batches!$B:$B,MATCH(P17&amp;"",_V7Batches!$A:$A,0)),""))</f>
        <v>46454</v>
      </c>
      <c r="S17" s="24">
        <f>IFERROR(_xlfn.XLOOKUP(P17,'Shipping Program'!$B$32:$B$78,'Shipping Program'!$E$32:$E$78),IFERROR(INDEX(_V7Batches!$D:$D,MATCH(P17&amp;"",_V7Batches!$A:$A,0)),""))</f>
        <v>46484</v>
      </c>
      <c r="T17" s="24">
        <f>S17+'Shipping Program'!$H$9</f>
        <v>46491</v>
      </c>
      <c r="U17" s="25">
        <f>IFERROR(IF(J17*T17&lt;&gt;0,J17-T17,""),"")</f>
        <v>20</v>
      </c>
      <c r="V17" s="25" t="str">
        <f>IF(U17&lt;&gt;"",IF(U17&gt;28,"Too early",IF(U17&lt;14,"Too late","")),"")</f>
        <v/>
      </c>
      <c r="W17" s="35"/>
      <c r="X17" s="26">
        <f ca="1">IF(OFFSET(X17,1,0)="",R17,OFFSET(X17,1,0))</f>
        <v>46454</v>
      </c>
      <c r="Y17" s="26">
        <f ca="1">IF(OFFSET(Y17,1,0)="",X17+'Shipping Program'!$F$9,OFFSET(Y17,1,0))</f>
        <v>46484</v>
      </c>
      <c r="Z17" s="26">
        <f ca="1">IF(OFFSET(Z17,1,0)="",Y17+'Shipping Program'!$H$9,OFFSET(Z17,1,0))</f>
        <v>46491</v>
      </c>
      <c r="AA17" s="27">
        <f ca="1">IFERROR(IF(J17*Z17&lt;&gt;0,J17-Z17,""),"")</f>
        <v>20</v>
      </c>
      <c r="AB17" s="27" t="str">
        <f ca="1">IF(AA17&lt;&gt;"",IF(AA17&gt;28,"Too early",IF(AA17&lt;14,"Too late","")),"")</f>
        <v/>
      </c>
      <c r="AC17" s="46"/>
      <c r="AE17" s="80" t="s">
        <v>43</v>
      </c>
      <c r="AF17" s="80" t="s">
        <v>41</v>
      </c>
      <c r="AG17" s="80" t="s">
        <v>45</v>
      </c>
      <c r="AH17" s="80" t="str">
        <f>IF(AI17="","",AI17*AJ17*AK17/1000/1000/1000)</f>
        <v/>
      </c>
      <c r="AI17" s="80"/>
      <c r="AJ17" s="80"/>
      <c r="AK17" s="80"/>
    </row>
    <row r="18" spans="1:39" ht="20.100000000000001" customHeight="1" outlineLevel="1">
      <c r="A18" s="33">
        <f ca="1">COUNTIF(J$3:OFFSET(J18,-1,0),"Subtotal:")+1</f>
        <v>2</v>
      </c>
      <c r="B18" s="62" t="str">
        <f ca="1">IF(OFFSET(B18,1,0)&lt;&gt;"",OFFSET(B18,1,0),"")</f>
        <v/>
      </c>
      <c r="C18" s="63"/>
      <c r="D18" s="59" t="s">
        <v>95</v>
      </c>
      <c r="E18" s="60" t="str">
        <f>LEFT(F18,3)</f>
        <v>#06</v>
      </c>
      <c r="F18" s="59" t="s">
        <v>224</v>
      </c>
      <c r="G18" s="59" t="s">
        <v>181</v>
      </c>
      <c r="H18" s="60"/>
      <c r="I18" s="24">
        <f>IF(J18&lt;&gt;"",J18 - ('Shipping Program'!$D$9 + 'Shipping Program'!$F$9 + 'Shipping Program'!$H$9), "")</f>
        <v>46466</v>
      </c>
      <c r="J18" s="43">
        <v>46513</v>
      </c>
      <c r="K18" s="44" t="str">
        <f>IF(SUM(M18:N18)=0,"",SUM(M18:N18))</f>
        <v/>
      </c>
      <c r="L18" s="64"/>
      <c r="M18" s="44"/>
      <c r="N18" s="54"/>
      <c r="O18" s="25">
        <f>VLOOKUP(I18,'Shipping Program'!$A$32:$B$78,2)-1</f>
        <v>2</v>
      </c>
      <c r="P18" s="44">
        <f>O18</f>
        <v>2</v>
      </c>
      <c r="Q18" s="24">
        <f>R18-7</f>
        <v>46447</v>
      </c>
      <c r="R18" s="24">
        <f>IFERROR(_xlfn.XLOOKUP(P18,'Shipping Program'!$B$32:$B$78,'Shipping Program'!$A$32:$A$78),IFERROR(INDEX(_V7Batches!$B:$B,MATCH(P18&amp;"",_V7Batches!$A:$A,0)),""))</f>
        <v>46454</v>
      </c>
      <c r="S18" s="24">
        <f>IFERROR(_xlfn.XLOOKUP(P18,'Shipping Program'!$B$32:$B$78,'Shipping Program'!$E$32:$E$78),IFERROR(INDEX(_V7Batches!$D:$D,MATCH(P18&amp;"",_V7Batches!$A:$A,0)),""))</f>
        <v>46484</v>
      </c>
      <c r="T18" s="24">
        <f>S18+'Shipping Program'!$H$9</f>
        <v>46491</v>
      </c>
      <c r="U18" s="25">
        <f>IFERROR(IF(J18*T18&lt;&gt;0,J18-T18,""),"")</f>
        <v>22</v>
      </c>
      <c r="V18" s="25" t="str">
        <f>IF(U18&lt;&gt;"",IF(U18&gt;28,"Too early",IF(U18&lt;14,"Too late","")),"")</f>
        <v/>
      </c>
      <c r="W18" s="35"/>
      <c r="X18" s="26">
        <f ca="1">IF(OFFSET(X18,1,0)="",R18,OFFSET(X18,1,0))</f>
        <v>46454</v>
      </c>
      <c r="Y18" s="26">
        <f ca="1">IF(OFFSET(Y18,1,0)="",X18+'Shipping Program'!$F$9,OFFSET(Y18,1,0))</f>
        <v>46484</v>
      </c>
      <c r="Z18" s="26">
        <f ca="1">IF(OFFSET(Z18,1,0)="",Y18+'Shipping Program'!$H$9,OFFSET(Z18,1,0))</f>
        <v>46491</v>
      </c>
      <c r="AA18" s="27">
        <f ca="1">IFERROR(IF(J18*Z18&lt;&gt;0,J18-Z18,""),"")</f>
        <v>22</v>
      </c>
      <c r="AB18" s="27" t="str">
        <f ca="1">IF(AA18&lt;&gt;"",IF(AA18&gt;28,"Too early",IF(AA18&lt;14,"Too late","")),"")</f>
        <v/>
      </c>
      <c r="AC18" s="46"/>
      <c r="AE18" s="80" t="s">
        <v>43</v>
      </c>
      <c r="AF18" s="80" t="s">
        <v>41</v>
      </c>
      <c r="AG18" s="80" t="s">
        <v>42</v>
      </c>
      <c r="AH18" s="80" t="str">
        <f>IF(AI18="","",AI18*AJ18*AK18/1000/1000/1000)</f>
        <v/>
      </c>
      <c r="AI18" s="80"/>
      <c r="AJ18" s="80"/>
      <c r="AK18" s="80"/>
    </row>
    <row r="19" spans="1:39" ht="20.100000000000001" customHeight="1" outlineLevel="1">
      <c r="A19" s="34">
        <f ca="1">COUNTIF(J$3:OFFSET(J19,-1,0),"Subtotal:")+1</f>
        <v>2</v>
      </c>
      <c r="B19" s="47"/>
      <c r="C19" s="48"/>
      <c r="D19" s="73"/>
      <c r="E19" s="49"/>
      <c r="F19" s="74"/>
      <c r="G19" s="74"/>
      <c r="H19" s="49"/>
      <c r="I19" s="49"/>
      <c r="J19" s="49" t="s">
        <v>6424</v>
      </c>
      <c r="K19" s="28">
        <f ca="1">SUMIF(A$3:OFFSET(A19,-1,0),A19,K$3:OFFSET(K19,-1,0))</f>
        <v>0</v>
      </c>
      <c r="L19" s="28">
        <f ca="1">SUMIF(A$3:OFFSET(A19,-1,0),A19,L$3:OFFSET(L19,-1,0))</f>
        <v>0</v>
      </c>
      <c r="M19" s="28"/>
      <c r="N19" s="55"/>
      <c r="O19" s="49"/>
      <c r="P19" s="49"/>
      <c r="Q19" s="29">
        <f ca="1">R19-7</f>
        <v>46447</v>
      </c>
      <c r="R19" s="29">
        <f ca="1">IF(J19="Subtotal:",OFFSET(R19,-1,0),"")</f>
        <v>46454</v>
      </c>
      <c r="S19" s="29">
        <f ca="1">IF(J19="Subtotal:",OFFSET(S19,-1,0),"")</f>
        <v>46484</v>
      </c>
      <c r="T19" s="29">
        <f ca="1">IF(J19="Subtotal:",OFFSET(T19,-1,0),"")</f>
        <v>46491</v>
      </c>
      <c r="U19" s="30" t="str">
        <f ca="1">IFERROR(IF(J19*T19&lt;&gt;0,J19-T19,""),"")</f>
        <v/>
      </c>
      <c r="V19" s="31" t="str">
        <f ca="1">IF(U19&lt;&gt;"",IF(U19&gt;28,"Too early",IF(U19&lt;14,"Too late","")),"")</f>
        <v/>
      </c>
      <c r="W19" s="28">
        <f ca="1">(SUMIFS($K:$K,$J:$J,"&lt;&gt;Subtotal:",$J:$J,"&gt;"&amp;S19,$S:$S,"&lt;="&amp;S19))*24*1.3+(SUMIFS($L:$L,$J:$J,"&lt;&gt;Subtotal:",$J:$J,"&gt;"&amp;S19,$S:$S,"&lt;="&amp;S19))/3*1.3</f>
        <v>0</v>
      </c>
      <c r="X19" s="50"/>
      <c r="Y19" s="50"/>
      <c r="Z19" s="50"/>
      <c r="AA19" s="30" t="str">
        <f>IFERROR(IF(J19*Z19&lt;&gt;0,J19-Z19,""),"")</f>
        <v/>
      </c>
      <c r="AB19" s="31" t="str">
        <f>IF(AA19&lt;&gt;"",IF(AA19&gt;28,"Too early",IF(AA19&lt;14,"Too late","")),"")</f>
        <v/>
      </c>
      <c r="AC19" s="32">
        <f>(SUMIFS($K:$K,$J:$J,"&lt;&gt;Subtotal:",$J:$J,"&gt;"&amp;Y19,$Y:$Y,"&lt;="&amp;Y19))*24*1.3+(SUMIFS($L:$L,$J:$J,"&lt;&gt;Subtotal:",$J:$J,"&gt;"&amp;Y19,$Y:$Y,"&lt;="&amp;Y19))/3*1.3</f>
        <v>0</v>
      </c>
      <c r="AD19" s="58"/>
      <c r="AE19" s="78"/>
      <c r="AF19" s="78"/>
      <c r="AG19" s="78"/>
      <c r="AH19" s="78"/>
      <c r="AI19" s="78"/>
      <c r="AJ19" s="78"/>
      <c r="AK19" s="78"/>
    </row>
    <row r="20" spans="1:39" ht="20.100000000000001" customHeight="1" outlineLevel="1">
      <c r="A20" s="33">
        <f ca="1">COUNTIF(J$3:OFFSET(J20,-1,0),"Subtotal:")+1</f>
        <v>3</v>
      </c>
      <c r="B20" s="23" t="str">
        <f ca="1">IF(OFFSET(B20,1,0)&lt;&gt;"",OFFSET(B20,1,0),"")</f>
        <v/>
      </c>
      <c r="C20" s="42"/>
      <c r="D20" s="59" t="s">
        <v>38</v>
      </c>
      <c r="E20" s="60" t="str">
        <f>LEFT(F20,3)</f>
        <v>#09</v>
      </c>
      <c r="F20" s="59" t="s">
        <v>154</v>
      </c>
      <c r="G20" s="59" t="s">
        <v>160</v>
      </c>
      <c r="H20" s="60" t="s">
        <v>39</v>
      </c>
      <c r="I20" s="24">
        <f>IF(J20&lt;&gt;"",J20 - ('Shipping Program'!$D$9 + 'Shipping Program'!$F$9 + 'Shipping Program'!$H$9), "")</f>
        <v>46461</v>
      </c>
      <c r="J20" s="43">
        <v>46508</v>
      </c>
      <c r="K20" s="44" t="str">
        <f>IF(SUM(M20:N20)=0,"",SUM(M20:N20))</f>
        <v/>
      </c>
      <c r="L20" s="44"/>
      <c r="M20" s="44"/>
      <c r="N20" s="54"/>
      <c r="O20" s="25">
        <f>VLOOKUP(I20,'Shipping Program'!$A$32:$B$78,2)</f>
        <v>3</v>
      </c>
      <c r="P20" s="44">
        <f>O20</f>
        <v>3</v>
      </c>
      <c r="Q20" s="24">
        <f>R20-7</f>
        <v>46454</v>
      </c>
      <c r="R20" s="24">
        <f>IFERROR(_xlfn.XLOOKUP(P20,'Shipping Program'!$B$32:$B$78,'Shipping Program'!$A$32:$A$78),IFERROR(INDEX(_V7Batches!$B:$B,MATCH(P20&amp;"",_V7Batches!$A:$A,0)),""))</f>
        <v>46461</v>
      </c>
      <c r="S20" s="24">
        <f>IFERROR(_xlfn.XLOOKUP(P20,'Shipping Program'!$B$32:$B$78,'Shipping Program'!$E$32:$E$78),IFERROR(INDEX(_V7Batches!$D:$D,MATCH(P20&amp;"",_V7Batches!$A:$A,0)),""))</f>
        <v>46491</v>
      </c>
      <c r="T20" s="24">
        <f>S20+'Shipping Program'!$H$9</f>
        <v>46498</v>
      </c>
      <c r="U20" s="25">
        <f>IFERROR(IF(J20*T20&lt;&gt;0,J20-T20,""),"")</f>
        <v>10</v>
      </c>
      <c r="V20" s="25" t="str">
        <f>IF(U20&lt;&gt;"",IF(U20&gt;28,"Too early",IF(U20&lt;14,"Too late","")),"")</f>
        <v>Too late</v>
      </c>
      <c r="W20" s="45"/>
      <c r="X20" s="26">
        <f ca="1">IF(OFFSET(X20,1,0)="",R20,OFFSET(X20,1,0))</f>
        <v>46461</v>
      </c>
      <c r="Y20" s="26">
        <f ca="1">IF(OFFSET(Y20,1,0)="",X20+'Shipping Program'!$F$9,OFFSET(Y20,1,0))</f>
        <v>46491</v>
      </c>
      <c r="Z20" s="26">
        <f ca="1">IF(OFFSET(Z20,1,0)="",Y20+'Shipping Program'!$H$9,OFFSET(Z20,1,0))</f>
        <v>46498</v>
      </c>
      <c r="AA20" s="27">
        <f ca="1">IFERROR(IF(J20*Z20&lt;&gt;0,J20-Z20,""),"")</f>
        <v>10</v>
      </c>
      <c r="AB20" s="27" t="str">
        <f ca="1">IF(AA20&lt;&gt;"",IF(AA20&gt;28,"Too early",IF(AA20&lt;14,"Too late","")),"")</f>
        <v>Too late</v>
      </c>
      <c r="AC20" s="46"/>
      <c r="AE20" s="79" t="s">
        <v>43</v>
      </c>
      <c r="AF20" s="79" t="s">
        <v>41</v>
      </c>
      <c r="AG20" s="79" t="s">
        <v>42</v>
      </c>
      <c r="AH20" s="80" t="str">
        <f>IF(AI20="","",AI20*AJ20*AK20/1000/1000/1000)</f>
        <v/>
      </c>
      <c r="AI20" s="80"/>
      <c r="AJ20" s="80"/>
      <c r="AK20" s="80"/>
    </row>
    <row r="21" spans="1:39" s="68" customFormat="1" ht="20.100000000000001" customHeight="1" outlineLevel="1">
      <c r="A21" s="33">
        <f ca="1">COUNTIF(J$3:OFFSET(J21,-1,0),"Subtotal:")+1</f>
        <v>3</v>
      </c>
      <c r="B21" s="23" t="str">
        <f ca="1">IF(OFFSET(B21,1,0)&lt;&gt;"",OFFSET(B21,1,0),"")</f>
        <v/>
      </c>
      <c r="C21" s="42"/>
      <c r="D21" s="59" t="s">
        <v>44</v>
      </c>
      <c r="E21" s="60" t="str">
        <f>LEFT(F21,3)</f>
        <v>#02</v>
      </c>
      <c r="F21" s="59" t="s">
        <v>4035</v>
      </c>
      <c r="G21" s="59" t="s">
        <v>3894</v>
      </c>
      <c r="H21" s="60"/>
      <c r="I21" s="24">
        <f>IF(J21&lt;&gt;"",J21 - ('Shipping Program'!$D$9 + 'Shipping Program'!$F$9 + 'Shipping Program'!$H$9), "")</f>
        <v>46472</v>
      </c>
      <c r="J21" s="43">
        <v>46519</v>
      </c>
      <c r="K21" s="44" t="str">
        <f>IF(SUM(M21:N21)=0,"",SUM(M21:N21))</f>
        <v/>
      </c>
      <c r="L21" s="44"/>
      <c r="M21" s="44"/>
      <c r="N21" s="54"/>
      <c r="O21" s="25">
        <f>VLOOKUP(I21,'Shipping Program'!$A$32:$B$78,2)-1</f>
        <v>3</v>
      </c>
      <c r="P21" s="44">
        <f>O21</f>
        <v>3</v>
      </c>
      <c r="Q21" s="24">
        <f>R21-7</f>
        <v>46454</v>
      </c>
      <c r="R21" s="24">
        <f>IFERROR(_xlfn.XLOOKUP(P21,'Shipping Program'!$B$32:$B$78,'Shipping Program'!$A$32:$A$78),IFERROR(INDEX(_V7Batches!$B:$B,MATCH(P21&amp;"",_V7Batches!$A:$A,0)),""))</f>
        <v>46461</v>
      </c>
      <c r="S21" s="24">
        <f>IFERROR(_xlfn.XLOOKUP(P21,'Shipping Program'!$B$32:$B$78,'Shipping Program'!$E$32:$E$78),IFERROR(INDEX(_V7Batches!$D:$D,MATCH(P21&amp;"",_V7Batches!$A:$A,0)),""))</f>
        <v>46491</v>
      </c>
      <c r="T21" s="24">
        <f>S21+'Shipping Program'!$H$9</f>
        <v>46498</v>
      </c>
      <c r="U21" s="25">
        <f>IFERROR(IF(J21*T21&lt;&gt;0,J21-T21,""),"")</f>
        <v>21</v>
      </c>
      <c r="V21" s="25" t="str">
        <f>IF(U21&lt;&gt;"",IF(U21&gt;28,"Too early",IF(U21&lt;14,"Too late","")),"")</f>
        <v/>
      </c>
      <c r="W21" s="35"/>
      <c r="X21" s="26">
        <f ca="1">IF(OFFSET(X21,1,0)="",R21,OFFSET(X21,1,0))</f>
        <v>46461</v>
      </c>
      <c r="Y21" s="26">
        <f ca="1">IF(OFFSET(Y21,1,0)="",X21+'Shipping Program'!$F$9,OFFSET(Y21,1,0))</f>
        <v>46491</v>
      </c>
      <c r="Z21" s="26">
        <f ca="1">IF(OFFSET(Z21,1,0)="",Y21+'Shipping Program'!$H$9,OFFSET(Z21,1,0))</f>
        <v>46498</v>
      </c>
      <c r="AA21" s="27">
        <f ca="1">IFERROR(IF(J21*Z21&lt;&gt;0,J21-Z21,""),"")</f>
        <v>21</v>
      </c>
      <c r="AB21" s="27" t="str">
        <f ca="1">IF(AA21&lt;&gt;"",IF(AA21&gt;28,"Too early",IF(AA21&lt;14,"Too late","")),"")</f>
        <v/>
      </c>
      <c r="AC21" s="46"/>
      <c r="AD21" s="57"/>
      <c r="AE21" s="80" t="s">
        <v>43</v>
      </c>
      <c r="AF21" s="80" t="s">
        <v>41</v>
      </c>
      <c r="AG21" s="80" t="s">
        <v>45</v>
      </c>
      <c r="AH21" s="80" t="str">
        <f>IF(AI21="","",AI21*AJ21*AK21/1000/1000/1000)</f>
        <v/>
      </c>
      <c r="AI21" s="80"/>
      <c r="AJ21" s="80"/>
      <c r="AK21" s="80"/>
      <c r="AL21" s="57"/>
      <c r="AM21" s="57"/>
    </row>
    <row r="22" spans="1:39" s="68" customFormat="1" ht="20.100000000000001" customHeight="1" outlineLevel="1">
      <c r="A22" s="33">
        <f ca="1">COUNTIF(J$3:OFFSET(J22,-1,0),"Subtotal:")+1</f>
        <v>3</v>
      </c>
      <c r="B22" s="23" t="str">
        <f ca="1">IF(OFFSET(B22,1,0)&lt;&gt;"",OFFSET(B22,1,0),"")</f>
        <v/>
      </c>
      <c r="C22" s="42"/>
      <c r="D22" s="59" t="s">
        <v>44</v>
      </c>
      <c r="E22" s="60" t="str">
        <f>LEFT(F22,3)</f>
        <v>#02</v>
      </c>
      <c r="F22" s="59" t="s">
        <v>179</v>
      </c>
      <c r="G22" s="59" t="s">
        <v>3895</v>
      </c>
      <c r="H22" s="60"/>
      <c r="I22" s="24">
        <f>IF(J22&lt;&gt;"",J22 - ('Shipping Program'!$D$9 + 'Shipping Program'!$F$9 + 'Shipping Program'!$H$9), "")</f>
        <v>46471</v>
      </c>
      <c r="J22" s="43">
        <v>46518</v>
      </c>
      <c r="K22" s="44" t="str">
        <f>IF(SUM(M22:N22)=0,"",SUM(M22:N22))</f>
        <v/>
      </c>
      <c r="L22" s="44"/>
      <c r="M22" s="44"/>
      <c r="N22" s="54"/>
      <c r="O22" s="25">
        <f>VLOOKUP(I22,'Shipping Program'!$A$32:$B$78,2)-1</f>
        <v>3</v>
      </c>
      <c r="P22" s="44">
        <f>O22</f>
        <v>3</v>
      </c>
      <c r="Q22" s="24">
        <f>R22-7</f>
        <v>46454</v>
      </c>
      <c r="R22" s="24">
        <f>IFERROR(_xlfn.XLOOKUP(P22,'Shipping Program'!$B$32:$B$78,'Shipping Program'!$A$32:$A$78),IFERROR(INDEX(_V7Batches!$B:$B,MATCH(P22&amp;"",_V7Batches!$A:$A,0)),""))</f>
        <v>46461</v>
      </c>
      <c r="S22" s="24">
        <f>IFERROR(_xlfn.XLOOKUP(P22,'Shipping Program'!$B$32:$B$78,'Shipping Program'!$E$32:$E$78),IFERROR(INDEX(_V7Batches!$D:$D,MATCH(P22&amp;"",_V7Batches!$A:$A,0)),""))</f>
        <v>46491</v>
      </c>
      <c r="T22" s="24">
        <f>S22+'Shipping Program'!$H$9</f>
        <v>46498</v>
      </c>
      <c r="U22" s="25">
        <f>IFERROR(IF(J22*T22&lt;&gt;0,J22-T22,""),"")</f>
        <v>20</v>
      </c>
      <c r="V22" s="25" t="str">
        <f>IF(U22&lt;&gt;"",IF(U22&gt;28,"Too early",IF(U22&lt;14,"Too late","")),"")</f>
        <v/>
      </c>
      <c r="W22" s="35"/>
      <c r="X22" s="26">
        <f ca="1">IF(OFFSET(X22,1,0)="",R22,OFFSET(X22,1,0))</f>
        <v>46461</v>
      </c>
      <c r="Y22" s="26">
        <f ca="1">IF(OFFSET(Y22,1,0)="",X22+'Shipping Program'!$F$9,OFFSET(Y22,1,0))</f>
        <v>46491</v>
      </c>
      <c r="Z22" s="26">
        <f ca="1">IF(OFFSET(Z22,1,0)="",Y22+'Shipping Program'!$H$9,OFFSET(Z22,1,0))</f>
        <v>46498</v>
      </c>
      <c r="AA22" s="27">
        <f ca="1">IFERROR(IF(J22*Z22&lt;&gt;0,J22-Z22,""),"")</f>
        <v>20</v>
      </c>
      <c r="AB22" s="27" t="str">
        <f ca="1">IF(AA22&lt;&gt;"",IF(AA22&gt;28,"Too early",IF(AA22&lt;14,"Too late","")),"")</f>
        <v/>
      </c>
      <c r="AC22" s="46"/>
      <c r="AD22" s="57"/>
      <c r="AE22" s="80" t="s">
        <v>43</v>
      </c>
      <c r="AF22" s="80" t="s">
        <v>41</v>
      </c>
      <c r="AG22" s="80" t="s">
        <v>45</v>
      </c>
      <c r="AH22" s="80" t="str">
        <f>IF(AI22="","",AI22*AJ22*AK22/1000/1000/1000)</f>
        <v/>
      </c>
      <c r="AI22" s="80"/>
      <c r="AJ22" s="80"/>
      <c r="AK22" s="80"/>
      <c r="AL22" s="57"/>
      <c r="AM22" s="57"/>
    </row>
    <row r="23" spans="1:39" ht="20.100000000000001" customHeight="1" outlineLevel="1">
      <c r="A23" s="33">
        <f ca="1">COUNTIF(J$3:OFFSET(J23,-1,0),"Subtotal:")+1</f>
        <v>3</v>
      </c>
      <c r="B23" s="23" t="str">
        <f ca="1">IF(OFFSET(B23,1,0)&lt;&gt;"",OFFSET(B23,1,0),"")</f>
        <v/>
      </c>
      <c r="C23" s="42"/>
      <c r="D23" s="59" t="s">
        <v>44</v>
      </c>
      <c r="E23" s="60" t="str">
        <f>LEFT(F23,3)</f>
        <v>#02</v>
      </c>
      <c r="F23" s="59" t="s">
        <v>179</v>
      </c>
      <c r="G23" s="59" t="s">
        <v>3896</v>
      </c>
      <c r="H23" s="60"/>
      <c r="I23" s="24">
        <f>IF(J23&lt;&gt;"",J23 - ('Shipping Program'!$D$9 + 'Shipping Program'!$F$9 + 'Shipping Program'!$H$9), "")</f>
        <v>46468</v>
      </c>
      <c r="J23" s="43">
        <v>46515</v>
      </c>
      <c r="K23" s="44" t="str">
        <f>IF(SUM(M23:N23)=0,"",SUM(M23:N23))</f>
        <v/>
      </c>
      <c r="L23" s="44"/>
      <c r="M23" s="44"/>
      <c r="N23" s="54"/>
      <c r="O23" s="25">
        <f>VLOOKUP(I23,'Shipping Program'!$A$32:$B$78,2)-1</f>
        <v>3</v>
      </c>
      <c r="P23" s="149">
        <f>O23</f>
        <v>3</v>
      </c>
      <c r="Q23" s="24">
        <f>R23-7</f>
        <v>46454</v>
      </c>
      <c r="R23" s="24">
        <f>IFERROR(_xlfn.XLOOKUP(P23,'Shipping Program'!$B$32:$B$78,'Shipping Program'!$A$32:$A$78),IFERROR(INDEX(_V7Batches!$B:$B,MATCH(P23&amp;"",_V7Batches!$A:$A,0)),""))</f>
        <v>46461</v>
      </c>
      <c r="S23" s="24">
        <f>IFERROR(_xlfn.XLOOKUP(P23,'Shipping Program'!$B$32:$B$78,'Shipping Program'!$E$32:$E$78),IFERROR(INDEX(_V7Batches!$D:$D,MATCH(P23&amp;"",_V7Batches!$A:$A,0)),""))</f>
        <v>46491</v>
      </c>
      <c r="T23" s="24">
        <f>S23+'Shipping Program'!$H$9</f>
        <v>46498</v>
      </c>
      <c r="U23" s="25">
        <f>IFERROR(IF(J23*T23&lt;&gt;0,J23-T23,""),"")</f>
        <v>17</v>
      </c>
      <c r="V23" s="25" t="str">
        <f>IF(U23&lt;&gt;"",IF(U23&gt;28,"Too early",IF(U23&lt;14,"Too late","")),"")</f>
        <v/>
      </c>
      <c r="W23" s="35"/>
      <c r="X23" s="26">
        <f ca="1">IF(OFFSET(X23,1,0)="",R23,OFFSET(X23,1,0))</f>
        <v>46461</v>
      </c>
      <c r="Y23" s="26">
        <f ca="1">IF(OFFSET(Y23,1,0)="",X23+'Shipping Program'!$F$9,OFFSET(Y23,1,0))</f>
        <v>46491</v>
      </c>
      <c r="Z23" s="26">
        <f ca="1">IF(OFFSET(Z23,1,0)="",Y23+'Shipping Program'!$H$9,OFFSET(Z23,1,0))</f>
        <v>46498</v>
      </c>
      <c r="AA23" s="27">
        <f ca="1">IFERROR(IF(J23*Z23&lt;&gt;0,J23-Z23,""),"")</f>
        <v>17</v>
      </c>
      <c r="AB23" s="27" t="str">
        <f ca="1">IF(AA23&lt;&gt;"",IF(AA23&gt;28,"Too early",IF(AA23&lt;14,"Too late","")),"")</f>
        <v/>
      </c>
      <c r="AC23" s="46"/>
      <c r="AE23" s="80" t="s">
        <v>43</v>
      </c>
      <c r="AF23" s="80" t="s">
        <v>41</v>
      </c>
      <c r="AG23" s="80" t="s">
        <v>45</v>
      </c>
      <c r="AH23" s="80" t="str">
        <f>IF(AI23="","",AI23*AJ23*AK23/1000/1000/1000)</f>
        <v/>
      </c>
      <c r="AI23" s="80"/>
      <c r="AJ23" s="80"/>
      <c r="AK23" s="80"/>
    </row>
    <row r="24" spans="1:39" ht="20.100000000000001" customHeight="1" outlineLevel="1">
      <c r="A24" s="33">
        <f ca="1">COUNTIF(J$3:OFFSET(J24,-1,0),"Subtotal:")+1</f>
        <v>3</v>
      </c>
      <c r="B24" s="23" t="str">
        <f ca="1">IF(OFFSET(B24,1,0)&lt;&gt;"",OFFSET(B24,1,0),"")</f>
        <v/>
      </c>
      <c r="C24" s="42"/>
      <c r="D24" s="59" t="s">
        <v>62</v>
      </c>
      <c r="E24" s="60" t="str">
        <f>LEFT(F24,3)</f>
        <v>#04</v>
      </c>
      <c r="F24" s="59" t="s">
        <v>209</v>
      </c>
      <c r="G24" s="59" t="s">
        <v>213</v>
      </c>
      <c r="H24" s="60"/>
      <c r="I24" s="24">
        <f>IF(J24&lt;&gt;"",J24 - ('Shipping Program'!$D$9 + 'Shipping Program'!$F$9 + 'Shipping Program'!$H$9), "")</f>
        <v>46474</v>
      </c>
      <c r="J24" s="43">
        <v>46521</v>
      </c>
      <c r="K24" s="44" t="str">
        <f>IF(SUM(M24:N24)=0,"",SUM(M24:N24))</f>
        <v/>
      </c>
      <c r="L24" s="44"/>
      <c r="M24" s="44"/>
      <c r="N24" s="54"/>
      <c r="O24" s="25">
        <f>VLOOKUP(I24,'Shipping Program'!$A$32:$B$78,2)-1</f>
        <v>3</v>
      </c>
      <c r="P24" s="44">
        <f>O24</f>
        <v>3</v>
      </c>
      <c r="Q24" s="24">
        <f>R24-7</f>
        <v>46454</v>
      </c>
      <c r="R24" s="24">
        <f>IFERROR(_xlfn.XLOOKUP(P24,'Shipping Program'!$B$32:$B$78,'Shipping Program'!$A$32:$A$78),IFERROR(INDEX(_V7Batches!$B:$B,MATCH(P24&amp;"",_V7Batches!$A:$A,0)),""))</f>
        <v>46461</v>
      </c>
      <c r="S24" s="24">
        <f>IFERROR(_xlfn.XLOOKUP(P24,'Shipping Program'!$B$32:$B$78,'Shipping Program'!$E$32:$E$78),IFERROR(INDEX(_V7Batches!$D:$D,MATCH(P24&amp;"",_V7Batches!$A:$A,0)),""))</f>
        <v>46491</v>
      </c>
      <c r="T24" s="24">
        <f>S24+'Shipping Program'!$H$9</f>
        <v>46498</v>
      </c>
      <c r="U24" s="25">
        <f>IFERROR(IF(J24*T24&lt;&gt;0,J24-T24,""),"")</f>
        <v>23</v>
      </c>
      <c r="V24" s="25" t="str">
        <f>IF(U24&lt;&gt;"",IF(U24&gt;28,"Too early",IF(U24&lt;14,"Too late","")),"")</f>
        <v/>
      </c>
      <c r="W24" s="35"/>
      <c r="X24" s="26">
        <f ca="1">IF(OFFSET(X24,1,0)="",R24,OFFSET(X24,1,0))</f>
        <v>46461</v>
      </c>
      <c r="Y24" s="26">
        <f ca="1">IF(OFFSET(Y24,1,0)="",X24+'Shipping Program'!$F$9,OFFSET(Y24,1,0))</f>
        <v>46491</v>
      </c>
      <c r="Z24" s="26">
        <f ca="1">IF(OFFSET(Z24,1,0)="",Y24+'Shipping Program'!$H$9,OFFSET(Z24,1,0))</f>
        <v>46498</v>
      </c>
      <c r="AA24" s="27">
        <f ca="1">IFERROR(IF(J24*Z24&lt;&gt;0,J24-Z24,""),"")</f>
        <v>23</v>
      </c>
      <c r="AB24" s="27" t="str">
        <f ca="1">IF(AA24&lt;&gt;"",IF(AA24&gt;28,"Too early",IF(AA24&lt;14,"Too late","")),"")</f>
        <v/>
      </c>
      <c r="AC24" s="46"/>
      <c r="AE24" s="80" t="s">
        <v>43</v>
      </c>
      <c r="AF24" s="80" t="s">
        <v>41</v>
      </c>
      <c r="AG24" s="80" t="s">
        <v>63</v>
      </c>
      <c r="AH24" s="80" t="str">
        <f>IF(AI24="","",AI24*AJ24*AK24/1000/1000/1000)</f>
        <v/>
      </c>
      <c r="AI24" s="80"/>
      <c r="AJ24" s="80"/>
      <c r="AK24" s="80"/>
    </row>
    <row r="25" spans="1:39" ht="20.100000000000001" customHeight="1" outlineLevel="1">
      <c r="A25" s="33">
        <f ca="1">COUNTIF(J$3:OFFSET(J25,-1,0),"Subtotal:")+1</f>
        <v>3</v>
      </c>
      <c r="B25" s="23" t="str">
        <f ca="1">IF(OFFSET(B25,1,0)&lt;&gt;"",OFFSET(B25,1,0),"")</f>
        <v/>
      </c>
      <c r="C25" s="42"/>
      <c r="D25" s="59" t="s">
        <v>62</v>
      </c>
      <c r="E25" s="60" t="str">
        <f>LEFT(F25,3)</f>
        <v>#04</v>
      </c>
      <c r="F25" s="59" t="s">
        <v>209</v>
      </c>
      <c r="G25" s="59" t="s">
        <v>214</v>
      </c>
      <c r="H25" s="60"/>
      <c r="I25" s="24">
        <f>IF(J25&lt;&gt;"",J25 - ('Shipping Program'!$D$9 + 'Shipping Program'!$F$9 + 'Shipping Program'!$H$9), "")</f>
        <v>46471</v>
      </c>
      <c r="J25" s="43">
        <v>46518</v>
      </c>
      <c r="K25" s="44" t="str">
        <f>IF(SUM(M25:N25)=0,"",SUM(M25:N25))</f>
        <v/>
      </c>
      <c r="L25" s="44"/>
      <c r="M25" s="44"/>
      <c r="N25" s="54"/>
      <c r="O25" s="25">
        <f>VLOOKUP(I25,'Shipping Program'!$A$32:$B$78,2)-1</f>
        <v>3</v>
      </c>
      <c r="P25" s="44">
        <f>O25</f>
        <v>3</v>
      </c>
      <c r="Q25" s="24">
        <f>R25-7</f>
        <v>46454</v>
      </c>
      <c r="R25" s="24">
        <f>IFERROR(_xlfn.XLOOKUP(P25,'Shipping Program'!$B$32:$B$78,'Shipping Program'!$A$32:$A$78),IFERROR(INDEX(_V7Batches!$B:$B,MATCH(P25&amp;"",_V7Batches!$A:$A,0)),""))</f>
        <v>46461</v>
      </c>
      <c r="S25" s="24">
        <f>IFERROR(_xlfn.XLOOKUP(P25,'Shipping Program'!$B$32:$B$78,'Shipping Program'!$E$32:$E$78),IFERROR(INDEX(_V7Batches!$D:$D,MATCH(P25&amp;"",_V7Batches!$A:$A,0)),""))</f>
        <v>46491</v>
      </c>
      <c r="T25" s="24">
        <f>S25+'Shipping Program'!$H$9</f>
        <v>46498</v>
      </c>
      <c r="U25" s="25">
        <f>IFERROR(IF(J25*T25&lt;&gt;0,J25-T25,""),"")</f>
        <v>20</v>
      </c>
      <c r="V25" s="25" t="str">
        <f>IF(U25&lt;&gt;"",IF(U25&gt;28,"Too early",IF(U25&lt;14,"Too late","")),"")</f>
        <v/>
      </c>
      <c r="W25" s="35"/>
      <c r="X25" s="26">
        <f ca="1">IF(OFFSET(X25,1,0)="",R25,OFFSET(X25,1,0))</f>
        <v>46461</v>
      </c>
      <c r="Y25" s="26">
        <f ca="1">IF(OFFSET(Y25,1,0)="",X25+'Shipping Program'!$F$9,OFFSET(Y25,1,0))</f>
        <v>46491</v>
      </c>
      <c r="Z25" s="26">
        <f ca="1">IF(OFFSET(Z25,1,0)="",Y25+'Shipping Program'!$H$9,OFFSET(Z25,1,0))</f>
        <v>46498</v>
      </c>
      <c r="AA25" s="27">
        <f ca="1">IFERROR(IF(J25*Z25&lt;&gt;0,J25-Z25,""),"")</f>
        <v>20</v>
      </c>
      <c r="AB25" s="27" t="str">
        <f ca="1">IF(AA25&lt;&gt;"",IF(AA25&gt;28,"Too early",IF(AA25&lt;14,"Too late","")),"")</f>
        <v/>
      </c>
      <c r="AC25" s="46"/>
      <c r="AE25" s="80" t="s">
        <v>43</v>
      </c>
      <c r="AF25" s="80" t="s">
        <v>41</v>
      </c>
      <c r="AG25" s="80" t="s">
        <v>63</v>
      </c>
      <c r="AH25" s="80" t="str">
        <f>IF(AI25="","",AI25*AJ25*AK25/1000/1000/1000)</f>
        <v/>
      </c>
      <c r="AI25" s="80"/>
      <c r="AJ25" s="80"/>
      <c r="AK25" s="80"/>
    </row>
    <row r="26" spans="1:39" ht="20.100000000000001" customHeight="1" outlineLevel="1">
      <c r="A26" s="33">
        <f ca="1">COUNTIF(J$3:OFFSET(J26,-1,0),"Subtotal:")+1</f>
        <v>3</v>
      </c>
      <c r="B26" s="23" t="str">
        <f ca="1">IF(OFFSET(B26,1,0)&lt;&gt;"",OFFSET(B26,1,0),"")</f>
        <v/>
      </c>
      <c r="C26" s="43"/>
      <c r="D26" s="59" t="s">
        <v>68</v>
      </c>
      <c r="E26" s="60" t="str">
        <f>LEFT(F26,3)</f>
        <v>#01</v>
      </c>
      <c r="F26" s="59" t="s">
        <v>175</v>
      </c>
      <c r="G26" s="59" t="s">
        <v>180</v>
      </c>
      <c r="H26" s="60"/>
      <c r="I26" s="24">
        <f>IF(J26&lt;&gt;"",J26 - ('Shipping Program'!$D$9 + 'Shipping Program'!$F$9 + 'Shipping Program'!$H$9), "")</f>
        <v>46468</v>
      </c>
      <c r="J26" s="43">
        <v>46515</v>
      </c>
      <c r="K26" s="44" t="str">
        <f>IF(SUM(M26:N26)=0,"",SUM(M26:N26))</f>
        <v/>
      </c>
      <c r="L26" s="44"/>
      <c r="M26" s="44"/>
      <c r="N26" s="54"/>
      <c r="O26" s="25">
        <f>VLOOKUP(I26,'Shipping Program'!$A$32:$B$78,2)-1</f>
        <v>3</v>
      </c>
      <c r="P26" s="232">
        <f>O26</f>
        <v>3</v>
      </c>
      <c r="Q26" s="24">
        <f>R26-7</f>
        <v>46454</v>
      </c>
      <c r="R26" s="24">
        <f>IFERROR(_xlfn.XLOOKUP(P26,'Shipping Program'!$B$32:$B$78,'Shipping Program'!$A$32:$A$78),IFERROR(INDEX(_V7Batches!$B:$B,MATCH(P26&amp;"",_V7Batches!$A:$A,0)),""))</f>
        <v>46461</v>
      </c>
      <c r="S26" s="24">
        <f>IFERROR(_xlfn.XLOOKUP(P26,'Shipping Program'!$B$32:$B$78,'Shipping Program'!$E$32:$E$78),IFERROR(INDEX(_V7Batches!$D:$D,MATCH(P26&amp;"",_V7Batches!$A:$A,0)),""))</f>
        <v>46491</v>
      </c>
      <c r="T26" s="24">
        <f>S26+'Shipping Program'!$H$9</f>
        <v>46498</v>
      </c>
      <c r="U26" s="25">
        <f>IFERROR(IF(J26*T26&lt;&gt;0,J26-T26,""),"")</f>
        <v>17</v>
      </c>
      <c r="V26" s="25" t="str">
        <f>IF(U26&lt;&gt;"",IF(U26&gt;28,"Too early",IF(U26&lt;14,"Too late","")),"")</f>
        <v/>
      </c>
      <c r="W26" s="35"/>
      <c r="X26" s="26">
        <f ca="1">IF(OFFSET(X26,1,0)="",R26,OFFSET(X26,1,0))</f>
        <v>46461</v>
      </c>
      <c r="Y26" s="26">
        <f ca="1">IF(OFFSET(Y26,1,0)="",X26+'Shipping Program'!$F$9,OFFSET(Y26,1,0))</f>
        <v>46491</v>
      </c>
      <c r="Z26" s="26">
        <f ca="1">IF(OFFSET(Z26,1,0)="",Y26+'Shipping Program'!$H$9,OFFSET(Z26,1,0))</f>
        <v>46498</v>
      </c>
      <c r="AA26" s="27">
        <f ca="1">IFERROR(IF(J26*Z26&lt;&gt;0,J26-Z26,""),"")</f>
        <v>17</v>
      </c>
      <c r="AB26" s="27" t="str">
        <f ca="1">IF(AA26&lt;&gt;"",IF(AA26&gt;28,"Too early",IF(AA26&lt;14,"Too late","")),"")</f>
        <v/>
      </c>
      <c r="AC26" s="46"/>
      <c r="AE26" s="80" t="s">
        <v>43</v>
      </c>
      <c r="AF26" s="80" t="s">
        <v>41</v>
      </c>
      <c r="AG26" s="80" t="s">
        <v>42</v>
      </c>
      <c r="AH26" s="80" t="str">
        <f>IF(AI26="","",AI26*AJ26*AK26/1000/1000/1000)</f>
        <v/>
      </c>
      <c r="AI26" s="80"/>
      <c r="AJ26" s="80"/>
      <c r="AK26" s="80"/>
    </row>
    <row r="27" spans="1:39" ht="20.100000000000001" customHeight="1" outlineLevel="1">
      <c r="A27" s="33">
        <f ca="1">COUNTIF(J$3:OFFSET(J27,-1,0),"Subtotal:")+1</f>
        <v>3</v>
      </c>
      <c r="B27" s="23" t="str">
        <f ca="1">IF(OFFSET(B27,1,0)&lt;&gt;"",OFFSET(B27,1,0),"")</f>
        <v/>
      </c>
      <c r="C27" s="42"/>
      <c r="D27" s="59" t="s">
        <v>47</v>
      </c>
      <c r="E27" s="60" t="str">
        <f>LEFT(F27,3)</f>
        <v>#01</v>
      </c>
      <c r="F27" s="59" t="s">
        <v>175</v>
      </c>
      <c r="G27" s="59" t="s">
        <v>181</v>
      </c>
      <c r="H27" s="60"/>
      <c r="I27" s="24">
        <f>IF(J27&lt;&gt;"",J27 - ('Shipping Program'!$D$9 + 'Shipping Program'!$F$9 + 'Shipping Program'!$H$9), "")</f>
        <v>46473</v>
      </c>
      <c r="J27" s="43">
        <v>46520</v>
      </c>
      <c r="K27" s="44" t="str">
        <f>IF(SUM(M27:N27)=0,"",SUM(M27:N27))</f>
        <v/>
      </c>
      <c r="L27" s="44"/>
      <c r="M27" s="44"/>
      <c r="N27" s="54"/>
      <c r="O27" s="25">
        <f>VLOOKUP(I27,'Shipping Program'!$A$32:$B$78,2)-1</f>
        <v>3</v>
      </c>
      <c r="P27" s="149">
        <f>O27</f>
        <v>3</v>
      </c>
      <c r="Q27" s="24">
        <f>R27-7</f>
        <v>46454</v>
      </c>
      <c r="R27" s="24">
        <f>IFERROR(_xlfn.XLOOKUP(P27,'Shipping Program'!$B$32:$B$78,'Shipping Program'!$A$32:$A$78),IFERROR(INDEX(_V7Batches!$B:$B,MATCH(P27&amp;"",_V7Batches!$A:$A,0)),""))</f>
        <v>46461</v>
      </c>
      <c r="S27" s="24">
        <f>IFERROR(_xlfn.XLOOKUP(P27,'Shipping Program'!$B$32:$B$78,'Shipping Program'!$E$32:$E$78),IFERROR(INDEX(_V7Batches!$D:$D,MATCH(P27&amp;"",_V7Batches!$A:$A,0)),""))</f>
        <v>46491</v>
      </c>
      <c r="T27" s="24">
        <f>S27+'Shipping Program'!$H$9</f>
        <v>46498</v>
      </c>
      <c r="U27" s="25">
        <f>IFERROR(IF(J27*T27&lt;&gt;0,J27-T27,""),"")</f>
        <v>22</v>
      </c>
      <c r="V27" s="25" t="str">
        <f>IF(U27&lt;&gt;"",IF(U27&gt;28,"Too early",IF(U27&lt;14,"Too late","")),"")</f>
        <v/>
      </c>
      <c r="W27" s="35"/>
      <c r="X27" s="26">
        <f ca="1">IF(OFFSET(X27,1,0)="",R27,OFFSET(X27,1,0))</f>
        <v>46461</v>
      </c>
      <c r="Y27" s="26">
        <f ca="1">IF(OFFSET(Y27,1,0)="",X27+'Shipping Program'!$F$9,OFFSET(Y27,1,0))</f>
        <v>46491</v>
      </c>
      <c r="Z27" s="26">
        <f ca="1">IF(OFFSET(Z27,1,0)="",Y27+'Shipping Program'!$H$9,OFFSET(Z27,1,0))</f>
        <v>46498</v>
      </c>
      <c r="AA27" s="27">
        <f ca="1">IFERROR(IF(J27*Z27&lt;&gt;0,J27-Z27,""),"")</f>
        <v>22</v>
      </c>
      <c r="AB27" s="27" t="str">
        <f ca="1">IF(AA27&lt;&gt;"",IF(AA27&gt;28,"Too early",IF(AA27&lt;14,"Too late","")),"")</f>
        <v/>
      </c>
      <c r="AC27" s="46"/>
      <c r="AE27" s="80" t="s">
        <v>43</v>
      </c>
      <c r="AF27" s="80" t="s">
        <v>41</v>
      </c>
      <c r="AG27" s="80" t="s">
        <v>42</v>
      </c>
      <c r="AH27" s="80" t="str">
        <f>IF(AI27="","",AI27*AJ27*AK27/1000/1000/1000)</f>
        <v/>
      </c>
      <c r="AI27" s="80"/>
      <c r="AJ27" s="80"/>
      <c r="AK27" s="80"/>
    </row>
    <row r="28" spans="1:39" ht="20.100000000000001" customHeight="1" outlineLevel="1">
      <c r="A28" s="33">
        <f ca="1">COUNTIF(J$3:OFFSET(J28,-1,0),"Subtotal:")+1</f>
        <v>3</v>
      </c>
      <c r="B28" s="23" t="str">
        <f ca="1">IF(OFFSET(B28,1,0)&lt;&gt;"",OFFSET(B28,1,0),"")</f>
        <v/>
      </c>
      <c r="C28" s="42"/>
      <c r="D28" s="59" t="s">
        <v>70</v>
      </c>
      <c r="E28" s="60" t="str">
        <f>LEFT(F28,3)</f>
        <v>#01</v>
      </c>
      <c r="F28" s="59" t="s">
        <v>177</v>
      </c>
      <c r="G28" s="59" t="s">
        <v>190</v>
      </c>
      <c r="H28" s="60"/>
      <c r="I28" s="24">
        <f>IF(J28&lt;&gt;"",J28 - ('Shipping Program'!$D$9 + 'Shipping Program'!$F$9 + 'Shipping Program'!$H$9), "")</f>
        <v>46474</v>
      </c>
      <c r="J28" s="43">
        <v>46521</v>
      </c>
      <c r="K28" s="44" t="str">
        <f>IF(SUM(M28:N28)=0,"",SUM(M28:N28))</f>
        <v/>
      </c>
      <c r="L28" s="44"/>
      <c r="M28" s="44"/>
      <c r="N28" s="54"/>
      <c r="O28" s="25">
        <f>VLOOKUP(I28,'Shipping Program'!$A$32:$B$78,2)-1</f>
        <v>3</v>
      </c>
      <c r="P28" s="44">
        <f>O28</f>
        <v>3</v>
      </c>
      <c r="Q28" s="24">
        <f>R28-7</f>
        <v>46454</v>
      </c>
      <c r="R28" s="24">
        <f>IFERROR(_xlfn.XLOOKUP(P28,'Shipping Program'!$B$32:$B$78,'Shipping Program'!$A$32:$A$78),IFERROR(INDEX(_V7Batches!$B:$B,MATCH(P28&amp;"",_V7Batches!$A:$A,0)),""))</f>
        <v>46461</v>
      </c>
      <c r="S28" s="24">
        <f>IFERROR(_xlfn.XLOOKUP(P28,'Shipping Program'!$B$32:$B$78,'Shipping Program'!$E$32:$E$78),IFERROR(INDEX(_V7Batches!$D:$D,MATCH(P28&amp;"",_V7Batches!$A:$A,0)),""))</f>
        <v>46491</v>
      </c>
      <c r="T28" s="24">
        <f>S28+'Shipping Program'!$H$9</f>
        <v>46498</v>
      </c>
      <c r="U28" s="25">
        <f>IFERROR(IF(J28*T28&lt;&gt;0,J28-T28,""),"")</f>
        <v>23</v>
      </c>
      <c r="V28" s="25" t="str">
        <f>IF(U28&lt;&gt;"",IF(U28&gt;28,"Too early",IF(U28&lt;14,"Too late","")),"")</f>
        <v/>
      </c>
      <c r="W28" s="35"/>
      <c r="X28" s="26">
        <f ca="1">IF(OFFSET(X28,1,0)="",R28,OFFSET(X28,1,0))</f>
        <v>46461</v>
      </c>
      <c r="Y28" s="26">
        <f ca="1">IF(OFFSET(Y28,1,0)="",X28+'Shipping Program'!$F$9,OFFSET(Y28,1,0))</f>
        <v>46491</v>
      </c>
      <c r="Z28" s="26">
        <f ca="1">IF(OFFSET(Z28,1,0)="",Y28+'Shipping Program'!$H$9,OFFSET(Z28,1,0))</f>
        <v>46498</v>
      </c>
      <c r="AA28" s="27">
        <f ca="1">IFERROR(IF(J28*Z28&lt;&gt;0,J28-Z28,""),"")</f>
        <v>23</v>
      </c>
      <c r="AB28" s="27" t="str">
        <f ca="1">IF(AA28&lt;&gt;"",IF(AA28&gt;28,"Too early",IF(AA28&lt;14,"Too late","")),"")</f>
        <v/>
      </c>
      <c r="AC28" s="46"/>
      <c r="AE28" s="80" t="s">
        <v>43</v>
      </c>
      <c r="AF28" s="80" t="s">
        <v>41</v>
      </c>
      <c r="AG28" s="80" t="s">
        <v>63</v>
      </c>
      <c r="AH28" s="80" t="str">
        <f>IF(AI28="","",AI28*AJ28*AK28/1000/1000/1000)</f>
        <v/>
      </c>
      <c r="AI28" s="80"/>
      <c r="AJ28" s="80"/>
      <c r="AK28" s="80"/>
    </row>
    <row r="29" spans="1:39" ht="20.100000000000001" customHeight="1" outlineLevel="1">
      <c r="A29" s="33">
        <f ca="1">COUNTIF(J$3:OFFSET(J29,-1,0),"Subtotal:")+1</f>
        <v>3</v>
      </c>
      <c r="B29" s="23" t="str">
        <f ca="1">IF(OFFSET(B29,1,0)&lt;&gt;"",OFFSET(B29,1,0),"")</f>
        <v/>
      </c>
      <c r="C29" s="43"/>
      <c r="D29" s="59" t="s">
        <v>38</v>
      </c>
      <c r="E29" s="60" t="str">
        <f>LEFT(F29,3)</f>
        <v>#09</v>
      </c>
      <c r="F29" s="59" t="s">
        <v>154</v>
      </c>
      <c r="G29" s="59" t="s">
        <v>168</v>
      </c>
      <c r="H29" s="60"/>
      <c r="I29" s="24">
        <f>IF(J29&lt;&gt;"",J29 - ('Shipping Program'!$D$9 + 'Shipping Program'!$F$9 + 'Shipping Program'!$H$9), "")</f>
        <v>46473</v>
      </c>
      <c r="J29" s="43">
        <v>46520</v>
      </c>
      <c r="K29" s="44" t="str">
        <f>IF(SUM(M29:N29)=0,"",SUM(M29:N29))</f>
        <v/>
      </c>
      <c r="L29" s="44"/>
      <c r="M29" s="44"/>
      <c r="N29" s="54"/>
      <c r="O29" s="25">
        <f>VLOOKUP(I29,'Shipping Program'!$A$32:$B$78,2)-1</f>
        <v>3</v>
      </c>
      <c r="P29" s="44">
        <f>O29</f>
        <v>3</v>
      </c>
      <c r="Q29" s="24">
        <f>R29-7</f>
        <v>46454</v>
      </c>
      <c r="R29" s="24">
        <f>IFERROR(_xlfn.XLOOKUP(P29,'Shipping Program'!$B$32:$B$78,'Shipping Program'!$A$32:$A$78),IFERROR(INDEX(_V7Batches!$B:$B,MATCH(P29&amp;"",_V7Batches!$A:$A,0)),""))</f>
        <v>46461</v>
      </c>
      <c r="S29" s="24">
        <f>IFERROR(_xlfn.XLOOKUP(P29,'Shipping Program'!$B$32:$B$78,'Shipping Program'!$E$32:$E$78),IFERROR(INDEX(_V7Batches!$D:$D,MATCH(P29&amp;"",_V7Batches!$A:$A,0)),""))</f>
        <v>46491</v>
      </c>
      <c r="T29" s="24">
        <f>S29+'Shipping Program'!$H$9</f>
        <v>46498</v>
      </c>
      <c r="U29" s="25">
        <f>IFERROR(IF(J29*T29&lt;&gt;0,J29-T29,""),"")</f>
        <v>22</v>
      </c>
      <c r="V29" s="25" t="str">
        <f>IF(U29&lt;&gt;"",IF(U29&gt;28,"Too early",IF(U29&lt;14,"Too late","")),"")</f>
        <v/>
      </c>
      <c r="W29" s="35"/>
      <c r="X29" s="26">
        <f ca="1">IF(OFFSET(X29,1,0)="",R29,OFFSET(X29,1,0))</f>
        <v>46461</v>
      </c>
      <c r="Y29" s="26">
        <f ca="1">IF(OFFSET(Y29,1,0)="",X29+'Shipping Program'!$F$9,OFFSET(Y29,1,0))</f>
        <v>46491</v>
      </c>
      <c r="Z29" s="26">
        <f ca="1">IF(OFFSET(Z29,1,0)="",Y29+'Shipping Program'!$H$9,OFFSET(Z29,1,0))</f>
        <v>46498</v>
      </c>
      <c r="AA29" s="27">
        <f ca="1">IFERROR(IF(J29*Z29&lt;&gt;0,J29-Z29,""),"")</f>
        <v>22</v>
      </c>
      <c r="AB29" s="27" t="str">
        <f ca="1">IF(AA29&lt;&gt;"",IF(AA29&gt;28,"Too early",IF(AA29&lt;14,"Too late","")),"")</f>
        <v/>
      </c>
      <c r="AC29" s="46"/>
      <c r="AE29" s="80" t="s">
        <v>54</v>
      </c>
      <c r="AF29" s="80"/>
      <c r="AG29" s="80"/>
      <c r="AH29" s="80" t="str">
        <f>IF(AI29="","",AI29*AJ29*AK29/1000/1000/1000)</f>
        <v/>
      </c>
      <c r="AI29" s="80"/>
      <c r="AJ29" s="80"/>
      <c r="AK29" s="80"/>
    </row>
    <row r="30" spans="1:39" ht="20.100000000000001" customHeight="1" outlineLevel="1">
      <c r="A30" s="33">
        <f ca="1">COUNTIF(J$3:OFFSET(J30,-1,0),"Subtotal:")+1</f>
        <v>3</v>
      </c>
      <c r="B30" s="23" t="str">
        <f ca="1">IF(OFFSET(B30,1,0)&lt;&gt;"",OFFSET(B30,1,0),"")</f>
        <v/>
      </c>
      <c r="C30" s="42"/>
      <c r="D30" s="59" t="s">
        <v>38</v>
      </c>
      <c r="E30" s="60" t="str">
        <f>LEFT(F30,3)</f>
        <v>#09</v>
      </c>
      <c r="F30" s="59" t="s">
        <v>154</v>
      </c>
      <c r="G30" s="59" t="s">
        <v>171</v>
      </c>
      <c r="H30" s="60"/>
      <c r="I30" s="24">
        <f>IF(J30&lt;&gt;"",J30 - ('Shipping Program'!$D$9 + 'Shipping Program'!$F$9 + 'Shipping Program'!$H$9), "")</f>
        <v>46470</v>
      </c>
      <c r="J30" s="43">
        <v>46517</v>
      </c>
      <c r="K30" s="44" t="str">
        <f>IF(SUM(M30:N30)=0,"",SUM(M30:N30))</f>
        <v/>
      </c>
      <c r="L30" s="44"/>
      <c r="M30" s="44"/>
      <c r="N30" s="54"/>
      <c r="O30" s="25">
        <f>VLOOKUP(I30,'Shipping Program'!$A$32:$B$78,2)-1</f>
        <v>3</v>
      </c>
      <c r="P30" s="44">
        <f>O30</f>
        <v>3</v>
      </c>
      <c r="Q30" s="24">
        <f>R30-7</f>
        <v>46454</v>
      </c>
      <c r="R30" s="24">
        <f>IFERROR(_xlfn.XLOOKUP(P30,'Shipping Program'!$B$32:$B$78,'Shipping Program'!$A$32:$A$78),IFERROR(INDEX(_V7Batches!$B:$B,MATCH(P30&amp;"",_V7Batches!$A:$A,0)),""))</f>
        <v>46461</v>
      </c>
      <c r="S30" s="24">
        <f>IFERROR(_xlfn.XLOOKUP(P30,'Shipping Program'!$B$32:$B$78,'Shipping Program'!$E$32:$E$78),IFERROR(INDEX(_V7Batches!$D:$D,MATCH(P30&amp;"",_V7Batches!$A:$A,0)),""))</f>
        <v>46491</v>
      </c>
      <c r="T30" s="24">
        <f>S30+'Shipping Program'!$H$9</f>
        <v>46498</v>
      </c>
      <c r="U30" s="25">
        <f>IFERROR(IF(J30*T30&lt;&gt;0,J30-T30,""),"")</f>
        <v>19</v>
      </c>
      <c r="V30" s="25" t="str">
        <f>IF(U30&lt;&gt;"",IF(U30&gt;28,"Too early",IF(U30&lt;14,"Too late","")),"")</f>
        <v/>
      </c>
      <c r="W30" s="35"/>
      <c r="X30" s="26">
        <f ca="1">IF(OFFSET(X30,1,0)="",R30,OFFSET(X30,1,0))</f>
        <v>46461</v>
      </c>
      <c r="Y30" s="26">
        <f ca="1">IF(OFFSET(Y30,1,0)="",X30+'Shipping Program'!$F$9,OFFSET(Y30,1,0))</f>
        <v>46491</v>
      </c>
      <c r="Z30" s="26">
        <f ca="1">IF(OFFSET(Z30,1,0)="",Y30+'Shipping Program'!$H$9,OFFSET(Z30,1,0))</f>
        <v>46498</v>
      </c>
      <c r="AA30" s="27">
        <f ca="1">IFERROR(IF(J30*Z30&lt;&gt;0,J30-Z30,""),"")</f>
        <v>19</v>
      </c>
      <c r="AB30" s="27" t="str">
        <f ca="1">IF(AA30&lt;&gt;"",IF(AA30&gt;28,"Too early",IF(AA30&lt;14,"Too late","")),"")</f>
        <v/>
      </c>
      <c r="AC30" s="46"/>
      <c r="AE30" s="80" t="s">
        <v>54</v>
      </c>
      <c r="AF30" s="80"/>
      <c r="AG30" s="80"/>
      <c r="AH30" s="80" t="str">
        <f>IF(AI30="","",AI30*AJ30*AK30/1000/1000/1000)</f>
        <v/>
      </c>
      <c r="AI30" s="80"/>
      <c r="AJ30" s="80"/>
      <c r="AK30" s="80"/>
    </row>
    <row r="31" spans="1:39" ht="20.100000000000001" customHeight="1" outlineLevel="1">
      <c r="A31" s="33">
        <f ca="1">COUNTIF(J$3:OFFSET(J31,-1,0),"Subtotal:")+1</f>
        <v>3</v>
      </c>
      <c r="B31" s="62" t="str">
        <f ca="1">IF(OFFSET(B31,1,0)&lt;&gt;"",OFFSET(B31,1,0),"")</f>
        <v/>
      </c>
      <c r="C31" s="63"/>
      <c r="D31" s="59" t="s">
        <v>95</v>
      </c>
      <c r="E31" s="60" t="str">
        <f>LEFT(F31,3)</f>
        <v>#06</v>
      </c>
      <c r="F31" s="59" t="s">
        <v>224</v>
      </c>
      <c r="G31" s="59" t="s">
        <v>244</v>
      </c>
      <c r="H31" s="60"/>
      <c r="I31" s="24">
        <f>IF(J31&lt;&gt;"",J31 - ('Shipping Program'!$D$9 + 'Shipping Program'!$F$9 + 'Shipping Program'!$H$9), "")</f>
        <v>46473</v>
      </c>
      <c r="J31" s="43">
        <v>46520</v>
      </c>
      <c r="K31" s="44" t="str">
        <f>IF(SUM(M31:N31)=0,"",SUM(M31:N31))</f>
        <v/>
      </c>
      <c r="L31" s="64"/>
      <c r="M31" s="44"/>
      <c r="N31" s="54"/>
      <c r="O31" s="25">
        <f>VLOOKUP(I31,'Shipping Program'!$A$32:$B$78,2)-1</f>
        <v>3</v>
      </c>
      <c r="P31" s="44">
        <f>O31</f>
        <v>3</v>
      </c>
      <c r="Q31" s="24">
        <f>R31-7</f>
        <v>46454</v>
      </c>
      <c r="R31" s="24">
        <f>IFERROR(_xlfn.XLOOKUP(P31,'Shipping Program'!$B$32:$B$78,'Shipping Program'!$A$32:$A$78),IFERROR(INDEX(_V7Batches!$B:$B,MATCH(P31&amp;"",_V7Batches!$A:$A,0)),""))</f>
        <v>46461</v>
      </c>
      <c r="S31" s="24">
        <f>IFERROR(_xlfn.XLOOKUP(P31,'Shipping Program'!$B$32:$B$78,'Shipping Program'!$E$32:$E$78),IFERROR(INDEX(_V7Batches!$D:$D,MATCH(P31&amp;"",_V7Batches!$A:$A,0)),""))</f>
        <v>46491</v>
      </c>
      <c r="T31" s="24">
        <f>S31+'Shipping Program'!$H$9</f>
        <v>46498</v>
      </c>
      <c r="U31" s="25">
        <f>IFERROR(IF(J31*T31&lt;&gt;0,J31-T31,""),"")</f>
        <v>22</v>
      </c>
      <c r="V31" s="25" t="str">
        <f>IF(U31&lt;&gt;"",IF(U31&gt;28,"Too early",IF(U31&lt;14,"Too late","")),"")</f>
        <v/>
      </c>
      <c r="W31" s="35"/>
      <c r="X31" s="26">
        <f ca="1">IF(OFFSET(X31,1,0)="",R31,OFFSET(X31,1,0))</f>
        <v>46461</v>
      </c>
      <c r="Y31" s="26">
        <f ca="1">IF(OFFSET(Y31,1,0)="",X31+'Shipping Program'!$F$9,OFFSET(Y31,1,0))</f>
        <v>46491</v>
      </c>
      <c r="Z31" s="26">
        <f ca="1">IF(OFFSET(Z31,1,0)="",Y31+'Shipping Program'!$H$9,OFFSET(Z31,1,0))</f>
        <v>46498</v>
      </c>
      <c r="AA31" s="27">
        <f ca="1">IFERROR(IF(J31*Z31&lt;&gt;0,J31-Z31,""),"")</f>
        <v>22</v>
      </c>
      <c r="AB31" s="27" t="str">
        <f ca="1">IF(AA31&lt;&gt;"",IF(AA31&gt;28,"Too early",IF(AA31&lt;14,"Too late","")),"")</f>
        <v/>
      </c>
      <c r="AC31" s="46"/>
      <c r="AE31" s="80" t="s">
        <v>43</v>
      </c>
      <c r="AF31" s="80" t="s">
        <v>41</v>
      </c>
      <c r="AG31" s="80" t="s">
        <v>42</v>
      </c>
      <c r="AH31" s="80" t="str">
        <f>IF(AI31="","",AI31*AJ31*AK31/1000/1000/1000)</f>
        <v/>
      </c>
      <c r="AI31" s="80"/>
      <c r="AJ31" s="80"/>
      <c r="AK31" s="80"/>
    </row>
    <row r="32" spans="1:39" ht="20.100000000000001" customHeight="1" outlineLevel="1">
      <c r="A32" s="33">
        <f ca="1">COUNTIF(J$3:OFFSET(J32,-1,0),"Subtotal:")+1</f>
        <v>3</v>
      </c>
      <c r="B32" s="23" t="str">
        <f ca="1">IF(OFFSET(B32,1,0)&lt;&gt;"",OFFSET(B32,1,0),"")</f>
        <v/>
      </c>
      <c r="C32" s="42"/>
      <c r="D32" s="64" t="s">
        <v>97</v>
      </c>
      <c r="E32" s="60" t="str">
        <f>LEFT(F32,3)</f>
        <v>#10</v>
      </c>
      <c r="F32" s="59" t="s">
        <v>247</v>
      </c>
      <c r="G32" s="64" t="s">
        <v>268</v>
      </c>
      <c r="H32" s="64"/>
      <c r="I32" s="24">
        <f>IF(J32&lt;&gt;"",J32 - ('Shipping Program'!$D$9 + 'Shipping Program'!$F$9 + 'Shipping Program'!$H$9), "")</f>
        <v>46473</v>
      </c>
      <c r="J32" s="43">
        <v>46520</v>
      </c>
      <c r="K32" s="44" t="str">
        <f>IF(SUM(M32:N32)=0,"",SUM(M32:N32))</f>
        <v/>
      </c>
      <c r="L32" s="44"/>
      <c r="M32" s="44"/>
      <c r="N32" s="54"/>
      <c r="O32" s="25">
        <f>VLOOKUP(I32,'Shipping Program'!$A$32:$B$78,2)-1</f>
        <v>3</v>
      </c>
      <c r="P32" s="44">
        <f>O32</f>
        <v>3</v>
      </c>
      <c r="Q32" s="24">
        <f>R32-7</f>
        <v>46454</v>
      </c>
      <c r="R32" s="24">
        <f>IFERROR(_xlfn.XLOOKUP(P32,'Shipping Program'!$B$32:$B$78,'Shipping Program'!$A$32:$A$78),IFERROR(INDEX(_V7Batches!$B:$B,MATCH(P32&amp;"",_V7Batches!$A:$A,0)),""))</f>
        <v>46461</v>
      </c>
      <c r="S32" s="24">
        <f>IFERROR(_xlfn.XLOOKUP(P32,'Shipping Program'!$B$32:$B$78,'Shipping Program'!$E$32:$E$78),IFERROR(INDEX(_V7Batches!$D:$D,MATCH(P32&amp;"",_V7Batches!$A:$A,0)),""))</f>
        <v>46491</v>
      </c>
      <c r="T32" s="24">
        <f>S32+'Shipping Program'!$H$9</f>
        <v>46498</v>
      </c>
      <c r="U32" s="25">
        <f>IFERROR(IF(J32*T32&lt;&gt;0,J32-T32,""),"")</f>
        <v>22</v>
      </c>
      <c r="V32" s="25" t="str">
        <f>IF(U32&lt;&gt;"",IF(U32&gt;28,"Too early",IF(U32&lt;14,"Too late","")),"")</f>
        <v/>
      </c>
      <c r="W32" s="35"/>
      <c r="X32" s="26">
        <f ca="1">IF(OFFSET(X32,1,0)="",R32,OFFSET(X32,1,0))</f>
        <v>46461</v>
      </c>
      <c r="Y32" s="26">
        <f ca="1">IF(OFFSET(Y32,1,0)="",X32+'Shipping Program'!$F$9,OFFSET(Y32,1,0))</f>
        <v>46491</v>
      </c>
      <c r="Z32" s="26">
        <f ca="1">IF(OFFSET(Z32,1,0)="",Y32+'Shipping Program'!$H$9,OFFSET(Z32,1,0))</f>
        <v>46498</v>
      </c>
      <c r="AA32" s="27">
        <f ca="1">IFERROR(IF(J32*Z32&lt;&gt;0,J32-Z32,""),"")</f>
        <v>22</v>
      </c>
      <c r="AB32" s="27" t="str">
        <f ca="1">IF(AA32&lt;&gt;"",IF(AA32&gt;28,"Too early",IF(AA32&lt;14,"Too late","")),"")</f>
        <v/>
      </c>
      <c r="AC32" s="46"/>
      <c r="AE32" s="80" t="s">
        <v>43</v>
      </c>
      <c r="AF32" s="80" t="s">
        <v>41</v>
      </c>
      <c r="AG32" s="80" t="s">
        <v>42</v>
      </c>
      <c r="AH32" s="80" t="str">
        <f>IF(AI32="","",AI32*AJ32*AK32/1000/1000/1000)</f>
        <v/>
      </c>
      <c r="AI32" s="80"/>
      <c r="AJ32" s="80"/>
      <c r="AK32" s="80"/>
    </row>
    <row r="33" spans="1:37" ht="20.100000000000001" customHeight="1" outlineLevel="1">
      <c r="A33" s="34">
        <f ca="1">COUNTIF(J$3:OFFSET(J33,-1,0),"Subtotal:")+1</f>
        <v>3</v>
      </c>
      <c r="B33" s="47"/>
      <c r="C33" s="48"/>
      <c r="D33" s="73"/>
      <c r="E33" s="49"/>
      <c r="F33" s="74"/>
      <c r="G33" s="74"/>
      <c r="H33" s="49"/>
      <c r="I33" s="49"/>
      <c r="J33" s="49" t="s">
        <v>6424</v>
      </c>
      <c r="K33" s="28">
        <f ca="1">SUMIF(A$3:OFFSET(A33,-1,0),A33,K$3:OFFSET(K33,-1,0))</f>
        <v>0</v>
      </c>
      <c r="L33" s="28">
        <f ca="1">SUMIF(A$3:OFFSET(A33,-1,0),A33,L$3:OFFSET(L33,-1,0))</f>
        <v>0</v>
      </c>
      <c r="M33" s="28"/>
      <c r="N33" s="55"/>
      <c r="O33" s="49"/>
      <c r="P33" s="49"/>
      <c r="Q33" s="29">
        <f ca="1">R33-7</f>
        <v>46454</v>
      </c>
      <c r="R33" s="29">
        <f ca="1">IF(J33="Subtotal:",OFFSET(R33,-1,0),"")</f>
        <v>46461</v>
      </c>
      <c r="S33" s="29">
        <f ca="1">IF(J33="Subtotal:",OFFSET(S33,-1,0),"")</f>
        <v>46491</v>
      </c>
      <c r="T33" s="29">
        <f ca="1">IF(J33="Subtotal:",OFFSET(T33,-1,0),"")</f>
        <v>46498</v>
      </c>
      <c r="U33" s="30" t="str">
        <f ca="1">IFERROR(IF(J33*T33&lt;&gt;0,J33-T33,""),"")</f>
        <v/>
      </c>
      <c r="V33" s="31" t="str">
        <f ca="1">IF(U33&lt;&gt;"",IF(U33&gt;28,"Too early",IF(U33&lt;14,"Too late","")),"")</f>
        <v/>
      </c>
      <c r="W33" s="28">
        <f ca="1">(SUMIFS($K:$K,$J:$J,"&lt;&gt;Subtotal:",$J:$J,"&gt;"&amp;S33,$S:$S,"&lt;="&amp;S33))*24*1.3+(SUMIFS($L:$L,$J:$J,"&lt;&gt;Subtotal:",$J:$J,"&gt;"&amp;S33,$S:$S,"&lt;="&amp;S33))/3*1.3</f>
        <v>0</v>
      </c>
      <c r="X33" s="50"/>
      <c r="Y33" s="50"/>
      <c r="Z33" s="50"/>
      <c r="AA33" s="30" t="str">
        <f>IFERROR(IF(J33*Z33&lt;&gt;0,J33-Z33,""),"")</f>
        <v/>
      </c>
      <c r="AB33" s="31" t="str">
        <f>IF(AA33&lt;&gt;"",IF(AA33&gt;28,"Too early",IF(AA33&lt;14,"Too late","")),"")</f>
        <v/>
      </c>
      <c r="AC33" s="32">
        <f>(SUMIFS($K:$K,$J:$J,"&lt;&gt;Subtotal:",$J:$J,"&gt;"&amp;Y33,$Y:$Y,"&lt;="&amp;Y33))*24*1.3+(SUMIFS($L:$L,$J:$J,"&lt;&gt;Subtotal:",$J:$J,"&gt;"&amp;Y33,$Y:$Y,"&lt;="&amp;Y33))/3*1.3</f>
        <v>0</v>
      </c>
      <c r="AD33" s="58"/>
      <c r="AE33" s="78"/>
      <c r="AF33" s="78"/>
      <c r="AG33" s="78"/>
      <c r="AH33" s="78"/>
      <c r="AI33" s="78"/>
      <c r="AJ33" s="78"/>
      <c r="AK33" s="78"/>
    </row>
    <row r="34" spans="1:37" ht="20.100000000000001" customHeight="1" outlineLevel="1">
      <c r="A34" s="33">
        <f ca="1">COUNTIF(J$3:OFFSET(J34,-1,0),"Subtotal:")+1</f>
        <v>4</v>
      </c>
      <c r="B34" s="23" t="str">
        <f ca="1">IF(OFFSET(B34,1,0)&lt;&gt;"",OFFSET(B34,1,0),"")</f>
        <v/>
      </c>
      <c r="C34" s="42"/>
      <c r="D34" s="59" t="s">
        <v>50</v>
      </c>
      <c r="E34" s="60" t="str">
        <f>LEFT(F34,3)</f>
        <v>#02</v>
      </c>
      <c r="F34" s="59" t="s">
        <v>179</v>
      </c>
      <c r="G34" s="59" t="s">
        <v>3902</v>
      </c>
      <c r="H34" s="60"/>
      <c r="I34" s="24">
        <f>IF(J34&lt;&gt;"",J34 - ('Shipping Program'!$D$9 + 'Shipping Program'!$F$9 + 'Shipping Program'!$H$9), "")</f>
        <v>46480</v>
      </c>
      <c r="J34" s="43">
        <v>46527</v>
      </c>
      <c r="K34" s="44" t="str">
        <f>IF(SUM(M34:N34)=0,"",SUM(M34:N34))</f>
        <v/>
      </c>
      <c r="L34" s="44"/>
      <c r="M34" s="44"/>
      <c r="N34" s="54"/>
      <c r="O34" s="25">
        <f>VLOOKUP(I34,'Shipping Program'!$A$32:$B$78,2)-1</f>
        <v>4</v>
      </c>
      <c r="P34" s="44">
        <f>O34</f>
        <v>4</v>
      </c>
      <c r="Q34" s="24">
        <f>R34-7</f>
        <v>46461</v>
      </c>
      <c r="R34" s="24">
        <f>IFERROR(_xlfn.XLOOKUP(P34,'Shipping Program'!$B$32:$B$78,'Shipping Program'!$A$32:$A$78),IFERROR(INDEX(_V7Batches!$B:$B,MATCH(P34&amp;"",_V7Batches!$A:$A,0)),""))</f>
        <v>46468</v>
      </c>
      <c r="S34" s="24">
        <f>IFERROR(_xlfn.XLOOKUP(P34,'Shipping Program'!$B$32:$B$78,'Shipping Program'!$E$32:$E$78),IFERROR(INDEX(_V7Batches!$D:$D,MATCH(P34&amp;"",_V7Batches!$A:$A,0)),""))</f>
        <v>46498</v>
      </c>
      <c r="T34" s="24">
        <f>S34+'Shipping Program'!$H$9</f>
        <v>46505</v>
      </c>
      <c r="U34" s="25">
        <f>IFERROR(IF(J34*T34&lt;&gt;0,J34-T34,""),"")</f>
        <v>22</v>
      </c>
      <c r="V34" s="25" t="str">
        <f>IF(U34&lt;&gt;"",IF(U34&gt;28,"Too early",IF(U34&lt;14,"Too late","")),"")</f>
        <v/>
      </c>
      <c r="W34" s="35"/>
      <c r="X34" s="26">
        <f ca="1">IF(OFFSET(X34,1,0)="",R34,OFFSET(X34,1,0))</f>
        <v>46468</v>
      </c>
      <c r="Y34" s="26">
        <f ca="1">IF(OFFSET(Y34,1,0)="",X34+'Shipping Program'!$F$9,OFFSET(Y34,1,0))</f>
        <v>46498</v>
      </c>
      <c r="Z34" s="26">
        <f ca="1">IF(OFFSET(Z34,1,0)="",Y34+'Shipping Program'!$H$9,OFFSET(Z34,1,0))</f>
        <v>46505</v>
      </c>
      <c r="AA34" s="27">
        <f ca="1">IFERROR(IF(J34*Z34&lt;&gt;0,J34-Z34,""),"")</f>
        <v>22</v>
      </c>
      <c r="AB34" s="27" t="str">
        <f ca="1">IF(AA34&lt;&gt;"",IF(AA34&gt;28,"Too early",IF(AA34&lt;14,"Too late","")),"")</f>
        <v/>
      </c>
      <c r="AC34" s="46"/>
      <c r="AE34" s="80" t="s">
        <v>43</v>
      </c>
      <c r="AF34" s="80" t="s">
        <v>41</v>
      </c>
      <c r="AG34" s="80" t="s">
        <v>42</v>
      </c>
      <c r="AH34" s="80" t="str">
        <f>IF(AI34="","",AI34*AJ34*AK34/1000/1000/1000)</f>
        <v/>
      </c>
      <c r="AI34" s="80"/>
      <c r="AJ34" s="80"/>
      <c r="AK34" s="80"/>
    </row>
    <row r="35" spans="1:37" ht="20.100000000000001" customHeight="1" outlineLevel="1">
      <c r="A35" s="33">
        <f ca="1">COUNTIF(J$3:OFFSET(J35,-1,0),"Subtotal:")+1</f>
        <v>4</v>
      </c>
      <c r="B35" s="23" t="str">
        <f ca="1">IF(OFFSET(B35,1,0)&lt;&gt;"",OFFSET(B35,1,0),"")</f>
        <v/>
      </c>
      <c r="C35" s="42"/>
      <c r="D35" s="59" t="s">
        <v>49</v>
      </c>
      <c r="E35" s="60" t="str">
        <f>LEFT(F35,3)</f>
        <v>#02</v>
      </c>
      <c r="F35" s="59" t="s">
        <v>178</v>
      </c>
      <c r="G35" s="59" t="s">
        <v>206</v>
      </c>
      <c r="H35" s="60"/>
      <c r="I35" s="24">
        <f>IF(J35&lt;&gt;"",J35 - ('Shipping Program'!$D$9 + 'Shipping Program'!$F$9 + 'Shipping Program'!$H$9), "")</f>
        <v>46481</v>
      </c>
      <c r="J35" s="43">
        <v>46528</v>
      </c>
      <c r="K35" s="44" t="str">
        <f>IF(SUM(M35:N35)=0,"",SUM(M35:N35))</f>
        <v/>
      </c>
      <c r="L35" s="44"/>
      <c r="M35" s="44"/>
      <c r="N35" s="54"/>
      <c r="O35" s="25">
        <f>VLOOKUP(I35,'Shipping Program'!$A$32:$B$78,2)-1</f>
        <v>4</v>
      </c>
      <c r="P35" s="44">
        <f>O35</f>
        <v>4</v>
      </c>
      <c r="Q35" s="24">
        <f>R35-7</f>
        <v>46461</v>
      </c>
      <c r="R35" s="24">
        <f>IFERROR(_xlfn.XLOOKUP(P35,'Shipping Program'!$B$32:$B$78,'Shipping Program'!$A$32:$A$78),IFERROR(INDEX(_V7Batches!$B:$B,MATCH(P35&amp;"",_V7Batches!$A:$A,0)),""))</f>
        <v>46468</v>
      </c>
      <c r="S35" s="24">
        <f>IFERROR(_xlfn.XLOOKUP(P35,'Shipping Program'!$B$32:$B$78,'Shipping Program'!$E$32:$E$78),IFERROR(INDEX(_V7Batches!$D:$D,MATCH(P35&amp;"",_V7Batches!$A:$A,0)),""))</f>
        <v>46498</v>
      </c>
      <c r="T35" s="24">
        <f>S35+'Shipping Program'!$H$9</f>
        <v>46505</v>
      </c>
      <c r="U35" s="25">
        <f>IFERROR(IF(J35*T35&lt;&gt;0,J35-T35,""),"")</f>
        <v>23</v>
      </c>
      <c r="V35" s="25" t="str">
        <f>IF(U35&lt;&gt;"",IF(U35&gt;28,"Too early",IF(U35&lt;14,"Too late","")),"")</f>
        <v/>
      </c>
      <c r="W35" s="35"/>
      <c r="X35" s="26">
        <f ca="1">IF(OFFSET(X35,1,0)="",R35,OFFSET(X35,1,0))</f>
        <v>46468</v>
      </c>
      <c r="Y35" s="26">
        <f ca="1">IF(OFFSET(Y35,1,0)="",X35+'Shipping Program'!$F$9,OFFSET(Y35,1,0))</f>
        <v>46498</v>
      </c>
      <c r="Z35" s="26">
        <f ca="1">IF(OFFSET(Z35,1,0)="",Y35+'Shipping Program'!$H$9,OFFSET(Z35,1,0))</f>
        <v>46505</v>
      </c>
      <c r="AA35" s="27">
        <f ca="1">IFERROR(IF(J35*Z35&lt;&gt;0,J35-Z35,""),"")</f>
        <v>23</v>
      </c>
      <c r="AB35" s="27" t="str">
        <f ca="1">IF(AA35&lt;&gt;"",IF(AA35&gt;28,"Too early",IF(AA35&lt;14,"Too late","")),"")</f>
        <v/>
      </c>
      <c r="AC35" s="46"/>
      <c r="AE35" s="80" t="s">
        <v>43</v>
      </c>
      <c r="AF35" s="80" t="s">
        <v>41</v>
      </c>
      <c r="AG35" s="80" t="s">
        <v>42</v>
      </c>
      <c r="AH35" s="80" t="str">
        <f>IF(AI35="","",AI35*AJ35*AK35/1000/1000/1000)</f>
        <v/>
      </c>
      <c r="AI35" s="80"/>
      <c r="AJ35" s="80"/>
      <c r="AK35" s="80"/>
    </row>
    <row r="36" spans="1:37" ht="20.100000000000001" customHeight="1" outlineLevel="1">
      <c r="A36" s="33">
        <f ca="1">COUNTIF(J$3:OFFSET(J36,-1,0),"Subtotal:")+1</f>
        <v>4</v>
      </c>
      <c r="B36" s="23" t="str">
        <f ca="1">IF(OFFSET(B36,1,0)&lt;&gt;"",OFFSET(B36,1,0),"")</f>
        <v/>
      </c>
      <c r="C36" s="42"/>
      <c r="D36" s="59" t="s">
        <v>62</v>
      </c>
      <c r="E36" s="60" t="str">
        <f>LEFT(F36,3)</f>
        <v>#04</v>
      </c>
      <c r="F36" s="59" t="s">
        <v>209</v>
      </c>
      <c r="G36" s="59" t="s">
        <v>219</v>
      </c>
      <c r="H36" s="60"/>
      <c r="I36" s="24">
        <f>IF(J36&lt;&gt;"",J36 - ('Shipping Program'!$D$9 + 'Shipping Program'!$F$9 + 'Shipping Program'!$H$9), "")</f>
        <v>46477</v>
      </c>
      <c r="J36" s="43">
        <v>46524</v>
      </c>
      <c r="K36" s="44" t="str">
        <f>IF(SUM(M36:N36)=0,"",SUM(M36:N36))</f>
        <v/>
      </c>
      <c r="L36" s="44"/>
      <c r="M36" s="44"/>
      <c r="N36" s="54"/>
      <c r="O36" s="25">
        <f>VLOOKUP(I36,'Shipping Program'!$A$32:$B$78,2)-1</f>
        <v>4</v>
      </c>
      <c r="P36" s="44">
        <f>O36</f>
        <v>4</v>
      </c>
      <c r="Q36" s="24">
        <f>R36-7</f>
        <v>46461</v>
      </c>
      <c r="R36" s="24">
        <f>IFERROR(_xlfn.XLOOKUP(P36,'Shipping Program'!$B$32:$B$78,'Shipping Program'!$A$32:$A$78),IFERROR(INDEX(_V7Batches!$B:$B,MATCH(P36&amp;"",_V7Batches!$A:$A,0)),""))</f>
        <v>46468</v>
      </c>
      <c r="S36" s="24">
        <f>IFERROR(_xlfn.XLOOKUP(P36,'Shipping Program'!$B$32:$B$78,'Shipping Program'!$E$32:$E$78),IFERROR(INDEX(_V7Batches!$D:$D,MATCH(P36&amp;"",_V7Batches!$A:$A,0)),""))</f>
        <v>46498</v>
      </c>
      <c r="T36" s="24">
        <f>S36+'Shipping Program'!$H$9</f>
        <v>46505</v>
      </c>
      <c r="U36" s="25">
        <f>IFERROR(IF(J36*T36&lt;&gt;0,J36-T36,""),"")</f>
        <v>19</v>
      </c>
      <c r="V36" s="25" t="str">
        <f>IF(U36&lt;&gt;"",IF(U36&gt;28,"Too early",IF(U36&lt;14,"Too late","")),"")</f>
        <v/>
      </c>
      <c r="W36" s="35"/>
      <c r="X36" s="26">
        <f ca="1">IF(OFFSET(X36,1,0)="",R36,OFFSET(X36,1,0))</f>
        <v>46468</v>
      </c>
      <c r="Y36" s="26">
        <f ca="1">IF(OFFSET(Y36,1,0)="",X36+'Shipping Program'!$F$9,OFFSET(Y36,1,0))</f>
        <v>46498</v>
      </c>
      <c r="Z36" s="26">
        <f ca="1">IF(OFFSET(Z36,1,0)="",Y36+'Shipping Program'!$H$9,OFFSET(Z36,1,0))</f>
        <v>46505</v>
      </c>
      <c r="AA36" s="27">
        <f ca="1">IFERROR(IF(J36*Z36&lt;&gt;0,J36-Z36,""),"")</f>
        <v>19</v>
      </c>
      <c r="AB36" s="27" t="str">
        <f ca="1">IF(AA36&lt;&gt;"",IF(AA36&gt;28,"Too early",IF(AA36&lt;14,"Too late","")),"")</f>
        <v/>
      </c>
      <c r="AC36" s="46"/>
      <c r="AE36" s="80" t="s">
        <v>43</v>
      </c>
      <c r="AF36" s="80" t="s">
        <v>41</v>
      </c>
      <c r="AG36" s="80" t="s">
        <v>63</v>
      </c>
      <c r="AH36" s="80" t="str">
        <f>IF(AI36="","",AI36*AJ36*AK36/1000/1000/1000)</f>
        <v/>
      </c>
      <c r="AI36" s="80"/>
      <c r="AJ36" s="80"/>
      <c r="AK36" s="80"/>
    </row>
    <row r="37" spans="1:37" ht="20.100000000000001" customHeight="1" outlineLevel="1">
      <c r="A37" s="33">
        <f ca="1">COUNTIF(J$3:OFFSET(J37,-1,0),"Subtotal:")+1</f>
        <v>4</v>
      </c>
      <c r="B37" s="23" t="str">
        <f ca="1">IF(OFFSET(B37,1,0)&lt;&gt;"",OFFSET(B37,1,0),"")</f>
        <v/>
      </c>
      <c r="C37" s="43"/>
      <c r="D37" s="59" t="s">
        <v>62</v>
      </c>
      <c r="E37" s="60" t="str">
        <f>LEFT(F37,3)</f>
        <v>#04</v>
      </c>
      <c r="F37" s="59" t="s">
        <v>209</v>
      </c>
      <c r="G37" s="59" t="s">
        <v>212</v>
      </c>
      <c r="H37" s="60"/>
      <c r="I37" s="24">
        <f>IF(J37&lt;&gt;"",J37 - ('Shipping Program'!$D$9 + 'Shipping Program'!$F$9 + 'Shipping Program'!$H$9), "")</f>
        <v>46479</v>
      </c>
      <c r="J37" s="43">
        <v>46526</v>
      </c>
      <c r="K37" s="44" t="str">
        <f>IF(SUM(M37:N37)=0,"",SUM(M37:N37))</f>
        <v/>
      </c>
      <c r="L37" s="44"/>
      <c r="M37" s="44"/>
      <c r="N37" s="54"/>
      <c r="O37" s="25">
        <f>VLOOKUP(I37,'Shipping Program'!$A$32:$B$78,2)-1</f>
        <v>4</v>
      </c>
      <c r="P37" s="44">
        <f>O37</f>
        <v>4</v>
      </c>
      <c r="Q37" s="24">
        <f>R37-7</f>
        <v>46461</v>
      </c>
      <c r="R37" s="24">
        <f>IFERROR(_xlfn.XLOOKUP(P37,'Shipping Program'!$B$32:$B$78,'Shipping Program'!$A$32:$A$78),IFERROR(INDEX(_V7Batches!$B:$B,MATCH(P37&amp;"",_V7Batches!$A:$A,0)),""))</f>
        <v>46468</v>
      </c>
      <c r="S37" s="24">
        <f>IFERROR(_xlfn.XLOOKUP(P37,'Shipping Program'!$B$32:$B$78,'Shipping Program'!$E$32:$E$78),IFERROR(INDEX(_V7Batches!$D:$D,MATCH(P37&amp;"",_V7Batches!$A:$A,0)),""))</f>
        <v>46498</v>
      </c>
      <c r="T37" s="24">
        <f>S37+'Shipping Program'!$H$9</f>
        <v>46505</v>
      </c>
      <c r="U37" s="25">
        <f>IFERROR(IF(J37*T37&lt;&gt;0,J37-T37,""),"")</f>
        <v>21</v>
      </c>
      <c r="V37" s="25" t="str">
        <f>IF(U37&lt;&gt;"",IF(U37&gt;28,"Too early",IF(U37&lt;14,"Too late","")),"")</f>
        <v/>
      </c>
      <c r="W37" s="35"/>
      <c r="X37" s="26">
        <f ca="1">IF(OFFSET(X37,1,0)="",R37,OFFSET(X37,1,0))</f>
        <v>46468</v>
      </c>
      <c r="Y37" s="26">
        <f ca="1">IF(OFFSET(Y37,1,0)="",X37+'Shipping Program'!$F$9,OFFSET(Y37,1,0))</f>
        <v>46498</v>
      </c>
      <c r="Z37" s="26">
        <f ca="1">IF(OFFSET(Z37,1,0)="",Y37+'Shipping Program'!$H$9,OFFSET(Z37,1,0))</f>
        <v>46505</v>
      </c>
      <c r="AA37" s="27">
        <f ca="1">IFERROR(IF(J37*Z37&lt;&gt;0,J37-Z37,""),"")</f>
        <v>21</v>
      </c>
      <c r="AB37" s="27" t="str">
        <f ca="1">IF(AA37&lt;&gt;"",IF(AA37&gt;28,"Too early",IF(AA37&lt;14,"Too late","")),"")</f>
        <v/>
      </c>
      <c r="AC37" s="46"/>
      <c r="AE37" s="80" t="s">
        <v>43</v>
      </c>
      <c r="AF37" s="80" t="s">
        <v>41</v>
      </c>
      <c r="AG37" s="80" t="s">
        <v>63</v>
      </c>
      <c r="AH37" s="80" t="str">
        <f>IF(AI37="","",AI37*AJ37*AK37/1000/1000/1000)</f>
        <v/>
      </c>
      <c r="AI37" s="80"/>
      <c r="AJ37" s="80"/>
      <c r="AK37" s="80"/>
    </row>
    <row r="38" spans="1:37" ht="20.100000000000001" customHeight="1" outlineLevel="1">
      <c r="A38" s="33">
        <f ca="1">COUNTIF(J$3:OFFSET(J38,-1,0),"Subtotal:")+1</f>
        <v>4</v>
      </c>
      <c r="B38" s="23" t="str">
        <f ca="1">IF(OFFSET(B38,1,0)&lt;&gt;"",OFFSET(B38,1,0),"")</f>
        <v/>
      </c>
      <c r="C38" s="42"/>
      <c r="D38" s="59" t="s">
        <v>62</v>
      </c>
      <c r="E38" s="60" t="str">
        <f>LEFT(F38,3)</f>
        <v>#04</v>
      </c>
      <c r="F38" s="59" t="s">
        <v>209</v>
      </c>
      <c r="G38" s="59" t="s">
        <v>210</v>
      </c>
      <c r="H38" s="60"/>
      <c r="I38" s="24">
        <f>IF(J38&lt;&gt;"",J38 - ('Shipping Program'!$D$9 + 'Shipping Program'!$F$9 + 'Shipping Program'!$H$9), "")</f>
        <v>46475</v>
      </c>
      <c r="J38" s="43">
        <v>46522</v>
      </c>
      <c r="K38" s="44" t="str">
        <f>IF(SUM(M38:N38)=0,"",SUM(M38:N38))</f>
        <v/>
      </c>
      <c r="L38" s="44"/>
      <c r="M38" s="44"/>
      <c r="N38" s="54"/>
      <c r="O38" s="25">
        <f>VLOOKUP(I38,'Shipping Program'!$A$32:$B$78,2)-1</f>
        <v>4</v>
      </c>
      <c r="P38" s="44">
        <f>O38</f>
        <v>4</v>
      </c>
      <c r="Q38" s="24">
        <f>R38-7</f>
        <v>46461</v>
      </c>
      <c r="R38" s="24">
        <f>IFERROR(_xlfn.XLOOKUP(P38,'Shipping Program'!$B$32:$B$78,'Shipping Program'!$A$32:$A$78),IFERROR(INDEX(_V7Batches!$B:$B,MATCH(P38&amp;"",_V7Batches!$A:$A,0)),""))</f>
        <v>46468</v>
      </c>
      <c r="S38" s="24">
        <f>IFERROR(_xlfn.XLOOKUP(P38,'Shipping Program'!$B$32:$B$78,'Shipping Program'!$E$32:$E$78),IFERROR(INDEX(_V7Batches!$D:$D,MATCH(P38&amp;"",_V7Batches!$A:$A,0)),""))</f>
        <v>46498</v>
      </c>
      <c r="T38" s="24">
        <f>S38+'Shipping Program'!$H$9</f>
        <v>46505</v>
      </c>
      <c r="U38" s="25">
        <f>IFERROR(IF(J38*T38&lt;&gt;0,J38-T38,""),"")</f>
        <v>17</v>
      </c>
      <c r="V38" s="25" t="str">
        <f>IF(U38&lt;&gt;"",IF(U38&gt;28,"Too early",IF(U38&lt;14,"Too late","")),"")</f>
        <v/>
      </c>
      <c r="W38" s="35"/>
      <c r="X38" s="26">
        <f ca="1">IF(OFFSET(X38,1,0)="",R38,OFFSET(X38,1,0))</f>
        <v>46468</v>
      </c>
      <c r="Y38" s="26">
        <f ca="1">IF(OFFSET(Y38,1,0)="",X38+'Shipping Program'!$F$9,OFFSET(Y38,1,0))</f>
        <v>46498</v>
      </c>
      <c r="Z38" s="26">
        <f ca="1">IF(OFFSET(Z38,1,0)="",Y38+'Shipping Program'!$H$9,OFFSET(Z38,1,0))</f>
        <v>46505</v>
      </c>
      <c r="AA38" s="27">
        <f ca="1">IFERROR(IF(J38*Z38&lt;&gt;0,J38-Z38,""),"")</f>
        <v>17</v>
      </c>
      <c r="AB38" s="27" t="str">
        <f ca="1">IF(AA38&lt;&gt;"",IF(AA38&gt;28,"Too early",IF(AA38&lt;14,"Too late","")),"")</f>
        <v/>
      </c>
      <c r="AC38" s="46"/>
      <c r="AE38" s="80" t="s">
        <v>43</v>
      </c>
      <c r="AF38" s="80" t="s">
        <v>41</v>
      </c>
      <c r="AG38" s="80" t="s">
        <v>63</v>
      </c>
      <c r="AH38" s="80" t="str">
        <f>IF(AI38="","",AI38*AJ38*AK38/1000/1000/1000)</f>
        <v/>
      </c>
      <c r="AI38" s="80"/>
      <c r="AJ38" s="80"/>
      <c r="AK38" s="80"/>
    </row>
    <row r="39" spans="1:37" ht="20.100000000000001" customHeight="1" outlineLevel="1">
      <c r="A39" s="33">
        <f ca="1">COUNTIF(J$3:OFFSET(J39,-1,0),"Subtotal:")+1</f>
        <v>4</v>
      </c>
      <c r="B39" s="23" t="str">
        <f ca="1">IF(OFFSET(B39,1,0)&lt;&gt;"",OFFSET(B39,1,0),"")</f>
        <v/>
      </c>
      <c r="C39" s="42"/>
      <c r="D39" s="59" t="s">
        <v>69</v>
      </c>
      <c r="E39" s="60" t="str">
        <f>LEFT(F39,3)</f>
        <v>#01</v>
      </c>
      <c r="F39" s="59" t="s">
        <v>175</v>
      </c>
      <c r="G39" s="59" t="s">
        <v>192</v>
      </c>
      <c r="H39" s="60" t="s">
        <v>195</v>
      </c>
      <c r="I39" s="24">
        <f>IF(J39&lt;&gt;"",J39 - ('Shipping Program'!$D$9 + 'Shipping Program'!$F$9 + 'Shipping Program'!$H$9), "")</f>
        <v>46477</v>
      </c>
      <c r="J39" s="43">
        <v>46524</v>
      </c>
      <c r="K39" s="44" t="str">
        <f>IF(SUM(M39:N39)=0,"",SUM(M39:N39))</f>
        <v/>
      </c>
      <c r="L39" s="44"/>
      <c r="M39" s="44"/>
      <c r="N39" s="54"/>
      <c r="O39" s="25">
        <f>VLOOKUP(I39,'Shipping Program'!$A$32:$B$78,2)-1</f>
        <v>4</v>
      </c>
      <c r="P39" s="44">
        <f>O39</f>
        <v>4</v>
      </c>
      <c r="Q39" s="24">
        <f>R39-7</f>
        <v>46461</v>
      </c>
      <c r="R39" s="24">
        <f>IFERROR(_xlfn.XLOOKUP(P39,'Shipping Program'!$B$32:$B$78,'Shipping Program'!$A$32:$A$78),IFERROR(INDEX(_V7Batches!$B:$B,MATCH(P39&amp;"",_V7Batches!$A:$A,0)),""))</f>
        <v>46468</v>
      </c>
      <c r="S39" s="24">
        <f>IFERROR(_xlfn.XLOOKUP(P39,'Shipping Program'!$B$32:$B$78,'Shipping Program'!$E$32:$E$78),IFERROR(INDEX(_V7Batches!$D:$D,MATCH(P39&amp;"",_V7Batches!$A:$A,0)),""))</f>
        <v>46498</v>
      </c>
      <c r="T39" s="24">
        <f>S39+'Shipping Program'!$H$9</f>
        <v>46505</v>
      </c>
      <c r="U39" s="25">
        <f>IFERROR(IF(J39*T39&lt;&gt;0,J39-T39,""),"")</f>
        <v>19</v>
      </c>
      <c r="V39" s="25" t="str">
        <f>IF(U39&lt;&gt;"",IF(U39&gt;28,"Too early",IF(U39&lt;14,"Too late","")),"")</f>
        <v/>
      </c>
      <c r="W39" s="35"/>
      <c r="X39" s="26">
        <f ca="1">IF(OFFSET(X39,1,0)="",R39,OFFSET(X39,1,0))</f>
        <v>46468</v>
      </c>
      <c r="Y39" s="26">
        <f ca="1">IF(OFFSET(Y39,1,0)="",X39+'Shipping Program'!$F$9,OFFSET(Y39,1,0))</f>
        <v>46498</v>
      </c>
      <c r="Z39" s="26">
        <f ca="1">IF(OFFSET(Z39,1,0)="",Y39+'Shipping Program'!$H$9,OFFSET(Z39,1,0))</f>
        <v>46505</v>
      </c>
      <c r="AA39" s="27">
        <f ca="1">IFERROR(IF(J39*Z39&lt;&gt;0,J39-Z39,""),"")</f>
        <v>19</v>
      </c>
      <c r="AB39" s="27" t="str">
        <f ca="1">IF(AA39&lt;&gt;"",IF(AA39&gt;28,"Too early",IF(AA39&lt;14,"Too late","")),"")</f>
        <v/>
      </c>
      <c r="AC39" s="46"/>
      <c r="AE39" s="80" t="s">
        <v>43</v>
      </c>
      <c r="AF39" s="80" t="s">
        <v>41</v>
      </c>
      <c r="AG39" s="80" t="s">
        <v>42</v>
      </c>
      <c r="AH39" s="80" t="str">
        <f>IF(AI39="","",AI39*AJ39*AK39/1000/1000/1000)</f>
        <v/>
      </c>
      <c r="AI39" s="80"/>
      <c r="AJ39" s="80"/>
      <c r="AK39" s="80"/>
    </row>
    <row r="40" spans="1:37" ht="20.100000000000001" customHeight="1" outlineLevel="1">
      <c r="A40" s="33">
        <f ca="1">COUNTIF(J$3:OFFSET(J40,-1,0),"Subtotal:")+1</f>
        <v>4</v>
      </c>
      <c r="B40" s="23" t="str">
        <f ca="1">IF(OFFSET(B40,1,0)&lt;&gt;"",OFFSET(B40,1,0),"")</f>
        <v/>
      </c>
      <c r="C40" s="42"/>
      <c r="D40" s="59" t="s">
        <v>69</v>
      </c>
      <c r="E40" s="60" t="str">
        <f>LEFT(F40,3)</f>
        <v>#01</v>
      </c>
      <c r="F40" s="59" t="s">
        <v>175</v>
      </c>
      <c r="G40" s="59" t="s">
        <v>193</v>
      </c>
      <c r="H40" s="60" t="s">
        <v>195</v>
      </c>
      <c r="I40" s="24">
        <f>IF(J40&lt;&gt;"",J40 - ('Shipping Program'!$D$9 + 'Shipping Program'!$F$9 + 'Shipping Program'!$H$9), "")</f>
        <v>46478</v>
      </c>
      <c r="J40" s="43">
        <v>46525</v>
      </c>
      <c r="K40" s="44" t="str">
        <f>IF(SUM(M40:N40)=0,"",SUM(M40:N40))</f>
        <v/>
      </c>
      <c r="L40" s="44"/>
      <c r="M40" s="44"/>
      <c r="N40" s="54"/>
      <c r="O40" s="25">
        <f>VLOOKUP(I40,'Shipping Program'!$A$32:$B$78,2)-1</f>
        <v>4</v>
      </c>
      <c r="P40" s="44">
        <f>O40</f>
        <v>4</v>
      </c>
      <c r="Q40" s="24">
        <f>R40-7</f>
        <v>46461</v>
      </c>
      <c r="R40" s="24">
        <f>IFERROR(_xlfn.XLOOKUP(P40,'Shipping Program'!$B$32:$B$78,'Shipping Program'!$A$32:$A$78),IFERROR(INDEX(_V7Batches!$B:$B,MATCH(P40&amp;"",_V7Batches!$A:$A,0)),""))</f>
        <v>46468</v>
      </c>
      <c r="S40" s="24">
        <f>IFERROR(_xlfn.XLOOKUP(P40,'Shipping Program'!$B$32:$B$78,'Shipping Program'!$E$32:$E$78),IFERROR(INDEX(_V7Batches!$D:$D,MATCH(P40&amp;"",_V7Batches!$A:$A,0)),""))</f>
        <v>46498</v>
      </c>
      <c r="T40" s="24">
        <f>S40+'Shipping Program'!$H$9</f>
        <v>46505</v>
      </c>
      <c r="U40" s="25">
        <f>IFERROR(IF(J40*T40&lt;&gt;0,J40-T40,""),"")</f>
        <v>20</v>
      </c>
      <c r="V40" s="25" t="str">
        <f>IF(U40&lt;&gt;"",IF(U40&gt;28,"Too early",IF(U40&lt;14,"Too late","")),"")</f>
        <v/>
      </c>
      <c r="W40" s="35"/>
      <c r="X40" s="26">
        <f ca="1">IF(OFFSET(X40,1,0)="",R40,OFFSET(X40,1,0))</f>
        <v>46468</v>
      </c>
      <c r="Y40" s="26">
        <f ca="1">IF(OFFSET(Y40,1,0)="",X40+'Shipping Program'!$F$9,OFFSET(Y40,1,0))</f>
        <v>46498</v>
      </c>
      <c r="Z40" s="26">
        <f ca="1">IF(OFFSET(Z40,1,0)="",Y40+'Shipping Program'!$H$9,OFFSET(Z40,1,0))</f>
        <v>46505</v>
      </c>
      <c r="AA40" s="27">
        <f ca="1">IFERROR(IF(J40*Z40&lt;&gt;0,J40-Z40,""),"")</f>
        <v>20</v>
      </c>
      <c r="AB40" s="27" t="str">
        <f ca="1">IF(AA40&lt;&gt;"",IF(AA40&gt;28,"Too early",IF(AA40&lt;14,"Too late","")),"")</f>
        <v/>
      </c>
      <c r="AC40" s="46"/>
      <c r="AE40" s="80" t="s">
        <v>43</v>
      </c>
      <c r="AF40" s="80" t="s">
        <v>41</v>
      </c>
      <c r="AG40" s="80" t="s">
        <v>42</v>
      </c>
      <c r="AH40" s="80" t="str">
        <f>IF(AI40="","",AI40*AJ40*AK40/1000/1000/1000)</f>
        <v/>
      </c>
      <c r="AI40" s="80"/>
      <c r="AJ40" s="80"/>
      <c r="AK40" s="80"/>
    </row>
    <row r="41" spans="1:37" ht="20.100000000000001" customHeight="1" outlineLevel="1">
      <c r="A41" s="33">
        <f ca="1">COUNTIF(J$3:OFFSET(J41,-1,0),"Subtotal:")+1</f>
        <v>4</v>
      </c>
      <c r="B41" s="23" t="str">
        <f ca="1">IF(OFFSET(B41,1,0)&lt;&gt;"",OFFSET(B41,1,0),"")</f>
        <v/>
      </c>
      <c r="C41" s="42"/>
      <c r="D41" s="59" t="s">
        <v>69</v>
      </c>
      <c r="E41" s="60" t="str">
        <f>LEFT(F41,3)</f>
        <v>#01</v>
      </c>
      <c r="F41" s="59" t="s">
        <v>175</v>
      </c>
      <c r="G41" s="59" t="s">
        <v>194</v>
      </c>
      <c r="H41" s="60" t="s">
        <v>195</v>
      </c>
      <c r="I41" s="24">
        <f>IF(J41&lt;&gt;"",J41 - ('Shipping Program'!$D$9 + 'Shipping Program'!$F$9 + 'Shipping Program'!$H$9), "")</f>
        <v>46478</v>
      </c>
      <c r="J41" s="43">
        <v>46525</v>
      </c>
      <c r="K41" s="44" t="str">
        <f>IF(SUM(M41:N41)=0,"",SUM(M41:N41))</f>
        <v/>
      </c>
      <c r="L41" s="44"/>
      <c r="M41" s="44"/>
      <c r="N41" s="54"/>
      <c r="O41" s="25">
        <f>VLOOKUP(I41,'Shipping Program'!$A$32:$B$78,2)-1</f>
        <v>4</v>
      </c>
      <c r="P41" s="44">
        <f>O41</f>
        <v>4</v>
      </c>
      <c r="Q41" s="24">
        <f>R41-7</f>
        <v>46461</v>
      </c>
      <c r="R41" s="24">
        <f>IFERROR(_xlfn.XLOOKUP(P41,'Shipping Program'!$B$32:$B$78,'Shipping Program'!$A$32:$A$78),IFERROR(INDEX(_V7Batches!$B:$B,MATCH(P41&amp;"",_V7Batches!$A:$A,0)),""))</f>
        <v>46468</v>
      </c>
      <c r="S41" s="24">
        <f>IFERROR(_xlfn.XLOOKUP(P41,'Shipping Program'!$B$32:$B$78,'Shipping Program'!$E$32:$E$78),IFERROR(INDEX(_V7Batches!$D:$D,MATCH(P41&amp;"",_V7Batches!$A:$A,0)),""))</f>
        <v>46498</v>
      </c>
      <c r="T41" s="24">
        <f>S41+'Shipping Program'!$H$9</f>
        <v>46505</v>
      </c>
      <c r="U41" s="25">
        <f>IFERROR(IF(J41*T41&lt;&gt;0,J41-T41,""),"")</f>
        <v>20</v>
      </c>
      <c r="V41" s="25" t="str">
        <f>IF(U41&lt;&gt;"",IF(U41&gt;28,"Too early",IF(U41&lt;14,"Too late","")),"")</f>
        <v/>
      </c>
      <c r="W41" s="35"/>
      <c r="X41" s="26">
        <f ca="1">IF(OFFSET(X41,1,0)="",R41,OFFSET(X41,1,0))</f>
        <v>46468</v>
      </c>
      <c r="Y41" s="26">
        <f ca="1">IF(OFFSET(Y41,1,0)="",X41+'Shipping Program'!$F$9,OFFSET(Y41,1,0))</f>
        <v>46498</v>
      </c>
      <c r="Z41" s="26">
        <f ca="1">IF(OFFSET(Z41,1,0)="",Y41+'Shipping Program'!$H$9,OFFSET(Z41,1,0))</f>
        <v>46505</v>
      </c>
      <c r="AA41" s="27">
        <f ca="1">IFERROR(IF(J41*Z41&lt;&gt;0,J41-Z41,""),"")</f>
        <v>20</v>
      </c>
      <c r="AB41" s="27" t="str">
        <f ca="1">IF(AA41&lt;&gt;"",IF(AA41&gt;28,"Too early",IF(AA41&lt;14,"Too late","")),"")</f>
        <v/>
      </c>
      <c r="AC41" s="46"/>
      <c r="AE41" s="80" t="s">
        <v>43</v>
      </c>
      <c r="AF41" s="80" t="s">
        <v>41</v>
      </c>
      <c r="AG41" s="80" t="s">
        <v>42</v>
      </c>
      <c r="AH41" s="80" t="str">
        <f>IF(AI41="","",AI41*AJ41*AK41/1000/1000/1000)</f>
        <v/>
      </c>
      <c r="AI41" s="80"/>
      <c r="AJ41" s="80"/>
      <c r="AK41" s="80"/>
    </row>
    <row r="42" spans="1:37" ht="20.100000000000001" customHeight="1" outlineLevel="1">
      <c r="A42" s="33">
        <f ca="1">COUNTIF(J$3:OFFSET(J42,-1,0),"Subtotal:")+1</f>
        <v>4</v>
      </c>
      <c r="B42" s="23" t="str">
        <f ca="1">IF(OFFSET(B42,1,0)&lt;&gt;"",OFFSET(B42,1,0),"")</f>
        <v/>
      </c>
      <c r="C42" s="42"/>
      <c r="D42" s="59" t="s">
        <v>38</v>
      </c>
      <c r="E42" s="60" t="str">
        <f>LEFT(F42,3)</f>
        <v>#09</v>
      </c>
      <c r="F42" s="59" t="s">
        <v>154</v>
      </c>
      <c r="G42" s="59" t="s">
        <v>164</v>
      </c>
      <c r="H42" s="60"/>
      <c r="I42" s="24">
        <f>IF(J42&lt;&gt;"",J42 - ('Shipping Program'!$D$9 + 'Shipping Program'!$F$9 + 'Shipping Program'!$H$9), "")</f>
        <v>46478</v>
      </c>
      <c r="J42" s="43">
        <v>46525</v>
      </c>
      <c r="K42" s="44" t="str">
        <f>IF(SUM(M42:N42)=0,"",SUM(M42:N42))</f>
        <v/>
      </c>
      <c r="L42" s="44"/>
      <c r="M42" s="44"/>
      <c r="N42" s="54"/>
      <c r="O42" s="25">
        <f>VLOOKUP(I42,'Shipping Program'!$A$32:$B$78,2)-1</f>
        <v>4</v>
      </c>
      <c r="P42" s="44">
        <f>O42</f>
        <v>4</v>
      </c>
      <c r="Q42" s="24">
        <f>R42-7</f>
        <v>46461</v>
      </c>
      <c r="R42" s="24">
        <f>IFERROR(_xlfn.XLOOKUP(P42,'Shipping Program'!$B$32:$B$78,'Shipping Program'!$A$32:$A$78),IFERROR(INDEX(_V7Batches!$B:$B,MATCH(P42&amp;"",_V7Batches!$A:$A,0)),""))</f>
        <v>46468</v>
      </c>
      <c r="S42" s="24">
        <f>IFERROR(_xlfn.XLOOKUP(P42,'Shipping Program'!$B$32:$B$78,'Shipping Program'!$E$32:$E$78),IFERROR(INDEX(_V7Batches!$D:$D,MATCH(P42&amp;"",_V7Batches!$A:$A,0)),""))</f>
        <v>46498</v>
      </c>
      <c r="T42" s="24">
        <f>S42+'Shipping Program'!$H$9</f>
        <v>46505</v>
      </c>
      <c r="U42" s="25">
        <f>IFERROR(IF(J42*T42&lt;&gt;0,J42-T42,""),"")</f>
        <v>20</v>
      </c>
      <c r="V42" s="25" t="str">
        <f>IF(U42&lt;&gt;"",IF(U42&gt;28,"Too early",IF(U42&lt;14,"Too late","")),"")</f>
        <v/>
      </c>
      <c r="W42" s="35"/>
      <c r="X42" s="26">
        <f ca="1">IF(OFFSET(X42,1,0)="",R42,OFFSET(X42,1,0))</f>
        <v>46468</v>
      </c>
      <c r="Y42" s="26">
        <f ca="1">IF(OFFSET(Y42,1,0)="",X42+'Shipping Program'!$F$9,OFFSET(Y42,1,0))</f>
        <v>46498</v>
      </c>
      <c r="Z42" s="26">
        <f ca="1">IF(OFFSET(Z42,1,0)="",Y42+'Shipping Program'!$H$9,OFFSET(Z42,1,0))</f>
        <v>46505</v>
      </c>
      <c r="AA42" s="27">
        <f ca="1">IFERROR(IF(J42*Z42&lt;&gt;0,J42-Z42,""),"")</f>
        <v>20</v>
      </c>
      <c r="AB42" s="27" t="str">
        <f ca="1">IF(AA42&lt;&gt;"",IF(AA42&gt;28,"Too early",IF(AA42&lt;14,"Too late","")),"")</f>
        <v/>
      </c>
      <c r="AC42" s="46"/>
      <c r="AE42" s="80" t="s">
        <v>54</v>
      </c>
      <c r="AF42" s="80"/>
      <c r="AG42" s="80"/>
      <c r="AH42" s="80" t="str">
        <f>IF(AI42="","",AI42*AJ42*AK42/1000/1000/1000)</f>
        <v/>
      </c>
      <c r="AI42" s="80"/>
      <c r="AJ42" s="80"/>
      <c r="AK42" s="80"/>
    </row>
    <row r="43" spans="1:37" ht="20.100000000000001" customHeight="1">
      <c r="A43" s="33">
        <f ca="1">COUNTIF(J$3:OFFSET(J43,-1,0),"Subtotal:")+1</f>
        <v>4</v>
      </c>
      <c r="B43" s="23" t="str">
        <f ca="1">IF(OFFSET(B43,1,0)&lt;&gt;"",OFFSET(B43,1,0),"")</f>
        <v/>
      </c>
      <c r="C43" s="42"/>
      <c r="D43" s="59" t="s">
        <v>89</v>
      </c>
      <c r="E43" s="60" t="str">
        <f>LEFT(F43,3)</f>
        <v>#11</v>
      </c>
      <c r="F43" s="59" t="s">
        <v>297</v>
      </c>
      <c r="G43" s="59" t="s">
        <v>301</v>
      </c>
      <c r="H43" s="60"/>
      <c r="I43" s="24">
        <f>IF(J43&lt;&gt;"",J43 - ('Shipping Program'!$D$9 + 'Shipping Program'!$F$9 + 'Shipping Program'!$H$9), "")</f>
        <v>46477</v>
      </c>
      <c r="J43" s="43">
        <v>46524</v>
      </c>
      <c r="K43" s="44" t="str">
        <f>IF(SUM(M43:N43)=0,"",SUM(M43:N43))</f>
        <v/>
      </c>
      <c r="L43" s="44"/>
      <c r="M43" s="44"/>
      <c r="N43" s="54"/>
      <c r="O43" s="25">
        <f>VLOOKUP(I43,'Shipping Program'!$A$32:$B$78,2)-1</f>
        <v>4</v>
      </c>
      <c r="P43" s="44">
        <f>O43</f>
        <v>4</v>
      </c>
      <c r="Q43" s="24">
        <f>R43-7</f>
        <v>46461</v>
      </c>
      <c r="R43" s="24">
        <f>IFERROR(_xlfn.XLOOKUP(P43,'Shipping Program'!$B$32:$B$78,'Shipping Program'!$A$32:$A$78),IFERROR(INDEX(_V7Batches!$B:$B,MATCH(P43&amp;"",_V7Batches!$A:$A,0)),""))</f>
        <v>46468</v>
      </c>
      <c r="S43" s="24">
        <f>IFERROR(_xlfn.XLOOKUP(P43,'Shipping Program'!$B$32:$B$78,'Shipping Program'!$E$32:$E$78),IFERROR(INDEX(_V7Batches!$D:$D,MATCH(P43&amp;"",_V7Batches!$A:$A,0)),""))</f>
        <v>46498</v>
      </c>
      <c r="T43" s="24">
        <f>S43+'Shipping Program'!$H$9</f>
        <v>46505</v>
      </c>
      <c r="U43" s="25">
        <f>IFERROR(IF(J43*T43&lt;&gt;0,J43-T43,""),"")</f>
        <v>19</v>
      </c>
      <c r="V43" s="25" t="str">
        <f>IF(U43&lt;&gt;"",IF(U43&gt;28,"Too early",IF(U43&lt;14,"Too late","")),"")</f>
        <v/>
      </c>
      <c r="W43" s="35"/>
      <c r="X43" s="26">
        <f ca="1">IF(OFFSET(X43,1,0)="",R43,OFFSET(X43,1,0))</f>
        <v>46468</v>
      </c>
      <c r="Y43" s="26">
        <f ca="1">IF(OFFSET(Y43,1,0)="",X43+'Shipping Program'!$F$9,OFFSET(Y43,1,0))</f>
        <v>46498</v>
      </c>
      <c r="Z43" s="26">
        <f ca="1">IF(OFFSET(Z43,1,0)="",Y43+'Shipping Program'!$H$9,OFFSET(Z43,1,0))</f>
        <v>46505</v>
      </c>
      <c r="AA43" s="27">
        <f ca="1">IFERROR(IF(J43*Z43&lt;&gt;0,J43-Z43,""),"")</f>
        <v>19</v>
      </c>
      <c r="AB43" s="27" t="str">
        <f ca="1">IF(AA43&lt;&gt;"",IF(AA43&gt;28,"Too early",IF(AA43&lt;14,"Too late","")),"")</f>
        <v/>
      </c>
      <c r="AC43" s="46"/>
      <c r="AE43" s="80" t="s">
        <v>54</v>
      </c>
      <c r="AF43" s="80"/>
      <c r="AG43" s="80"/>
      <c r="AH43" s="80" t="str">
        <f>IF(AI43="","",AI43*AJ43*AK43/1000/1000/1000)</f>
        <v/>
      </c>
      <c r="AI43" s="80"/>
      <c r="AJ43" s="80"/>
      <c r="AK43" s="80"/>
    </row>
    <row r="44" spans="1:37" ht="20.100000000000001" customHeight="1" outlineLevel="1">
      <c r="A44" s="33">
        <f ca="1">COUNTIF(J$3:OFFSET(J44,-1,0),"Subtotal:")+1</f>
        <v>4</v>
      </c>
      <c r="B44" s="23" t="str">
        <f ca="1">IF(OFFSET(B44,1,0)&lt;&gt;"",OFFSET(B44,1,0),"")</f>
        <v/>
      </c>
      <c r="C44" s="42"/>
      <c r="D44" s="59" t="s">
        <v>89</v>
      </c>
      <c r="E44" s="60" t="str">
        <f>LEFT(F44,3)</f>
        <v>#11</v>
      </c>
      <c r="F44" s="59" t="s">
        <v>300</v>
      </c>
      <c r="G44" s="59" t="s">
        <v>304</v>
      </c>
      <c r="H44" s="60"/>
      <c r="I44" s="24">
        <f>IF(J44&lt;&gt;"",J44 - ('Shipping Program'!$D$9 + 'Shipping Program'!$F$9 + 'Shipping Program'!$H$9), "")</f>
        <v>46477</v>
      </c>
      <c r="J44" s="43">
        <v>46524</v>
      </c>
      <c r="K44" s="44" t="str">
        <f>IF(SUM(M44:N44)=0,"",SUM(M44:N44))</f>
        <v/>
      </c>
      <c r="L44" s="44"/>
      <c r="M44" s="44"/>
      <c r="N44" s="54"/>
      <c r="O44" s="25">
        <f>VLOOKUP(I44,'Shipping Program'!$A$32:$B$78,2)-1</f>
        <v>4</v>
      </c>
      <c r="P44" s="44">
        <f>O44</f>
        <v>4</v>
      </c>
      <c r="Q44" s="24">
        <f>R44-7</f>
        <v>46461</v>
      </c>
      <c r="R44" s="24">
        <f>IFERROR(_xlfn.XLOOKUP(P44,'Shipping Program'!$B$32:$B$78,'Shipping Program'!$A$32:$A$78),IFERROR(INDEX(_V7Batches!$B:$B,MATCH(P44&amp;"",_V7Batches!$A:$A,0)),""))</f>
        <v>46468</v>
      </c>
      <c r="S44" s="24">
        <f>IFERROR(_xlfn.XLOOKUP(P44,'Shipping Program'!$B$32:$B$78,'Shipping Program'!$E$32:$E$78),IFERROR(INDEX(_V7Batches!$D:$D,MATCH(P44&amp;"",_V7Batches!$A:$A,0)),""))</f>
        <v>46498</v>
      </c>
      <c r="T44" s="24">
        <f>S44+'Shipping Program'!$H$9</f>
        <v>46505</v>
      </c>
      <c r="U44" s="25">
        <f>IFERROR(IF(J44*T44&lt;&gt;0,J44-T44,""),"")</f>
        <v>19</v>
      </c>
      <c r="V44" s="25" t="str">
        <f>IF(U44&lt;&gt;"",IF(U44&gt;28,"Too early",IF(U44&lt;14,"Too late","")),"")</f>
        <v/>
      </c>
      <c r="W44" s="35"/>
      <c r="X44" s="26">
        <f ca="1">IF(OFFSET(X44,1,0)="",R44,OFFSET(X44,1,0))</f>
        <v>46468</v>
      </c>
      <c r="Y44" s="26">
        <f ca="1">IF(OFFSET(Y44,1,0)="",X44+'Shipping Program'!$F$9,OFFSET(Y44,1,0))</f>
        <v>46498</v>
      </c>
      <c r="Z44" s="26">
        <f ca="1">IF(OFFSET(Z44,1,0)="",Y44+'Shipping Program'!$H$9,OFFSET(Z44,1,0))</f>
        <v>46505</v>
      </c>
      <c r="AA44" s="27">
        <f ca="1">IFERROR(IF(J44*Z44&lt;&gt;0,J44-Z44,""),"")</f>
        <v>19</v>
      </c>
      <c r="AB44" s="27" t="str">
        <f ca="1">IF(AA44&lt;&gt;"",IF(AA44&gt;28,"Too early",IF(AA44&lt;14,"Too late","")),"")</f>
        <v/>
      </c>
      <c r="AC44" s="46"/>
      <c r="AE44" s="80" t="s">
        <v>54</v>
      </c>
      <c r="AF44" s="80"/>
      <c r="AG44" s="80"/>
      <c r="AH44" s="80" t="str">
        <f>IF(AI44="","",AI44*AJ44*AK44/1000/1000/1000)</f>
        <v/>
      </c>
      <c r="AI44" s="80"/>
      <c r="AJ44" s="80"/>
      <c r="AK44" s="80"/>
    </row>
    <row r="45" spans="1:37" ht="20.100000000000001" customHeight="1" outlineLevel="1">
      <c r="A45" s="33">
        <f ca="1">COUNTIF(J$3:OFFSET(J45,-1,0),"Subtotal:")+1</f>
        <v>4</v>
      </c>
      <c r="B45" s="23" t="str">
        <f ca="1">IF(OFFSET(B45,1,0)&lt;&gt;"",OFFSET(B45,1,0),"")</f>
        <v/>
      </c>
      <c r="C45" s="42"/>
      <c r="D45" s="59" t="s">
        <v>89</v>
      </c>
      <c r="E45" s="60" t="str">
        <f>LEFT(F45,3)</f>
        <v>#11</v>
      </c>
      <c r="F45" s="59" t="s">
        <v>299</v>
      </c>
      <c r="G45" s="59" t="s">
        <v>303</v>
      </c>
      <c r="H45" s="60"/>
      <c r="I45" s="24">
        <f>IF(J45&lt;&gt;"",J45 - ('Shipping Program'!$D$9 + 'Shipping Program'!$F$9 + 'Shipping Program'!$H$9), "")</f>
        <v>46477</v>
      </c>
      <c r="J45" s="43">
        <v>46524</v>
      </c>
      <c r="K45" s="44" t="str">
        <f>IF(SUM(M45:N45)=0,"",SUM(M45:N45))</f>
        <v/>
      </c>
      <c r="L45" s="44"/>
      <c r="M45" s="44"/>
      <c r="N45" s="54"/>
      <c r="O45" s="25">
        <f>VLOOKUP(I45,'Shipping Program'!$A$32:$B$78,2)-1</f>
        <v>4</v>
      </c>
      <c r="P45" s="44">
        <f>O45</f>
        <v>4</v>
      </c>
      <c r="Q45" s="24">
        <f>R45-7</f>
        <v>46461</v>
      </c>
      <c r="R45" s="24">
        <f>IFERROR(_xlfn.XLOOKUP(P45,'Shipping Program'!$B$32:$B$78,'Shipping Program'!$A$32:$A$78),IFERROR(INDEX(_V7Batches!$B:$B,MATCH(P45&amp;"",_V7Batches!$A:$A,0)),""))</f>
        <v>46468</v>
      </c>
      <c r="S45" s="24">
        <f>IFERROR(_xlfn.XLOOKUP(P45,'Shipping Program'!$B$32:$B$78,'Shipping Program'!$E$32:$E$78),IFERROR(INDEX(_V7Batches!$D:$D,MATCH(P45&amp;"",_V7Batches!$A:$A,0)),""))</f>
        <v>46498</v>
      </c>
      <c r="T45" s="24">
        <f>S45+'Shipping Program'!$H$9</f>
        <v>46505</v>
      </c>
      <c r="U45" s="25">
        <f>IFERROR(IF(J45*T45&lt;&gt;0,J45-T45,""),"")</f>
        <v>19</v>
      </c>
      <c r="V45" s="25" t="str">
        <f>IF(U45&lt;&gt;"",IF(U45&gt;28,"Too early",IF(U45&lt;14,"Too late","")),"")</f>
        <v/>
      </c>
      <c r="W45" s="35"/>
      <c r="X45" s="26">
        <f ca="1">IF(OFFSET(X45,1,0)="",R45,OFFSET(X45,1,0))</f>
        <v>46468</v>
      </c>
      <c r="Y45" s="26">
        <f ca="1">IF(OFFSET(Y45,1,0)="",X45+'Shipping Program'!$F$9,OFFSET(Y45,1,0))</f>
        <v>46498</v>
      </c>
      <c r="Z45" s="26">
        <f ca="1">IF(OFFSET(Z45,1,0)="",Y45+'Shipping Program'!$H$9,OFFSET(Z45,1,0))</f>
        <v>46505</v>
      </c>
      <c r="AA45" s="27">
        <f ca="1">IFERROR(IF(J45*Z45&lt;&gt;0,J45-Z45,""),"")</f>
        <v>19</v>
      </c>
      <c r="AB45" s="27" t="str">
        <f ca="1">IF(AA45&lt;&gt;"",IF(AA45&gt;28,"Too early",IF(AA45&lt;14,"Too late","")),"")</f>
        <v/>
      </c>
      <c r="AC45" s="46"/>
      <c r="AE45" s="80" t="s">
        <v>54</v>
      </c>
      <c r="AF45" s="80"/>
      <c r="AG45" s="80"/>
      <c r="AH45" s="80" t="str">
        <f>IF(AI45="","",AI45*AJ45*AK45/1000/1000/1000)</f>
        <v/>
      </c>
      <c r="AI45" s="80"/>
      <c r="AJ45" s="80"/>
      <c r="AK45" s="80"/>
    </row>
    <row r="46" spans="1:37" ht="20.100000000000001" customHeight="1" outlineLevel="1">
      <c r="A46" s="33">
        <f ca="1">COUNTIF(J$3:OFFSET(J46,-1,0),"Subtotal:")+1</f>
        <v>4</v>
      </c>
      <c r="B46" s="62" t="str">
        <f ca="1">IF(OFFSET(B46,1,0)&lt;&gt;"",OFFSET(B46,1,0),"")</f>
        <v/>
      </c>
      <c r="C46" s="63"/>
      <c r="D46" s="59" t="s">
        <v>95</v>
      </c>
      <c r="E46" s="60" t="str">
        <f>LEFT(F46,3)</f>
        <v>#06</v>
      </c>
      <c r="F46" s="59" t="s">
        <v>225</v>
      </c>
      <c r="G46" s="59" t="s">
        <v>243</v>
      </c>
      <c r="H46" s="60"/>
      <c r="I46" s="24">
        <f>IF(J46&lt;&gt;"",J46 - ('Shipping Program'!$D$9 + 'Shipping Program'!$F$9 + 'Shipping Program'!$H$9), "")</f>
        <v>46478</v>
      </c>
      <c r="J46" s="43">
        <v>46525</v>
      </c>
      <c r="K46" s="44" t="str">
        <f>IF(SUM(M46:N46)=0,"",SUM(M46:N46))</f>
        <v/>
      </c>
      <c r="L46" s="64"/>
      <c r="M46" s="44"/>
      <c r="N46" s="54"/>
      <c r="O46" s="25">
        <f>VLOOKUP(I46,'Shipping Program'!$A$32:$B$78,2)-1</f>
        <v>4</v>
      </c>
      <c r="P46" s="44">
        <f>O46</f>
        <v>4</v>
      </c>
      <c r="Q46" s="24">
        <f>R46-7</f>
        <v>46461</v>
      </c>
      <c r="R46" s="24">
        <f>IFERROR(_xlfn.XLOOKUP(P46,'Shipping Program'!$B$32:$B$78,'Shipping Program'!$A$32:$A$78),IFERROR(INDEX(_V7Batches!$B:$B,MATCH(P46&amp;"",_V7Batches!$A:$A,0)),""))</f>
        <v>46468</v>
      </c>
      <c r="S46" s="24">
        <f>IFERROR(_xlfn.XLOOKUP(P46,'Shipping Program'!$B$32:$B$78,'Shipping Program'!$E$32:$E$78),IFERROR(INDEX(_V7Batches!$D:$D,MATCH(P46&amp;"",_V7Batches!$A:$A,0)),""))</f>
        <v>46498</v>
      </c>
      <c r="T46" s="24">
        <f>S46+'Shipping Program'!$H$9</f>
        <v>46505</v>
      </c>
      <c r="U46" s="25">
        <f>IFERROR(IF(J46*T46&lt;&gt;0,J46-T46,""),"")</f>
        <v>20</v>
      </c>
      <c r="V46" s="25" t="str">
        <f>IF(U46&lt;&gt;"",IF(U46&gt;28,"Too early",IF(U46&lt;14,"Too late","")),"")</f>
        <v/>
      </c>
      <c r="W46" s="35"/>
      <c r="X46" s="26">
        <f ca="1">IF(OFFSET(X46,1,0)="",R46,OFFSET(X46,1,0))</f>
        <v>46468</v>
      </c>
      <c r="Y46" s="26">
        <f ca="1">IF(OFFSET(Y46,1,0)="",X46+'Shipping Program'!$F$9,OFFSET(Y46,1,0))</f>
        <v>46498</v>
      </c>
      <c r="Z46" s="26">
        <f ca="1">IF(OFFSET(Z46,1,0)="",Y46+'Shipping Program'!$H$9,OFFSET(Z46,1,0))</f>
        <v>46505</v>
      </c>
      <c r="AA46" s="27">
        <f ca="1">IFERROR(IF(J46*Z46&lt;&gt;0,J46-Z46,""),"")</f>
        <v>20</v>
      </c>
      <c r="AB46" s="27" t="str">
        <f ca="1">IF(AA46&lt;&gt;"",IF(AA46&gt;28,"Too early",IF(AA46&lt;14,"Too late","")),"")</f>
        <v/>
      </c>
      <c r="AC46" s="46"/>
      <c r="AE46" s="80" t="s">
        <v>43</v>
      </c>
      <c r="AF46" s="80" t="s">
        <v>41</v>
      </c>
      <c r="AG46" s="80" t="s">
        <v>42</v>
      </c>
      <c r="AH46" s="80" t="str">
        <f>IF(AI46="","",AI46*AJ46*AK46/1000/1000/1000)</f>
        <v/>
      </c>
      <c r="AI46" s="80"/>
      <c r="AJ46" s="80"/>
      <c r="AK46" s="80"/>
    </row>
    <row r="47" spans="1:37" ht="20.100000000000001" customHeight="1" outlineLevel="1">
      <c r="A47" s="33">
        <f ca="1">COUNTIF(J$3:OFFSET(J47,-1,0),"Subtotal:")+1</f>
        <v>4</v>
      </c>
      <c r="B47" s="23" t="str">
        <f ca="1">IF(OFFSET(B47,1,0)&lt;&gt;"",OFFSET(B47,1,0),"")</f>
        <v/>
      </c>
      <c r="C47" s="42"/>
      <c r="D47" s="64" t="s">
        <v>97</v>
      </c>
      <c r="E47" s="60" t="str">
        <f>LEFT(F47,3)</f>
        <v>#10</v>
      </c>
      <c r="F47" s="59" t="s">
        <v>252</v>
      </c>
      <c r="G47" s="64" t="s">
        <v>277</v>
      </c>
      <c r="H47" s="64"/>
      <c r="I47" s="24">
        <f>IF(J47&lt;&gt;"",J47 - ('Shipping Program'!$D$9 + 'Shipping Program'!$F$9 + 'Shipping Program'!$H$9), "")</f>
        <v>46478</v>
      </c>
      <c r="J47" s="43">
        <v>46525</v>
      </c>
      <c r="K47" s="44" t="str">
        <f>IF(SUM(M47:N47)=0,"",SUM(M47:N47))</f>
        <v/>
      </c>
      <c r="L47" s="44"/>
      <c r="M47" s="44"/>
      <c r="N47" s="54"/>
      <c r="O47" s="25">
        <f>VLOOKUP(I47,'Shipping Program'!$A$32:$B$78,2)-1</f>
        <v>4</v>
      </c>
      <c r="P47" s="44">
        <f>O47</f>
        <v>4</v>
      </c>
      <c r="Q47" s="24">
        <f>R47-7</f>
        <v>46461</v>
      </c>
      <c r="R47" s="24">
        <f>IFERROR(_xlfn.XLOOKUP(P47,'Shipping Program'!$B$32:$B$78,'Shipping Program'!$A$32:$A$78),IFERROR(INDEX(_V7Batches!$B:$B,MATCH(P47&amp;"",_V7Batches!$A:$A,0)),""))</f>
        <v>46468</v>
      </c>
      <c r="S47" s="24">
        <f>IFERROR(_xlfn.XLOOKUP(P47,'Shipping Program'!$B$32:$B$78,'Shipping Program'!$E$32:$E$78),IFERROR(INDEX(_V7Batches!$D:$D,MATCH(P47&amp;"",_V7Batches!$A:$A,0)),""))</f>
        <v>46498</v>
      </c>
      <c r="T47" s="24">
        <f>S47+'Shipping Program'!$H$9</f>
        <v>46505</v>
      </c>
      <c r="U47" s="25">
        <f>IFERROR(IF(J47*T47&lt;&gt;0,J47-T47,""),"")</f>
        <v>20</v>
      </c>
      <c r="V47" s="25" t="str">
        <f>IF(U47&lt;&gt;"",IF(U47&gt;28,"Too early",IF(U47&lt;14,"Too late","")),"")</f>
        <v/>
      </c>
      <c r="W47" s="35"/>
      <c r="X47" s="26">
        <f ca="1">IF(OFFSET(X47,1,0)="",R47,OFFSET(X47,1,0))</f>
        <v>46468</v>
      </c>
      <c r="Y47" s="26">
        <f ca="1">IF(OFFSET(Y47,1,0)="",X47+'Shipping Program'!$F$9,OFFSET(Y47,1,0))</f>
        <v>46498</v>
      </c>
      <c r="Z47" s="26">
        <f ca="1">IF(OFFSET(Z47,1,0)="",Y47+'Shipping Program'!$H$9,OFFSET(Z47,1,0))</f>
        <v>46505</v>
      </c>
      <c r="AA47" s="27">
        <f ca="1">IFERROR(IF(J47*Z47&lt;&gt;0,J47-Z47,""),"")</f>
        <v>20</v>
      </c>
      <c r="AB47" s="27" t="str">
        <f ca="1">IF(AA47&lt;&gt;"",IF(AA47&gt;28,"Too early",IF(AA47&lt;14,"Too late","")),"")</f>
        <v/>
      </c>
      <c r="AC47" s="46"/>
      <c r="AE47" s="80" t="s">
        <v>43</v>
      </c>
      <c r="AF47" s="80" t="s">
        <v>41</v>
      </c>
      <c r="AG47" s="80" t="s">
        <v>42</v>
      </c>
      <c r="AH47" s="80" t="str">
        <f>IF(AI47="","",AI47*AJ47*AK47/1000/1000/1000)</f>
        <v/>
      </c>
      <c r="AI47" s="80"/>
      <c r="AJ47" s="80"/>
      <c r="AK47" s="80"/>
    </row>
    <row r="48" spans="1:37" ht="20.100000000000001" customHeight="1" outlineLevel="1">
      <c r="A48" s="34">
        <f ca="1">COUNTIF(J$3:OFFSET(J48,-1,0),"Subtotal:")+1</f>
        <v>4</v>
      </c>
      <c r="B48" s="47"/>
      <c r="C48" s="48"/>
      <c r="D48" s="73"/>
      <c r="E48" s="49"/>
      <c r="F48" s="74"/>
      <c r="G48" s="74"/>
      <c r="H48" s="49"/>
      <c r="I48" s="49"/>
      <c r="J48" s="49" t="s">
        <v>6424</v>
      </c>
      <c r="K48" s="28">
        <f ca="1">SUMIF(A$3:OFFSET(A48,-1,0),A48,K$3:OFFSET(K48,-1,0))</f>
        <v>0</v>
      </c>
      <c r="L48" s="28">
        <f ca="1">SUMIF(A$3:OFFSET(A48,-1,0),A48,L$3:OFFSET(L48,-1,0))</f>
        <v>0</v>
      </c>
      <c r="M48" s="28"/>
      <c r="N48" s="55"/>
      <c r="O48" s="49"/>
      <c r="P48" s="49"/>
      <c r="Q48" s="29">
        <f ca="1">R48-7</f>
        <v>46461</v>
      </c>
      <c r="R48" s="29">
        <f ca="1">IF(J48="Subtotal:",OFFSET(R48,-1,0),"")</f>
        <v>46468</v>
      </c>
      <c r="S48" s="29">
        <f ca="1">IF(J48="Subtotal:",OFFSET(S48,-1,0),"")</f>
        <v>46498</v>
      </c>
      <c r="T48" s="29">
        <f ca="1">IF(J48="Subtotal:",OFFSET(T48,-1,0),"")</f>
        <v>46505</v>
      </c>
      <c r="U48" s="30" t="str">
        <f ca="1">IFERROR(IF(J48*T48&lt;&gt;0,J48-T48,""),"")</f>
        <v/>
      </c>
      <c r="V48" s="31" t="str">
        <f ca="1">IF(U48&lt;&gt;"",IF(U48&gt;28,"Too early",IF(U48&lt;14,"Too late","")),"")</f>
        <v/>
      </c>
      <c r="W48" s="28">
        <f ca="1">(SUMIFS($K:$K,$J:$J,"&lt;&gt;Subtotal:",$J:$J,"&gt;"&amp;S48,$S:$S,"&lt;="&amp;S48))*24*1.3+(SUMIFS($L:$L,$J:$J,"&lt;&gt;Subtotal:",$J:$J,"&gt;"&amp;S48,$S:$S,"&lt;="&amp;S48))/3*1.3</f>
        <v>0</v>
      </c>
      <c r="X48" s="50"/>
      <c r="Y48" s="50"/>
      <c r="Z48" s="50"/>
      <c r="AA48" s="30" t="str">
        <f>IFERROR(IF(J48*Z48&lt;&gt;0,J48-Z48,""),"")</f>
        <v/>
      </c>
      <c r="AB48" s="31" t="str">
        <f>IF(AA48&lt;&gt;"",IF(AA48&gt;28,"Too early",IF(AA48&lt;14,"Too late","")),"")</f>
        <v/>
      </c>
      <c r="AC48" s="32">
        <f>(SUMIFS($K:$K,$J:$J,"&lt;&gt;Subtotal:",$J:$J,"&gt;"&amp;Y48,$Y:$Y,"&lt;="&amp;Y48))*24*1.3+(SUMIFS($L:$L,$J:$J,"&lt;&gt;Subtotal:",$J:$J,"&gt;"&amp;Y48,$Y:$Y,"&lt;="&amp;Y48))/3*1.3</f>
        <v>0</v>
      </c>
      <c r="AD48" s="58"/>
      <c r="AE48" s="78"/>
      <c r="AF48" s="78"/>
      <c r="AG48" s="78"/>
      <c r="AH48" s="78"/>
      <c r="AI48" s="78"/>
      <c r="AJ48" s="78"/>
      <c r="AK48" s="78"/>
    </row>
    <row r="49" spans="1:37" ht="20.100000000000001" customHeight="1" outlineLevel="1">
      <c r="A49" s="33">
        <f ca="1">COUNTIF(J$3:OFFSET(J49,-1,0),"Subtotal:")+1</f>
        <v>5</v>
      </c>
      <c r="B49" s="23" t="str">
        <f ca="1">IF(OFFSET(B49,1,0)&lt;&gt;"",OFFSET(B49,1,0),"")</f>
        <v/>
      </c>
      <c r="C49" s="42"/>
      <c r="D49" s="59" t="s">
        <v>48</v>
      </c>
      <c r="E49" s="60" t="str">
        <f>LEFT(F49,3)</f>
        <v>#02</v>
      </c>
      <c r="F49" s="59" t="s">
        <v>179</v>
      </c>
      <c r="G49" s="59" t="s">
        <v>197</v>
      </c>
      <c r="H49" s="60"/>
      <c r="I49" s="24">
        <f>IF(J49&lt;&gt;"",J49 - ('Shipping Program'!$D$9 + 'Shipping Program'!$F$9 + 'Shipping Program'!$H$9), "")</f>
        <v>46488</v>
      </c>
      <c r="J49" s="43">
        <v>46535</v>
      </c>
      <c r="K49" s="44" t="str">
        <f>IF(SUM(M49:N49)=0,"",SUM(M49:N49))</f>
        <v/>
      </c>
      <c r="L49" s="44"/>
      <c r="M49" s="44"/>
      <c r="N49" s="54"/>
      <c r="O49" s="25">
        <f>VLOOKUP(I49,'Shipping Program'!$A$32:$B$78,2)-1</f>
        <v>5</v>
      </c>
      <c r="P49" s="44">
        <f>O49</f>
        <v>5</v>
      </c>
      <c r="Q49" s="24">
        <f>R49-7</f>
        <v>46468</v>
      </c>
      <c r="R49" s="24">
        <f>IFERROR(_xlfn.XLOOKUP(P49,'Shipping Program'!$B$32:$B$78,'Shipping Program'!$A$32:$A$78),IFERROR(INDEX(_V7Batches!$B:$B,MATCH(P49&amp;"",_V7Batches!$A:$A,0)),""))</f>
        <v>46475</v>
      </c>
      <c r="S49" s="24">
        <f>IFERROR(_xlfn.XLOOKUP(P49,'Shipping Program'!$B$32:$B$78,'Shipping Program'!$E$32:$E$78),IFERROR(INDEX(_V7Batches!$D:$D,MATCH(P49&amp;"",_V7Batches!$A:$A,0)),""))</f>
        <v>46505</v>
      </c>
      <c r="T49" s="24">
        <f>S49+'Shipping Program'!$H$9</f>
        <v>46512</v>
      </c>
      <c r="U49" s="25">
        <f>IFERROR(IF(J49*T49&lt;&gt;0,J49-T49,""),"")</f>
        <v>23</v>
      </c>
      <c r="V49" s="25" t="str">
        <f>IF(U49&lt;&gt;"",IF(U49&gt;28,"Too early",IF(U49&lt;14,"Too late","")),"")</f>
        <v/>
      </c>
      <c r="W49" s="35"/>
      <c r="X49" s="26">
        <f ca="1">IF(OFFSET(X49,1,0)="",R49,OFFSET(X49,1,0))</f>
        <v>46475</v>
      </c>
      <c r="Y49" s="26">
        <f ca="1">IF(OFFSET(Y49,1,0)="",X49+'Shipping Program'!$F$9,OFFSET(Y49,1,0))</f>
        <v>46505</v>
      </c>
      <c r="Z49" s="26">
        <f ca="1">IF(OFFSET(Z49,1,0)="",Y49+'Shipping Program'!$H$9,OFFSET(Z49,1,0))</f>
        <v>46512</v>
      </c>
      <c r="AA49" s="27">
        <f ca="1">IFERROR(IF(J49*Z49&lt;&gt;0,J49-Z49,""),"")</f>
        <v>23</v>
      </c>
      <c r="AB49" s="27" t="str">
        <f ca="1">IF(AA49&lt;&gt;"",IF(AA49&gt;28,"Too early",IF(AA49&lt;14,"Too late","")),"")</f>
        <v/>
      </c>
      <c r="AC49" s="46"/>
      <c r="AE49" s="80" t="s">
        <v>43</v>
      </c>
      <c r="AF49" s="80" t="s">
        <v>41</v>
      </c>
      <c r="AG49" s="80" t="s">
        <v>42</v>
      </c>
      <c r="AH49" s="80" t="str">
        <f>IF(AI49="","",AI49*AJ49*AK49/1000/1000/1000)</f>
        <v/>
      </c>
      <c r="AI49" s="80"/>
      <c r="AJ49" s="80"/>
      <c r="AK49" s="80"/>
    </row>
    <row r="50" spans="1:37" ht="20.100000000000001" customHeight="1" outlineLevel="1">
      <c r="A50" s="33">
        <f ca="1">COUNTIF(J$3:OFFSET(J50,-1,0),"Subtotal:")+1</f>
        <v>5</v>
      </c>
      <c r="B50" s="23" t="str">
        <f ca="1">IF(OFFSET(B50,1,0)&lt;&gt;"",OFFSET(B50,1,0),"")</f>
        <v/>
      </c>
      <c r="C50" s="42"/>
      <c r="D50" s="59" t="s">
        <v>48</v>
      </c>
      <c r="E50" s="60" t="str">
        <f>LEFT(F50,3)</f>
        <v>#02</v>
      </c>
      <c r="F50" s="59" t="s">
        <v>178</v>
      </c>
      <c r="G50" s="59" t="s">
        <v>197</v>
      </c>
      <c r="H50" s="60"/>
      <c r="I50" s="24">
        <f>IF(J50&lt;&gt;"",J50 - ('Shipping Program'!$D$9 + 'Shipping Program'!$F$9 + 'Shipping Program'!$H$9), "")</f>
        <v>46488</v>
      </c>
      <c r="J50" s="43">
        <v>46535</v>
      </c>
      <c r="K50" s="44" t="str">
        <f>IF(SUM(M50:N50)=0,"",SUM(M50:N50))</f>
        <v/>
      </c>
      <c r="L50" s="44"/>
      <c r="M50" s="44"/>
      <c r="N50" s="54"/>
      <c r="O50" s="25">
        <f>VLOOKUP(I50,'Shipping Program'!$A$32:$B$78,2)-1</f>
        <v>5</v>
      </c>
      <c r="P50" s="44">
        <f>O50</f>
        <v>5</v>
      </c>
      <c r="Q50" s="24">
        <f>R50-7</f>
        <v>46468</v>
      </c>
      <c r="R50" s="24">
        <f>IFERROR(_xlfn.XLOOKUP(P50,'Shipping Program'!$B$32:$B$78,'Shipping Program'!$A$32:$A$78),IFERROR(INDEX(_V7Batches!$B:$B,MATCH(P50&amp;"",_V7Batches!$A:$A,0)),""))</f>
        <v>46475</v>
      </c>
      <c r="S50" s="24">
        <f>IFERROR(_xlfn.XLOOKUP(P50,'Shipping Program'!$B$32:$B$78,'Shipping Program'!$E$32:$E$78),IFERROR(INDEX(_V7Batches!$D:$D,MATCH(P50&amp;"",_V7Batches!$A:$A,0)),""))</f>
        <v>46505</v>
      </c>
      <c r="T50" s="24">
        <f>S50+'Shipping Program'!$H$9</f>
        <v>46512</v>
      </c>
      <c r="U50" s="25">
        <f>IFERROR(IF(J50*T50&lt;&gt;0,J50-T50,""),"")</f>
        <v>23</v>
      </c>
      <c r="V50" s="25" t="str">
        <f>IF(U50&lt;&gt;"",IF(U50&gt;28,"Too early",IF(U50&lt;14,"Too late","")),"")</f>
        <v/>
      </c>
      <c r="W50" s="35"/>
      <c r="X50" s="26">
        <f ca="1">IF(OFFSET(X50,1,0)="",R50,OFFSET(X50,1,0))</f>
        <v>46475</v>
      </c>
      <c r="Y50" s="26">
        <f ca="1">IF(OFFSET(Y50,1,0)="",X50+'Shipping Program'!$F$9,OFFSET(Y50,1,0))</f>
        <v>46505</v>
      </c>
      <c r="Z50" s="26">
        <f ca="1">IF(OFFSET(Z50,1,0)="",Y50+'Shipping Program'!$H$9,OFFSET(Z50,1,0))</f>
        <v>46512</v>
      </c>
      <c r="AA50" s="27">
        <f ca="1">IFERROR(IF(J50*Z50&lt;&gt;0,J50-Z50,""),"")</f>
        <v>23</v>
      </c>
      <c r="AB50" s="27" t="str">
        <f ca="1">IF(AA50&lt;&gt;"",IF(AA50&gt;28,"Too early",IF(AA50&lt;14,"Too late","")),"")</f>
        <v/>
      </c>
      <c r="AC50" s="46"/>
      <c r="AE50" s="80" t="s">
        <v>43</v>
      </c>
      <c r="AF50" s="80" t="s">
        <v>41</v>
      </c>
      <c r="AG50" s="80" t="s">
        <v>42</v>
      </c>
      <c r="AH50" s="80" t="str">
        <f>IF(AI50="","",AI50*AJ50*AK50/1000/1000/1000)</f>
        <v/>
      </c>
      <c r="AI50" s="80"/>
      <c r="AJ50" s="80"/>
      <c r="AK50" s="80"/>
    </row>
    <row r="51" spans="1:37" ht="20.100000000000001" customHeight="1" outlineLevel="1">
      <c r="A51" s="33">
        <f ca="1">COUNTIF(J$3:OFFSET(J51,-1,0),"Subtotal:")+1</f>
        <v>5</v>
      </c>
      <c r="B51" s="23" t="str">
        <f ca="1">IF(OFFSET(B51,1,0)&lt;&gt;"",OFFSET(B51,1,0),"")</f>
        <v/>
      </c>
      <c r="C51" s="42"/>
      <c r="D51" s="59" t="s">
        <v>52</v>
      </c>
      <c r="E51" s="60" t="str">
        <f>LEFT(F51,3)</f>
        <v>#02</v>
      </c>
      <c r="F51" s="59" t="s">
        <v>179</v>
      </c>
      <c r="G51" s="59" t="s">
        <v>202</v>
      </c>
      <c r="H51" s="60"/>
      <c r="I51" s="24">
        <f>IF(J51&lt;&gt;"",J51 - ('Shipping Program'!$D$9 + 'Shipping Program'!$F$9 + 'Shipping Program'!$H$9), "")</f>
        <v>46484</v>
      </c>
      <c r="J51" s="43">
        <v>46531</v>
      </c>
      <c r="K51" s="44" t="str">
        <f>IF(SUM(M51:N51)=0,"",SUM(M51:N51))</f>
        <v/>
      </c>
      <c r="L51" s="44"/>
      <c r="M51" s="44"/>
      <c r="N51" s="54"/>
      <c r="O51" s="25">
        <f>VLOOKUP(I51,'Shipping Program'!$A$32:$B$78,2)-1</f>
        <v>5</v>
      </c>
      <c r="P51" s="44">
        <f>O51</f>
        <v>5</v>
      </c>
      <c r="Q51" s="24">
        <f>R51-7</f>
        <v>46468</v>
      </c>
      <c r="R51" s="24">
        <f>IFERROR(_xlfn.XLOOKUP(P51,'Shipping Program'!$B$32:$B$78,'Shipping Program'!$A$32:$A$78),IFERROR(INDEX(_V7Batches!$B:$B,MATCH(P51&amp;"",_V7Batches!$A:$A,0)),""))</f>
        <v>46475</v>
      </c>
      <c r="S51" s="24">
        <f>IFERROR(_xlfn.XLOOKUP(P51,'Shipping Program'!$B$32:$B$78,'Shipping Program'!$E$32:$E$78),IFERROR(INDEX(_V7Batches!$D:$D,MATCH(P51&amp;"",_V7Batches!$A:$A,0)),""))</f>
        <v>46505</v>
      </c>
      <c r="T51" s="24">
        <f>S51+'Shipping Program'!$H$9</f>
        <v>46512</v>
      </c>
      <c r="U51" s="25">
        <f>IFERROR(IF(J51*T51&lt;&gt;0,J51-T51,""),"")</f>
        <v>19</v>
      </c>
      <c r="V51" s="25" t="str">
        <f>IF(U51&lt;&gt;"",IF(U51&gt;28,"Too early",IF(U51&lt;14,"Too late","")),"")</f>
        <v/>
      </c>
      <c r="W51" s="35"/>
      <c r="X51" s="26">
        <f ca="1">IF(OFFSET(X51,1,0)="",R51,OFFSET(X51,1,0))</f>
        <v>46475</v>
      </c>
      <c r="Y51" s="26">
        <f ca="1">IF(OFFSET(Y51,1,0)="",X51+'Shipping Program'!$F$9,OFFSET(Y51,1,0))</f>
        <v>46505</v>
      </c>
      <c r="Z51" s="26">
        <f ca="1">IF(OFFSET(Z51,1,0)="",Y51+'Shipping Program'!$H$9,OFFSET(Z51,1,0))</f>
        <v>46512</v>
      </c>
      <c r="AA51" s="27">
        <f ca="1">IFERROR(IF(J51*Z51&lt;&gt;0,J51-Z51,""),"")</f>
        <v>19</v>
      </c>
      <c r="AB51" s="27" t="str">
        <f ca="1">IF(AA51&lt;&gt;"",IF(AA51&gt;28,"Too early",IF(AA51&lt;14,"Too late","")),"")</f>
        <v/>
      </c>
      <c r="AC51" s="46"/>
      <c r="AE51" s="80" t="s">
        <v>43</v>
      </c>
      <c r="AF51" s="80" t="s">
        <v>41</v>
      </c>
      <c r="AG51" s="80" t="s">
        <v>42</v>
      </c>
      <c r="AH51" s="80" t="str">
        <f>IF(AI51="","",AI51*AJ51*AK51/1000/1000/1000)</f>
        <v/>
      </c>
      <c r="AI51" s="80"/>
      <c r="AJ51" s="80"/>
      <c r="AK51" s="80"/>
    </row>
    <row r="52" spans="1:37" ht="20.100000000000001" customHeight="1" outlineLevel="1">
      <c r="A52" s="33">
        <f ca="1">COUNTIF(J$3:OFFSET(J52,-1,0),"Subtotal:")+1</f>
        <v>5</v>
      </c>
      <c r="B52" s="23" t="str">
        <f ca="1">IF(OFFSET(B52,1,0)&lt;&gt;"",OFFSET(B52,1,0),"")</f>
        <v/>
      </c>
      <c r="C52" s="42"/>
      <c r="D52" s="59" t="s">
        <v>62</v>
      </c>
      <c r="E52" s="60" t="str">
        <f>LEFT(F52,3)</f>
        <v>#04</v>
      </c>
      <c r="F52" s="59" t="s">
        <v>221</v>
      </c>
      <c r="G52" s="59" t="s">
        <v>213</v>
      </c>
      <c r="H52" s="60"/>
      <c r="I52" s="24">
        <f>IF(J52&lt;&gt;"",J52 - ('Shipping Program'!$D$9 + 'Shipping Program'!$F$9 + 'Shipping Program'!$H$9), "")</f>
        <v>46485</v>
      </c>
      <c r="J52" s="43">
        <v>46532</v>
      </c>
      <c r="K52" s="44" t="str">
        <f>IF(SUM(M52:N52)=0,"",SUM(M52:N52))</f>
        <v/>
      </c>
      <c r="L52" s="44"/>
      <c r="M52" s="44"/>
      <c r="N52" s="54"/>
      <c r="O52" s="25">
        <f>VLOOKUP(I52,'Shipping Program'!$A$32:$B$78,2)-1</f>
        <v>5</v>
      </c>
      <c r="P52" s="44">
        <f>O52</f>
        <v>5</v>
      </c>
      <c r="Q52" s="24">
        <f>R52-7</f>
        <v>46468</v>
      </c>
      <c r="R52" s="24">
        <f>IFERROR(_xlfn.XLOOKUP(P52,'Shipping Program'!$B$32:$B$78,'Shipping Program'!$A$32:$A$78),IFERROR(INDEX(_V7Batches!$B:$B,MATCH(P52&amp;"",_V7Batches!$A:$A,0)),""))</f>
        <v>46475</v>
      </c>
      <c r="S52" s="24">
        <f>IFERROR(_xlfn.XLOOKUP(P52,'Shipping Program'!$B$32:$B$78,'Shipping Program'!$E$32:$E$78),IFERROR(INDEX(_V7Batches!$D:$D,MATCH(P52&amp;"",_V7Batches!$A:$A,0)),""))</f>
        <v>46505</v>
      </c>
      <c r="T52" s="24">
        <f>S52+'Shipping Program'!$H$9</f>
        <v>46512</v>
      </c>
      <c r="U52" s="25">
        <f>IFERROR(IF(J52*T52&lt;&gt;0,J52-T52,""),"")</f>
        <v>20</v>
      </c>
      <c r="V52" s="25" t="str">
        <f>IF(U52&lt;&gt;"",IF(U52&gt;28,"Too early",IF(U52&lt;14,"Too late","")),"")</f>
        <v/>
      </c>
      <c r="W52" s="35"/>
      <c r="X52" s="26">
        <f ca="1">IF(OFFSET(X52,1,0)="",R52,OFFSET(X52,1,0))</f>
        <v>46475</v>
      </c>
      <c r="Y52" s="26">
        <f ca="1">IF(OFFSET(Y52,1,0)="",X52+'Shipping Program'!$F$9,OFFSET(Y52,1,0))</f>
        <v>46505</v>
      </c>
      <c r="Z52" s="26">
        <f ca="1">IF(OFFSET(Z52,1,0)="",Y52+'Shipping Program'!$H$9,OFFSET(Z52,1,0))</f>
        <v>46512</v>
      </c>
      <c r="AA52" s="27">
        <f ca="1">IFERROR(IF(J52*Z52&lt;&gt;0,J52-Z52,""),"")</f>
        <v>20</v>
      </c>
      <c r="AB52" s="27" t="str">
        <f ca="1">IF(AA52&lt;&gt;"",IF(AA52&gt;28,"Too early",IF(AA52&lt;14,"Too late","")),"")</f>
        <v/>
      </c>
      <c r="AC52" s="46"/>
      <c r="AE52" s="80" t="s">
        <v>43</v>
      </c>
      <c r="AF52" s="80" t="s">
        <v>41</v>
      </c>
      <c r="AG52" s="80" t="s">
        <v>63</v>
      </c>
      <c r="AH52" s="80" t="str">
        <f>IF(AI52="","",AI52*AJ52*AK52/1000/1000/1000)</f>
        <v/>
      </c>
      <c r="AI52" s="80"/>
      <c r="AJ52" s="80"/>
      <c r="AK52" s="80"/>
    </row>
    <row r="53" spans="1:37" ht="20.100000000000001" customHeight="1" outlineLevel="1">
      <c r="A53" s="33">
        <f ca="1">COUNTIF(J$3:OFFSET(J53,-1,0),"Subtotal:")+1</f>
        <v>5</v>
      </c>
      <c r="B53" s="23" t="str">
        <f ca="1">IF(OFFSET(B53,1,0)&lt;&gt;"",OFFSET(B53,1,0),"")</f>
        <v/>
      </c>
      <c r="C53" s="42"/>
      <c r="D53" s="59" t="s">
        <v>62</v>
      </c>
      <c r="E53" s="60" t="str">
        <f>LEFT(F53,3)</f>
        <v>#04</v>
      </c>
      <c r="F53" s="59" t="s">
        <v>221</v>
      </c>
      <c r="G53" s="59" t="s">
        <v>214</v>
      </c>
      <c r="H53" s="60"/>
      <c r="I53" s="24">
        <f>IF(J53&lt;&gt;"",J53 - ('Shipping Program'!$D$9 + 'Shipping Program'!$F$9 + 'Shipping Program'!$H$9), "")</f>
        <v>46486</v>
      </c>
      <c r="J53" s="43">
        <v>46533</v>
      </c>
      <c r="K53" s="44" t="str">
        <f>IF(SUM(M53:N53)=0,"",SUM(M53:N53))</f>
        <v/>
      </c>
      <c r="L53" s="44"/>
      <c r="M53" s="44"/>
      <c r="N53" s="54"/>
      <c r="O53" s="25">
        <f>VLOOKUP(I53,'Shipping Program'!$A$32:$B$78,2)-1</f>
        <v>5</v>
      </c>
      <c r="P53" s="44">
        <f>O53</f>
        <v>5</v>
      </c>
      <c r="Q53" s="24">
        <f>R53-7</f>
        <v>46468</v>
      </c>
      <c r="R53" s="24">
        <f>IFERROR(_xlfn.XLOOKUP(P53,'Shipping Program'!$B$32:$B$78,'Shipping Program'!$A$32:$A$78),IFERROR(INDEX(_V7Batches!$B:$B,MATCH(P53&amp;"",_V7Batches!$A:$A,0)),""))</f>
        <v>46475</v>
      </c>
      <c r="S53" s="24">
        <f>IFERROR(_xlfn.XLOOKUP(P53,'Shipping Program'!$B$32:$B$78,'Shipping Program'!$E$32:$E$78),IFERROR(INDEX(_V7Batches!$D:$D,MATCH(P53&amp;"",_V7Batches!$A:$A,0)),""))</f>
        <v>46505</v>
      </c>
      <c r="T53" s="24">
        <f>S53+'Shipping Program'!$H$9</f>
        <v>46512</v>
      </c>
      <c r="U53" s="25">
        <f>IFERROR(IF(J53*T53&lt;&gt;0,J53-T53,""),"")</f>
        <v>21</v>
      </c>
      <c r="V53" s="25" t="str">
        <f>IF(U53&lt;&gt;"",IF(U53&gt;28,"Too early",IF(U53&lt;14,"Too late","")),"")</f>
        <v/>
      </c>
      <c r="W53" s="35"/>
      <c r="X53" s="26">
        <f ca="1">IF(OFFSET(X53,1,0)="",R53,OFFSET(X53,1,0))</f>
        <v>46475</v>
      </c>
      <c r="Y53" s="26">
        <f ca="1">IF(OFFSET(Y53,1,0)="",X53+'Shipping Program'!$F$9,OFFSET(Y53,1,0))</f>
        <v>46505</v>
      </c>
      <c r="Z53" s="26">
        <f ca="1">IF(OFFSET(Z53,1,0)="",Y53+'Shipping Program'!$H$9,OFFSET(Z53,1,0))</f>
        <v>46512</v>
      </c>
      <c r="AA53" s="27">
        <f ca="1">IFERROR(IF(J53*Z53&lt;&gt;0,J53-Z53,""),"")</f>
        <v>21</v>
      </c>
      <c r="AB53" s="27" t="str">
        <f ca="1">IF(AA53&lt;&gt;"",IF(AA53&gt;28,"Too early",IF(AA53&lt;14,"Too late","")),"")</f>
        <v/>
      </c>
      <c r="AC53" s="46"/>
      <c r="AE53" s="80" t="s">
        <v>43</v>
      </c>
      <c r="AF53" s="80" t="s">
        <v>41</v>
      </c>
      <c r="AG53" s="80" t="s">
        <v>63</v>
      </c>
      <c r="AH53" s="80" t="str">
        <f>IF(AI53="","",AI53*AJ53*AK53/1000/1000/1000)</f>
        <v/>
      </c>
      <c r="AI53" s="80"/>
      <c r="AJ53" s="80"/>
      <c r="AK53" s="80"/>
    </row>
    <row r="54" spans="1:37" ht="20.100000000000001" customHeight="1" outlineLevel="1">
      <c r="A54" s="33">
        <f ca="1">COUNTIF(J$3:OFFSET(J54,-1,0),"Subtotal:")+1</f>
        <v>5</v>
      </c>
      <c r="B54" s="23" t="str">
        <f ca="1">IF(OFFSET(B54,1,0)&lt;&gt;"",OFFSET(B54,1,0),"")</f>
        <v/>
      </c>
      <c r="C54" s="42"/>
      <c r="D54" s="59" t="s">
        <v>71</v>
      </c>
      <c r="E54" s="60" t="str">
        <f>LEFT(F54,3)</f>
        <v>#01</v>
      </c>
      <c r="F54" s="59" t="s">
        <v>187</v>
      </c>
      <c r="G54" s="59" t="s">
        <v>186</v>
      </c>
      <c r="H54" s="60"/>
      <c r="I54" s="24">
        <f>IF(J54&lt;&gt;"",J54 - ('Shipping Program'!$D$9 + 'Shipping Program'!$F$9 + 'Shipping Program'!$H$9), "")</f>
        <v>46485</v>
      </c>
      <c r="J54" s="43">
        <v>46532</v>
      </c>
      <c r="K54" s="44" t="str">
        <f>IF(SUM(M54:N54)=0,"",SUM(M54:N54))</f>
        <v/>
      </c>
      <c r="L54" s="44"/>
      <c r="M54" s="44"/>
      <c r="N54" s="54"/>
      <c r="O54" s="25">
        <f>VLOOKUP(I54,'Shipping Program'!$A$32:$B$78,2)-1</f>
        <v>5</v>
      </c>
      <c r="P54" s="44">
        <f>O54</f>
        <v>5</v>
      </c>
      <c r="Q54" s="24">
        <f>R54-7</f>
        <v>46468</v>
      </c>
      <c r="R54" s="24">
        <f>IFERROR(_xlfn.XLOOKUP(P54,'Shipping Program'!$B$32:$B$78,'Shipping Program'!$A$32:$A$78),IFERROR(INDEX(_V7Batches!$B:$B,MATCH(P54&amp;"",_V7Batches!$A:$A,0)),""))</f>
        <v>46475</v>
      </c>
      <c r="S54" s="24">
        <f>IFERROR(_xlfn.XLOOKUP(P54,'Shipping Program'!$B$32:$B$78,'Shipping Program'!$E$32:$E$78),IFERROR(INDEX(_V7Batches!$D:$D,MATCH(P54&amp;"",_V7Batches!$A:$A,0)),""))</f>
        <v>46505</v>
      </c>
      <c r="T54" s="24">
        <f>S54+'Shipping Program'!$H$9</f>
        <v>46512</v>
      </c>
      <c r="U54" s="25">
        <f>IFERROR(IF(J54*T54&lt;&gt;0,J54-T54,""),"")</f>
        <v>20</v>
      </c>
      <c r="V54" s="25" t="str">
        <f>IF(U54&lt;&gt;"",IF(U54&gt;28,"Too early",IF(U54&lt;14,"Too late","")),"")</f>
        <v/>
      </c>
      <c r="W54" s="35"/>
      <c r="X54" s="26">
        <f ca="1">IF(OFFSET(X54,1,0)="",R54,OFFSET(X54,1,0))</f>
        <v>46475</v>
      </c>
      <c r="Y54" s="26">
        <f ca="1">IF(OFFSET(Y54,1,0)="",X54+'Shipping Program'!$F$9,OFFSET(Y54,1,0))</f>
        <v>46505</v>
      </c>
      <c r="Z54" s="26">
        <f ca="1">IF(OFFSET(Z54,1,0)="",Y54+'Shipping Program'!$H$9,OFFSET(Z54,1,0))</f>
        <v>46512</v>
      </c>
      <c r="AA54" s="27">
        <f ca="1">IFERROR(IF(J54*Z54&lt;&gt;0,J54-Z54,""),"")</f>
        <v>20</v>
      </c>
      <c r="AB54" s="27" t="str">
        <f ca="1">IF(AA54&lt;&gt;"",IF(AA54&gt;28,"Too early",IF(AA54&lt;14,"Too late","")),"")</f>
        <v/>
      </c>
      <c r="AC54" s="46"/>
      <c r="AE54" s="80" t="s">
        <v>54</v>
      </c>
      <c r="AF54" s="80"/>
      <c r="AG54" s="80"/>
      <c r="AH54" s="80" t="str">
        <f>IF(AI54="","",AI54*AJ54*AK54/1000/1000/1000)</f>
        <v/>
      </c>
      <c r="AI54" s="80"/>
      <c r="AJ54" s="80"/>
      <c r="AK54" s="80"/>
    </row>
    <row r="55" spans="1:37" ht="20.100000000000001" customHeight="1" outlineLevel="1">
      <c r="A55" s="33">
        <f ca="1">COUNTIF(J$3:OFFSET(J55,-1,0),"Subtotal:")+1</f>
        <v>5</v>
      </c>
      <c r="B55" s="23" t="str">
        <f ca="1">IF(OFFSET(B55,1,0)&lt;&gt;"",OFFSET(B55,1,0),"")</f>
        <v/>
      </c>
      <c r="C55" s="42"/>
      <c r="D55" s="59" t="s">
        <v>71</v>
      </c>
      <c r="E55" s="60" t="str">
        <f>LEFT(F55,3)</f>
        <v>#01</v>
      </c>
      <c r="F55" s="59" t="s">
        <v>187</v>
      </c>
      <c r="G55" s="59" t="s">
        <v>188</v>
      </c>
      <c r="H55" s="60"/>
      <c r="I55" s="24">
        <f>IF(J55&lt;&gt;"",J55 - ('Shipping Program'!$D$9 + 'Shipping Program'!$F$9 + 'Shipping Program'!$H$9), "")</f>
        <v>46485</v>
      </c>
      <c r="J55" s="43">
        <v>46532</v>
      </c>
      <c r="K55" s="44" t="str">
        <f>IF(SUM(M55:N55)=0,"",SUM(M55:N55))</f>
        <v/>
      </c>
      <c r="L55" s="44"/>
      <c r="M55" s="44"/>
      <c r="N55" s="54"/>
      <c r="O55" s="25">
        <f>VLOOKUP(I55,'Shipping Program'!$A$32:$B$78,2)-1</f>
        <v>5</v>
      </c>
      <c r="P55" s="44">
        <f>O55</f>
        <v>5</v>
      </c>
      <c r="Q55" s="24">
        <f>R55-7</f>
        <v>46468</v>
      </c>
      <c r="R55" s="24">
        <f>IFERROR(_xlfn.XLOOKUP(P55,'Shipping Program'!$B$32:$B$78,'Shipping Program'!$A$32:$A$78),IFERROR(INDEX(_V7Batches!$B:$B,MATCH(P55&amp;"",_V7Batches!$A:$A,0)),""))</f>
        <v>46475</v>
      </c>
      <c r="S55" s="24">
        <f>IFERROR(_xlfn.XLOOKUP(P55,'Shipping Program'!$B$32:$B$78,'Shipping Program'!$E$32:$E$78),IFERROR(INDEX(_V7Batches!$D:$D,MATCH(P55&amp;"",_V7Batches!$A:$A,0)),""))</f>
        <v>46505</v>
      </c>
      <c r="T55" s="24">
        <f>S55+'Shipping Program'!$H$9</f>
        <v>46512</v>
      </c>
      <c r="U55" s="25">
        <f>IFERROR(IF(J55*T55&lt;&gt;0,J55-T55,""),"")</f>
        <v>20</v>
      </c>
      <c r="V55" s="25" t="str">
        <f>IF(U55&lt;&gt;"",IF(U55&gt;28,"Too early",IF(U55&lt;14,"Too late","")),"")</f>
        <v/>
      </c>
      <c r="W55" s="35"/>
      <c r="X55" s="26">
        <f ca="1">IF(OFFSET(X55,1,0)="",R55,OFFSET(X55,1,0))</f>
        <v>46475</v>
      </c>
      <c r="Y55" s="26">
        <f ca="1">IF(OFFSET(Y55,1,0)="",X55+'Shipping Program'!$F$9,OFFSET(Y55,1,0))</f>
        <v>46505</v>
      </c>
      <c r="Z55" s="26">
        <f ca="1">IF(OFFSET(Z55,1,0)="",Y55+'Shipping Program'!$H$9,OFFSET(Z55,1,0))</f>
        <v>46512</v>
      </c>
      <c r="AA55" s="27">
        <f ca="1">IFERROR(IF(J55*Z55&lt;&gt;0,J55-Z55,""),"")</f>
        <v>20</v>
      </c>
      <c r="AB55" s="27" t="str">
        <f ca="1">IF(AA55&lt;&gt;"",IF(AA55&gt;28,"Too early",IF(AA55&lt;14,"Too late","")),"")</f>
        <v/>
      </c>
      <c r="AC55" s="46"/>
      <c r="AE55" s="80" t="s">
        <v>54</v>
      </c>
      <c r="AF55" s="80"/>
      <c r="AG55" s="80"/>
      <c r="AH55" s="80" t="str">
        <f>IF(AI55="","",AI55*AJ55*AK55/1000/1000/1000)</f>
        <v/>
      </c>
      <c r="AI55" s="80"/>
      <c r="AJ55" s="80"/>
      <c r="AK55" s="80"/>
    </row>
    <row r="56" spans="1:37" ht="20.100000000000001" customHeight="1" outlineLevel="1">
      <c r="A56" s="33">
        <f ca="1">COUNTIF(J$3:OFFSET(J56,-1,0),"Subtotal:")+1</f>
        <v>5</v>
      </c>
      <c r="B56" s="23" t="str">
        <f ca="1">IF(OFFSET(B56,1,0)&lt;&gt;"",OFFSET(B56,1,0),"")</f>
        <v/>
      </c>
      <c r="C56" s="42"/>
      <c r="D56" s="59" t="s">
        <v>71</v>
      </c>
      <c r="E56" s="60" t="str">
        <f>LEFT(F56,3)</f>
        <v>#01</v>
      </c>
      <c r="F56" s="59" t="s">
        <v>187</v>
      </c>
      <c r="G56" s="59" t="s">
        <v>189</v>
      </c>
      <c r="H56" s="60"/>
      <c r="I56" s="24">
        <f>IF(J56&lt;&gt;"",J56 - ('Shipping Program'!$D$9 + 'Shipping Program'!$F$9 + 'Shipping Program'!$H$9), "")</f>
        <v>46485</v>
      </c>
      <c r="J56" s="43">
        <v>46532</v>
      </c>
      <c r="K56" s="44" t="str">
        <f>IF(SUM(M56:N56)=0,"",SUM(M56:N56))</f>
        <v/>
      </c>
      <c r="L56" s="44"/>
      <c r="M56" s="44"/>
      <c r="N56" s="54"/>
      <c r="O56" s="25">
        <f>VLOOKUP(I56,'Shipping Program'!$A$32:$B$78,2)-1</f>
        <v>5</v>
      </c>
      <c r="P56" s="44">
        <f>O56</f>
        <v>5</v>
      </c>
      <c r="Q56" s="24">
        <f>R56-7</f>
        <v>46468</v>
      </c>
      <c r="R56" s="24">
        <f>IFERROR(_xlfn.XLOOKUP(P56,'Shipping Program'!$B$32:$B$78,'Shipping Program'!$A$32:$A$78),IFERROR(INDEX(_V7Batches!$B:$B,MATCH(P56&amp;"",_V7Batches!$A:$A,0)),""))</f>
        <v>46475</v>
      </c>
      <c r="S56" s="24">
        <f>IFERROR(_xlfn.XLOOKUP(P56,'Shipping Program'!$B$32:$B$78,'Shipping Program'!$E$32:$E$78),IFERROR(INDEX(_V7Batches!$D:$D,MATCH(P56&amp;"",_V7Batches!$A:$A,0)),""))</f>
        <v>46505</v>
      </c>
      <c r="T56" s="24">
        <f>S56+'Shipping Program'!$H$9</f>
        <v>46512</v>
      </c>
      <c r="U56" s="25">
        <f>IFERROR(IF(J56*T56&lt;&gt;0,J56-T56,""),"")</f>
        <v>20</v>
      </c>
      <c r="V56" s="25" t="str">
        <f>IF(U56&lt;&gt;"",IF(U56&gt;28,"Too early",IF(U56&lt;14,"Too late","")),"")</f>
        <v/>
      </c>
      <c r="W56" s="35"/>
      <c r="X56" s="26">
        <f ca="1">IF(OFFSET(X56,1,0)="",R56,OFFSET(X56,1,0))</f>
        <v>46475</v>
      </c>
      <c r="Y56" s="26">
        <f ca="1">IF(OFFSET(Y56,1,0)="",X56+'Shipping Program'!$F$9,OFFSET(Y56,1,0))</f>
        <v>46505</v>
      </c>
      <c r="Z56" s="26">
        <f ca="1">IF(OFFSET(Z56,1,0)="",Y56+'Shipping Program'!$H$9,OFFSET(Z56,1,0))</f>
        <v>46512</v>
      </c>
      <c r="AA56" s="27">
        <f ca="1">IFERROR(IF(J56*Z56&lt;&gt;0,J56-Z56,""),"")</f>
        <v>20</v>
      </c>
      <c r="AB56" s="27" t="str">
        <f ca="1">IF(AA56&lt;&gt;"",IF(AA56&gt;28,"Too early",IF(AA56&lt;14,"Too late","")),"")</f>
        <v/>
      </c>
      <c r="AC56" s="46"/>
      <c r="AE56" s="80" t="s">
        <v>54</v>
      </c>
      <c r="AF56" s="80"/>
      <c r="AG56" s="80"/>
      <c r="AH56" s="80" t="str">
        <f>IF(AI56="","",AI56*AJ56*AK56/1000/1000/1000)</f>
        <v/>
      </c>
      <c r="AI56" s="80"/>
      <c r="AJ56" s="80"/>
      <c r="AK56" s="80"/>
    </row>
    <row r="57" spans="1:37" ht="20.100000000000001" customHeight="1">
      <c r="A57" s="33">
        <f ca="1">COUNTIF(J$3:OFFSET(J57,-1,0),"Subtotal:")+1</f>
        <v>5</v>
      </c>
      <c r="B57" s="23" t="str">
        <f ca="1">IF(OFFSET(B57,1,0)&lt;&gt;"",OFFSET(B57,1,0),"")</f>
        <v/>
      </c>
      <c r="C57" s="42"/>
      <c r="D57" s="59" t="s">
        <v>77</v>
      </c>
      <c r="E57" s="60" t="str">
        <f>LEFT(F57,3)</f>
        <v>#13</v>
      </c>
      <c r="F57" s="59" t="s">
        <v>238</v>
      </c>
      <c r="G57" s="59" t="s">
        <v>239</v>
      </c>
      <c r="H57" s="60" t="s">
        <v>2</v>
      </c>
      <c r="I57" s="24">
        <f>IF(J57&lt;&gt;"",J57 - ('Shipping Program'!$D$9 + 'Shipping Program'!$F$9 + 'Shipping Program'!$H$9), "")</f>
        <v>46484</v>
      </c>
      <c r="J57" s="43">
        <v>46531</v>
      </c>
      <c r="K57" s="44" t="str">
        <f>IF(SUM(M57:N57)=0,"",SUM(M57:N57))</f>
        <v/>
      </c>
      <c r="L57" s="44"/>
      <c r="M57" s="44"/>
      <c r="N57" s="54"/>
      <c r="O57" s="25">
        <f>VLOOKUP(I57,'Shipping Program'!$A$32:$B$78,2)-1</f>
        <v>5</v>
      </c>
      <c r="P57" s="44">
        <f>O57</f>
        <v>5</v>
      </c>
      <c r="Q57" s="24">
        <f>R57-7</f>
        <v>46468</v>
      </c>
      <c r="R57" s="24">
        <f>IFERROR(_xlfn.XLOOKUP(P57,'Shipping Program'!$B$32:$B$78,'Shipping Program'!$A$32:$A$78),IFERROR(INDEX(_V7Batches!$B:$B,MATCH(P57&amp;"",_V7Batches!$A:$A,0)),""))</f>
        <v>46475</v>
      </c>
      <c r="S57" s="24">
        <f>IFERROR(_xlfn.XLOOKUP(P57,'Shipping Program'!$B$32:$B$78,'Shipping Program'!$E$32:$E$78),IFERROR(INDEX(_V7Batches!$D:$D,MATCH(P57&amp;"",_V7Batches!$A:$A,0)),""))</f>
        <v>46505</v>
      </c>
      <c r="T57" s="24">
        <f>S57+'Shipping Program'!$H$9</f>
        <v>46512</v>
      </c>
      <c r="U57" s="25">
        <f>IFERROR(IF(J57*T57&lt;&gt;0,J57-T57,""),"")</f>
        <v>19</v>
      </c>
      <c r="V57" s="25" t="str">
        <f>IF(U57&lt;&gt;"",IF(U57&gt;28,"Too early",IF(U57&lt;14,"Too late","")),"")</f>
        <v/>
      </c>
      <c r="W57" s="35"/>
      <c r="X57" s="26">
        <f ca="1">IF(OFFSET(X57,1,0)="",R57,OFFSET(X57,1,0))</f>
        <v>46475</v>
      </c>
      <c r="Y57" s="26">
        <f ca="1">IF(OFFSET(Y57,1,0)="",X57+'Shipping Program'!$F$9,OFFSET(Y57,1,0))</f>
        <v>46505</v>
      </c>
      <c r="Z57" s="26">
        <f ca="1">IF(OFFSET(Z57,1,0)="",Y57+'Shipping Program'!$H$9,OFFSET(Z57,1,0))</f>
        <v>46512</v>
      </c>
      <c r="AA57" s="27">
        <f ca="1">IFERROR(IF(J57*Z57&lt;&gt;0,J57-Z57,""),"")</f>
        <v>19</v>
      </c>
      <c r="AB57" s="27" t="str">
        <f ca="1">IF(AA57&lt;&gt;"",IF(AA57&gt;28,"Too early",IF(AA57&lt;14,"Too late","")),"")</f>
        <v/>
      </c>
      <c r="AC57" s="46"/>
      <c r="AE57" s="80" t="s">
        <v>43</v>
      </c>
      <c r="AF57" s="80" t="s">
        <v>46</v>
      </c>
      <c r="AG57" s="80" t="s">
        <v>63</v>
      </c>
      <c r="AH57" s="80" t="str">
        <f>IF(AI57="","",AI57*AJ57*AK57/1000/1000/1000)</f>
        <v/>
      </c>
      <c r="AI57" s="80"/>
      <c r="AJ57" s="80"/>
      <c r="AK57" s="80"/>
    </row>
    <row r="58" spans="1:37" ht="20.100000000000001" customHeight="1" outlineLevel="1">
      <c r="A58" s="33">
        <f ca="1">COUNTIF(J$3:OFFSET(J58,-1,0),"Subtotal:")+1</f>
        <v>5</v>
      </c>
      <c r="B58" s="23" t="str">
        <f ca="1">IF(OFFSET(B58,1,0)&lt;&gt;"",OFFSET(B58,1,0),"")</f>
        <v/>
      </c>
      <c r="C58" s="42"/>
      <c r="D58" s="59" t="s">
        <v>78</v>
      </c>
      <c r="E58" s="60" t="str">
        <f>LEFT(F58,3)</f>
        <v>#13</v>
      </c>
      <c r="F58" s="59" t="s">
        <v>238</v>
      </c>
      <c r="G58" s="59" t="s">
        <v>241</v>
      </c>
      <c r="H58" s="60" t="s">
        <v>2</v>
      </c>
      <c r="I58" s="24">
        <f>IF(J58&lt;&gt;"",J58 - ('Shipping Program'!$D$9 + 'Shipping Program'!$F$9 + 'Shipping Program'!$H$9), "")</f>
        <v>46485</v>
      </c>
      <c r="J58" s="43">
        <v>46532</v>
      </c>
      <c r="K58" s="44" t="str">
        <f>IF(SUM(M58:N58)=0,"",SUM(M58:N58))</f>
        <v/>
      </c>
      <c r="L58" s="44"/>
      <c r="M58" s="44"/>
      <c r="N58" s="54"/>
      <c r="O58" s="25">
        <f>VLOOKUP(I58,'Shipping Program'!$A$32:$B$78,2)-1</f>
        <v>5</v>
      </c>
      <c r="P58" s="44">
        <f>O58</f>
        <v>5</v>
      </c>
      <c r="Q58" s="24">
        <f>R58-7</f>
        <v>46468</v>
      </c>
      <c r="R58" s="24">
        <f>IFERROR(_xlfn.XLOOKUP(P58,'Shipping Program'!$B$32:$B$78,'Shipping Program'!$A$32:$A$78),IFERROR(INDEX(_V7Batches!$B:$B,MATCH(P58&amp;"",_V7Batches!$A:$A,0)),""))</f>
        <v>46475</v>
      </c>
      <c r="S58" s="24">
        <f>IFERROR(_xlfn.XLOOKUP(P58,'Shipping Program'!$B$32:$B$78,'Shipping Program'!$E$32:$E$78),IFERROR(INDEX(_V7Batches!$D:$D,MATCH(P58&amp;"",_V7Batches!$A:$A,0)),""))</f>
        <v>46505</v>
      </c>
      <c r="T58" s="24">
        <f>S58+'Shipping Program'!$H$9</f>
        <v>46512</v>
      </c>
      <c r="U58" s="25">
        <f>IFERROR(IF(J58*T58&lt;&gt;0,J58-T58,""),"")</f>
        <v>20</v>
      </c>
      <c r="V58" s="25" t="str">
        <f>IF(U58&lt;&gt;"",IF(U58&gt;28,"Too early",IF(U58&lt;14,"Too late","")),"")</f>
        <v/>
      </c>
      <c r="W58" s="35"/>
      <c r="X58" s="26">
        <f ca="1">IF(OFFSET(X58,1,0)="",R58,OFFSET(X58,1,0))</f>
        <v>46475</v>
      </c>
      <c r="Y58" s="26">
        <f ca="1">IF(OFFSET(Y58,1,0)="",X58+'Shipping Program'!$F$9,OFFSET(Y58,1,0))</f>
        <v>46505</v>
      </c>
      <c r="Z58" s="26">
        <f ca="1">IF(OFFSET(Z58,1,0)="",Y58+'Shipping Program'!$H$9,OFFSET(Z58,1,0))</f>
        <v>46512</v>
      </c>
      <c r="AA58" s="27">
        <f ca="1">IFERROR(IF(J58*Z58&lt;&gt;0,J58-Z58,""),"")</f>
        <v>20</v>
      </c>
      <c r="AB58" s="27" t="str">
        <f ca="1">IF(AA58&lt;&gt;"",IF(AA58&gt;28,"Too early",IF(AA58&lt;14,"Too late","")),"")</f>
        <v/>
      </c>
      <c r="AC58" s="46"/>
      <c r="AE58" s="80" t="s">
        <v>54</v>
      </c>
      <c r="AF58" s="80"/>
      <c r="AG58" s="80"/>
      <c r="AH58" s="80" t="str">
        <f>IF(AI58="","",AI58*AJ58*AK58/1000/1000/1000)</f>
        <v/>
      </c>
      <c r="AI58" s="80"/>
      <c r="AJ58" s="80"/>
      <c r="AK58" s="80"/>
    </row>
    <row r="59" spans="1:37" ht="20.100000000000001" customHeight="1" outlineLevel="1">
      <c r="A59" s="33">
        <f ca="1">COUNTIF(J$3:OFFSET(J59,-1,0),"Subtotal:")+1</f>
        <v>5</v>
      </c>
      <c r="B59" s="23" t="str">
        <f ca="1">IF(OFFSET(B59,1,0)&lt;&gt;"",OFFSET(B59,1,0),"")</f>
        <v/>
      </c>
      <c r="C59" s="42"/>
      <c r="D59" s="59" t="s">
        <v>89</v>
      </c>
      <c r="E59" s="60" t="str">
        <f>LEFT(F59,3)</f>
        <v>#11</v>
      </c>
      <c r="F59" s="59" t="s">
        <v>297</v>
      </c>
      <c r="G59" s="59" t="s">
        <v>302</v>
      </c>
      <c r="H59" s="60"/>
      <c r="I59" s="24">
        <f>IF(J59&lt;&gt;"",J59 - ('Shipping Program'!$D$9 + 'Shipping Program'!$F$9 + 'Shipping Program'!$H$9), "")</f>
        <v>46484</v>
      </c>
      <c r="J59" s="43">
        <v>46531</v>
      </c>
      <c r="K59" s="44" t="str">
        <f>IF(SUM(M59:N59)=0,"",SUM(M59:N59))</f>
        <v/>
      </c>
      <c r="L59" s="44"/>
      <c r="M59" s="44"/>
      <c r="N59" s="54"/>
      <c r="O59" s="25">
        <f>VLOOKUP(I59,'Shipping Program'!$A$32:$B$78,2)-1</f>
        <v>5</v>
      </c>
      <c r="P59" s="44">
        <f>O59</f>
        <v>5</v>
      </c>
      <c r="Q59" s="24">
        <f>R59-7</f>
        <v>46468</v>
      </c>
      <c r="R59" s="24">
        <f>IFERROR(_xlfn.XLOOKUP(P59,'Shipping Program'!$B$32:$B$78,'Shipping Program'!$A$32:$A$78),IFERROR(INDEX(_V7Batches!$B:$B,MATCH(P59&amp;"",_V7Batches!$A:$A,0)),""))</f>
        <v>46475</v>
      </c>
      <c r="S59" s="24">
        <f>IFERROR(_xlfn.XLOOKUP(P59,'Shipping Program'!$B$32:$B$78,'Shipping Program'!$E$32:$E$78),IFERROR(INDEX(_V7Batches!$D:$D,MATCH(P59&amp;"",_V7Batches!$A:$A,0)),""))</f>
        <v>46505</v>
      </c>
      <c r="T59" s="24">
        <f>S59+'Shipping Program'!$H$9</f>
        <v>46512</v>
      </c>
      <c r="U59" s="25">
        <f>IFERROR(IF(J59*T59&lt;&gt;0,J59-T59,""),"")</f>
        <v>19</v>
      </c>
      <c r="V59" s="25" t="str">
        <f>IF(U59&lt;&gt;"",IF(U59&gt;28,"Too early",IF(U59&lt;14,"Too late","")),"")</f>
        <v/>
      </c>
      <c r="W59" s="35"/>
      <c r="X59" s="26">
        <f ca="1">IF(OFFSET(X59,1,0)="",R59,OFFSET(X59,1,0))</f>
        <v>46475</v>
      </c>
      <c r="Y59" s="26">
        <f ca="1">IF(OFFSET(Y59,1,0)="",X59+'Shipping Program'!$F$9,OFFSET(Y59,1,0))</f>
        <v>46505</v>
      </c>
      <c r="Z59" s="26">
        <f ca="1">IF(OFFSET(Z59,1,0)="",Y59+'Shipping Program'!$H$9,OFFSET(Z59,1,0))</f>
        <v>46512</v>
      </c>
      <c r="AA59" s="27">
        <f ca="1">IFERROR(IF(J59*Z59&lt;&gt;0,J59-Z59,""),"")</f>
        <v>19</v>
      </c>
      <c r="AB59" s="27" t="str">
        <f ca="1">IF(AA59&lt;&gt;"",IF(AA59&gt;28,"Too early",IF(AA59&lt;14,"Too late","")),"")</f>
        <v/>
      </c>
      <c r="AC59" s="46"/>
      <c r="AE59" s="80" t="s">
        <v>54</v>
      </c>
      <c r="AF59" s="80"/>
      <c r="AG59" s="80"/>
      <c r="AH59" s="80" t="str">
        <f>IF(AI59="","",AI59*AJ59*AK59/1000/1000/1000)</f>
        <v/>
      </c>
      <c r="AI59" s="80"/>
      <c r="AJ59" s="80"/>
      <c r="AK59" s="80"/>
    </row>
    <row r="60" spans="1:37" ht="20.100000000000001" customHeight="1" outlineLevel="1">
      <c r="A60" s="33">
        <f ca="1">COUNTIF(J$3:OFFSET(J60,-1,0),"Subtotal:")+1</f>
        <v>5</v>
      </c>
      <c r="B60" s="23" t="str">
        <f ca="1">IF(OFFSET(B60,1,0)&lt;&gt;"",OFFSET(B60,1,0),"")</f>
        <v/>
      </c>
      <c r="C60" s="42"/>
      <c r="D60" s="59" t="s">
        <v>89</v>
      </c>
      <c r="E60" s="60" t="str">
        <f>LEFT(F60,3)</f>
        <v>#11</v>
      </c>
      <c r="F60" s="59" t="s">
        <v>299</v>
      </c>
      <c r="G60" s="59" t="s">
        <v>302</v>
      </c>
      <c r="H60" s="60"/>
      <c r="I60" s="24">
        <f>IF(J60&lt;&gt;"",J60 - ('Shipping Program'!$D$9 + 'Shipping Program'!$F$9 + 'Shipping Program'!$H$9), "")</f>
        <v>46484</v>
      </c>
      <c r="J60" s="43">
        <v>46531</v>
      </c>
      <c r="K60" s="44" t="str">
        <f>IF(SUM(M60:N60)=0,"",SUM(M60:N60))</f>
        <v/>
      </c>
      <c r="L60" s="44"/>
      <c r="M60" s="44"/>
      <c r="N60" s="54"/>
      <c r="O60" s="25">
        <f>VLOOKUP(I60,'Shipping Program'!$A$32:$B$78,2)-1</f>
        <v>5</v>
      </c>
      <c r="P60" s="44">
        <f>O60</f>
        <v>5</v>
      </c>
      <c r="Q60" s="24">
        <f>R60-7</f>
        <v>46468</v>
      </c>
      <c r="R60" s="24">
        <f>IFERROR(_xlfn.XLOOKUP(P60,'Shipping Program'!$B$32:$B$78,'Shipping Program'!$A$32:$A$78),IFERROR(INDEX(_V7Batches!$B:$B,MATCH(P60&amp;"",_V7Batches!$A:$A,0)),""))</f>
        <v>46475</v>
      </c>
      <c r="S60" s="24">
        <f>IFERROR(_xlfn.XLOOKUP(P60,'Shipping Program'!$B$32:$B$78,'Shipping Program'!$E$32:$E$78),IFERROR(INDEX(_V7Batches!$D:$D,MATCH(P60&amp;"",_V7Batches!$A:$A,0)),""))</f>
        <v>46505</v>
      </c>
      <c r="T60" s="24">
        <f>S60+'Shipping Program'!$H$9</f>
        <v>46512</v>
      </c>
      <c r="U60" s="25">
        <f>IFERROR(IF(J60*T60&lt;&gt;0,J60-T60,""),"")</f>
        <v>19</v>
      </c>
      <c r="V60" s="25" t="str">
        <f>IF(U60&lt;&gt;"",IF(U60&gt;28,"Too early",IF(U60&lt;14,"Too late","")),"")</f>
        <v/>
      </c>
      <c r="W60" s="35"/>
      <c r="X60" s="26">
        <f ca="1">IF(OFFSET(X60,1,0)="",R60,OFFSET(X60,1,0))</f>
        <v>46475</v>
      </c>
      <c r="Y60" s="26">
        <f ca="1">IF(OFFSET(Y60,1,0)="",X60+'Shipping Program'!$F$9,OFFSET(Y60,1,0))</f>
        <v>46505</v>
      </c>
      <c r="Z60" s="26">
        <f ca="1">IF(OFFSET(Z60,1,0)="",Y60+'Shipping Program'!$H$9,OFFSET(Z60,1,0))</f>
        <v>46512</v>
      </c>
      <c r="AA60" s="27">
        <f ca="1">IFERROR(IF(J60*Z60&lt;&gt;0,J60-Z60,""),"")</f>
        <v>19</v>
      </c>
      <c r="AB60" s="27" t="str">
        <f ca="1">IF(AA60&lt;&gt;"",IF(AA60&gt;28,"Too early",IF(AA60&lt;14,"Too late","")),"")</f>
        <v/>
      </c>
      <c r="AC60" s="46"/>
      <c r="AE60" s="80" t="s">
        <v>54</v>
      </c>
      <c r="AF60" s="80"/>
      <c r="AG60" s="80"/>
      <c r="AH60" s="80" t="str">
        <f>IF(AI60="","",AI60*AJ60*AK60/1000/1000/1000)</f>
        <v/>
      </c>
      <c r="AI60" s="80"/>
      <c r="AJ60" s="80"/>
      <c r="AK60" s="80"/>
    </row>
    <row r="61" spans="1:37" ht="20.100000000000001" customHeight="1" outlineLevel="1">
      <c r="A61" s="33">
        <f ca="1">COUNTIF(J$3:OFFSET(J61,-1,0),"Subtotal:")+1</f>
        <v>5</v>
      </c>
      <c r="B61" s="62" t="str">
        <f ca="1">IF(OFFSET(B61,1,0)&lt;&gt;"",OFFSET(B61,1,0),"")</f>
        <v/>
      </c>
      <c r="C61" s="63"/>
      <c r="D61" s="59" t="s">
        <v>95</v>
      </c>
      <c r="E61" s="60" t="str">
        <f>LEFT(F61,3)</f>
        <v>#06</v>
      </c>
      <c r="F61" s="59" t="s">
        <v>224</v>
      </c>
      <c r="G61" s="59" t="s">
        <v>245</v>
      </c>
      <c r="H61" s="60"/>
      <c r="I61" s="24">
        <f>IF(J61&lt;&gt;"",J61 - ('Shipping Program'!$D$9 + 'Shipping Program'!$F$9 + 'Shipping Program'!$H$9), "")</f>
        <v>46483</v>
      </c>
      <c r="J61" s="43">
        <v>46530</v>
      </c>
      <c r="K61" s="44" t="str">
        <f>IF(SUM(M61:N61)=0,"",SUM(M61:N61))</f>
        <v/>
      </c>
      <c r="L61" s="64"/>
      <c r="M61" s="44"/>
      <c r="N61" s="54"/>
      <c r="O61" s="25">
        <f>VLOOKUP(I61,'Shipping Program'!$A$32:$B$78,2)-1</f>
        <v>5</v>
      </c>
      <c r="P61" s="44">
        <f>O61</f>
        <v>5</v>
      </c>
      <c r="Q61" s="24">
        <f>R61-7</f>
        <v>46468</v>
      </c>
      <c r="R61" s="24">
        <f>IFERROR(_xlfn.XLOOKUP(P61,'Shipping Program'!$B$32:$B$78,'Shipping Program'!$A$32:$A$78),IFERROR(INDEX(_V7Batches!$B:$B,MATCH(P61&amp;"",_V7Batches!$A:$A,0)),""))</f>
        <v>46475</v>
      </c>
      <c r="S61" s="24">
        <f>IFERROR(_xlfn.XLOOKUP(P61,'Shipping Program'!$B$32:$B$78,'Shipping Program'!$E$32:$E$78),IFERROR(INDEX(_V7Batches!$D:$D,MATCH(P61&amp;"",_V7Batches!$A:$A,0)),""))</f>
        <v>46505</v>
      </c>
      <c r="T61" s="24">
        <f>S61+'Shipping Program'!$H$9</f>
        <v>46512</v>
      </c>
      <c r="U61" s="25">
        <f>IFERROR(IF(J61*T61&lt;&gt;0,J61-T61,""),"")</f>
        <v>18</v>
      </c>
      <c r="V61" s="25" t="str">
        <f>IF(U61&lt;&gt;"",IF(U61&gt;28,"Too early",IF(U61&lt;14,"Too late","")),"")</f>
        <v/>
      </c>
      <c r="W61" s="35"/>
      <c r="X61" s="26">
        <f ca="1">IF(OFFSET(X61,1,0)="",R61,OFFSET(X61,1,0))</f>
        <v>46475</v>
      </c>
      <c r="Y61" s="26">
        <f ca="1">IF(OFFSET(Y61,1,0)="",X61+'Shipping Program'!$F$9,OFFSET(Y61,1,0))</f>
        <v>46505</v>
      </c>
      <c r="Z61" s="26">
        <f ca="1">IF(OFFSET(Z61,1,0)="",Y61+'Shipping Program'!$H$9,OFFSET(Z61,1,0))</f>
        <v>46512</v>
      </c>
      <c r="AA61" s="27">
        <f ca="1">IFERROR(IF(J61*Z61&lt;&gt;0,J61-Z61,""),"")</f>
        <v>18</v>
      </c>
      <c r="AB61" s="27" t="str">
        <f ca="1">IF(AA61&lt;&gt;"",IF(AA61&gt;28,"Too early",IF(AA61&lt;14,"Too late","")),"")</f>
        <v/>
      </c>
      <c r="AC61" s="46"/>
      <c r="AE61" s="80" t="s">
        <v>43</v>
      </c>
      <c r="AF61" s="80" t="s">
        <v>41</v>
      </c>
      <c r="AG61" s="80" t="s">
        <v>42</v>
      </c>
      <c r="AH61" s="80" t="str">
        <f>IF(AI61="","",AI61*AJ61*AK61/1000/1000/1000)</f>
        <v/>
      </c>
      <c r="AI61" s="80"/>
      <c r="AJ61" s="80"/>
      <c r="AK61" s="80"/>
    </row>
    <row r="62" spans="1:37" ht="20.100000000000001" customHeight="1" outlineLevel="1">
      <c r="A62" s="33">
        <f ca="1">COUNTIF(J$3:OFFSET(J62,-1,0),"Subtotal:")+1</f>
        <v>5</v>
      </c>
      <c r="B62" s="62" t="str">
        <f ca="1">IF(OFFSET(B62,1,0)&lt;&gt;"",OFFSET(B62,1,0),"")</f>
        <v/>
      </c>
      <c r="C62" s="63"/>
      <c r="D62" s="59" t="s">
        <v>95</v>
      </c>
      <c r="E62" s="60" t="str">
        <f>LEFT(F62,3)</f>
        <v>#06</v>
      </c>
      <c r="F62" s="59" t="s">
        <v>225</v>
      </c>
      <c r="G62" s="59" t="s">
        <v>244</v>
      </c>
      <c r="H62" s="60"/>
      <c r="I62" s="24">
        <f>IF(J62&lt;&gt;"",J62 - ('Shipping Program'!$D$9 + 'Shipping Program'!$F$9 + 'Shipping Program'!$H$9), "")</f>
        <v>46484</v>
      </c>
      <c r="J62" s="43">
        <v>46531</v>
      </c>
      <c r="K62" s="44" t="str">
        <f>IF(SUM(M62:N62)=0,"",SUM(M62:N62))</f>
        <v/>
      </c>
      <c r="L62" s="64"/>
      <c r="M62" s="44"/>
      <c r="N62" s="54"/>
      <c r="O62" s="25">
        <f>VLOOKUP(I62,'Shipping Program'!$A$32:$B$78,2)-1</f>
        <v>5</v>
      </c>
      <c r="P62" s="44">
        <f>O62</f>
        <v>5</v>
      </c>
      <c r="Q62" s="24">
        <f>R62-7</f>
        <v>46468</v>
      </c>
      <c r="R62" s="24">
        <f>IFERROR(_xlfn.XLOOKUP(P62,'Shipping Program'!$B$32:$B$78,'Shipping Program'!$A$32:$A$78),IFERROR(INDEX(_V7Batches!$B:$B,MATCH(P62&amp;"",_V7Batches!$A:$A,0)),""))</f>
        <v>46475</v>
      </c>
      <c r="S62" s="24">
        <f>IFERROR(_xlfn.XLOOKUP(P62,'Shipping Program'!$B$32:$B$78,'Shipping Program'!$E$32:$E$78),IFERROR(INDEX(_V7Batches!$D:$D,MATCH(P62&amp;"",_V7Batches!$A:$A,0)),""))</f>
        <v>46505</v>
      </c>
      <c r="T62" s="24">
        <f>S62+'Shipping Program'!$H$9</f>
        <v>46512</v>
      </c>
      <c r="U62" s="25">
        <f>IFERROR(IF(J62*T62&lt;&gt;0,J62-T62,""),"")</f>
        <v>19</v>
      </c>
      <c r="V62" s="25" t="str">
        <f>IF(U62&lt;&gt;"",IF(U62&gt;28,"Too early",IF(U62&lt;14,"Too late","")),"")</f>
        <v/>
      </c>
      <c r="W62" s="35"/>
      <c r="X62" s="26">
        <f ca="1">IF(OFFSET(X62,1,0)="",R62,OFFSET(X62,1,0))</f>
        <v>46475</v>
      </c>
      <c r="Y62" s="26">
        <f ca="1">IF(OFFSET(Y62,1,0)="",X62+'Shipping Program'!$F$9,OFFSET(Y62,1,0))</f>
        <v>46505</v>
      </c>
      <c r="Z62" s="26">
        <f ca="1">IF(OFFSET(Z62,1,0)="",Y62+'Shipping Program'!$H$9,OFFSET(Z62,1,0))</f>
        <v>46512</v>
      </c>
      <c r="AA62" s="27">
        <f ca="1">IFERROR(IF(J62*Z62&lt;&gt;0,J62-Z62,""),"")</f>
        <v>19</v>
      </c>
      <c r="AB62" s="27" t="str">
        <f ca="1">IF(AA62&lt;&gt;"",IF(AA62&gt;28,"Too early",IF(AA62&lt;14,"Too late","")),"")</f>
        <v/>
      </c>
      <c r="AC62" s="46"/>
      <c r="AE62" s="80" t="s">
        <v>43</v>
      </c>
      <c r="AF62" s="80" t="s">
        <v>41</v>
      </c>
      <c r="AG62" s="80" t="s">
        <v>42</v>
      </c>
      <c r="AH62" s="80" t="str">
        <f>IF(AI62="","",AI62*AJ62*AK62/1000/1000/1000)</f>
        <v/>
      </c>
      <c r="AI62" s="80"/>
      <c r="AJ62" s="80"/>
      <c r="AK62" s="80"/>
    </row>
    <row r="63" spans="1:37" ht="20.100000000000001" customHeight="1" outlineLevel="1">
      <c r="A63" s="33">
        <f ca="1">COUNTIF(J$3:OFFSET(J63,-1,0),"Subtotal:")+1</f>
        <v>5</v>
      </c>
      <c r="B63" s="23" t="str">
        <f ca="1">IF(OFFSET(B63,1,0)&lt;&gt;"",OFFSET(B63,1,0),"")</f>
        <v/>
      </c>
      <c r="C63" s="42"/>
      <c r="D63" s="64" t="s">
        <v>97</v>
      </c>
      <c r="E63" s="60" t="str">
        <f>LEFT(F63,3)</f>
        <v>#10</v>
      </c>
      <c r="F63" s="59" t="s">
        <v>249</v>
      </c>
      <c r="G63" s="64" t="s">
        <v>277</v>
      </c>
      <c r="H63" s="64"/>
      <c r="I63" s="24">
        <f>IF(J63&lt;&gt;"",J63 - ('Shipping Program'!$D$9 + 'Shipping Program'!$F$9 + 'Shipping Program'!$H$9), "")</f>
        <v>46485</v>
      </c>
      <c r="J63" s="43">
        <v>46532</v>
      </c>
      <c r="K63" s="44" t="str">
        <f>IF(SUM(M63:N63)=0,"",SUM(M63:N63))</f>
        <v/>
      </c>
      <c r="L63" s="44"/>
      <c r="M63" s="44"/>
      <c r="N63" s="54"/>
      <c r="O63" s="25">
        <f>VLOOKUP(I63,'Shipping Program'!$A$32:$B$78,2)-1</f>
        <v>5</v>
      </c>
      <c r="P63" s="44">
        <f>O63</f>
        <v>5</v>
      </c>
      <c r="Q63" s="24">
        <f>R63-7</f>
        <v>46468</v>
      </c>
      <c r="R63" s="24">
        <f>IFERROR(_xlfn.XLOOKUP(P63,'Shipping Program'!$B$32:$B$78,'Shipping Program'!$A$32:$A$78),IFERROR(INDEX(_V7Batches!$B:$B,MATCH(P63&amp;"",_V7Batches!$A:$A,0)),""))</f>
        <v>46475</v>
      </c>
      <c r="S63" s="24">
        <f>IFERROR(_xlfn.XLOOKUP(P63,'Shipping Program'!$B$32:$B$78,'Shipping Program'!$E$32:$E$78),IFERROR(INDEX(_V7Batches!$D:$D,MATCH(P63&amp;"",_V7Batches!$A:$A,0)),""))</f>
        <v>46505</v>
      </c>
      <c r="T63" s="24">
        <f>S63+'Shipping Program'!$H$9</f>
        <v>46512</v>
      </c>
      <c r="U63" s="25">
        <f>IFERROR(IF(J63*T63&lt;&gt;0,J63-T63,""),"")</f>
        <v>20</v>
      </c>
      <c r="V63" s="25" t="str">
        <f>IF(U63&lt;&gt;"",IF(U63&gt;28,"Too early",IF(U63&lt;14,"Too late","")),"")</f>
        <v/>
      </c>
      <c r="W63" s="35"/>
      <c r="X63" s="26">
        <f ca="1">IF(OFFSET(X63,1,0)="",R63,OFFSET(X63,1,0))</f>
        <v>46475</v>
      </c>
      <c r="Y63" s="26">
        <f ca="1">IF(OFFSET(Y63,1,0)="",X63+'Shipping Program'!$F$9,OFFSET(Y63,1,0))</f>
        <v>46505</v>
      </c>
      <c r="Z63" s="26">
        <f ca="1">IF(OFFSET(Z63,1,0)="",Y63+'Shipping Program'!$H$9,OFFSET(Z63,1,0))</f>
        <v>46512</v>
      </c>
      <c r="AA63" s="27">
        <f ca="1">IFERROR(IF(J63*Z63&lt;&gt;0,J63-Z63,""),"")</f>
        <v>20</v>
      </c>
      <c r="AB63" s="27" t="str">
        <f ca="1">IF(AA63&lt;&gt;"",IF(AA63&gt;28,"Too early",IF(AA63&lt;14,"Too late","")),"")</f>
        <v/>
      </c>
      <c r="AC63" s="46"/>
      <c r="AE63" s="80" t="s">
        <v>43</v>
      </c>
      <c r="AF63" s="80" t="s">
        <v>41</v>
      </c>
      <c r="AG63" s="80" t="s">
        <v>42</v>
      </c>
      <c r="AH63" s="80" t="str">
        <f>IF(AI63="","",AI63*AJ63*AK63/1000/1000/1000)</f>
        <v/>
      </c>
      <c r="AI63" s="80"/>
      <c r="AJ63" s="80"/>
      <c r="AK63" s="80"/>
    </row>
    <row r="64" spans="1:37" ht="20.100000000000001" customHeight="1" outlineLevel="1">
      <c r="A64" s="33">
        <f ca="1">COUNTIF(J$3:OFFSET(J64,-1,0),"Subtotal:")+1</f>
        <v>5</v>
      </c>
      <c r="B64" s="23" t="str">
        <f ca="1">IF(OFFSET(B64,1,0)&lt;&gt;"",OFFSET(B64,1,0),"")</f>
        <v/>
      </c>
      <c r="C64" s="42"/>
      <c r="D64" s="64" t="s">
        <v>97</v>
      </c>
      <c r="E64" s="60" t="str">
        <f>LEFT(F64,3)</f>
        <v>#10</v>
      </c>
      <c r="F64" s="59" t="s">
        <v>251</v>
      </c>
      <c r="G64" s="64" t="s">
        <v>286</v>
      </c>
      <c r="H64" s="64"/>
      <c r="I64" s="24">
        <f>IF(J64&lt;&gt;"",J64 - ('Shipping Program'!$D$9 + 'Shipping Program'!$F$9 + 'Shipping Program'!$H$9), "")</f>
        <v>46485</v>
      </c>
      <c r="J64" s="43">
        <v>46532</v>
      </c>
      <c r="K64" s="44" t="str">
        <f>IF(SUM(M64:N64)=0,"",SUM(M64:N64))</f>
        <v/>
      </c>
      <c r="L64" s="44"/>
      <c r="M64" s="44"/>
      <c r="N64" s="54"/>
      <c r="O64" s="25">
        <f>VLOOKUP(I64,'Shipping Program'!$A$32:$B$78,2)-1</f>
        <v>5</v>
      </c>
      <c r="P64" s="44">
        <f>O64</f>
        <v>5</v>
      </c>
      <c r="Q64" s="24">
        <f>R64-7</f>
        <v>46468</v>
      </c>
      <c r="R64" s="24">
        <f>IFERROR(_xlfn.XLOOKUP(P64,'Shipping Program'!$B$32:$B$78,'Shipping Program'!$A$32:$A$78),IFERROR(INDEX(_V7Batches!$B:$B,MATCH(P64&amp;"",_V7Batches!$A:$A,0)),""))</f>
        <v>46475</v>
      </c>
      <c r="S64" s="24">
        <f>IFERROR(_xlfn.XLOOKUP(P64,'Shipping Program'!$B$32:$B$78,'Shipping Program'!$E$32:$E$78),IFERROR(INDEX(_V7Batches!$D:$D,MATCH(P64&amp;"",_V7Batches!$A:$A,0)),""))</f>
        <v>46505</v>
      </c>
      <c r="T64" s="24">
        <f>S64+'Shipping Program'!$H$9</f>
        <v>46512</v>
      </c>
      <c r="U64" s="25">
        <f>IFERROR(IF(J64*T64&lt;&gt;0,J64-T64,""),"")</f>
        <v>20</v>
      </c>
      <c r="V64" s="25" t="str">
        <f>IF(U64&lt;&gt;"",IF(U64&gt;28,"Too early",IF(U64&lt;14,"Too late","")),"")</f>
        <v/>
      </c>
      <c r="W64" s="35"/>
      <c r="X64" s="26">
        <f ca="1">IF(OFFSET(X64,1,0)="",R64,OFFSET(X64,1,0))</f>
        <v>46475</v>
      </c>
      <c r="Y64" s="26">
        <f ca="1">IF(OFFSET(Y64,1,0)="",X64+'Shipping Program'!$F$9,OFFSET(Y64,1,0))</f>
        <v>46505</v>
      </c>
      <c r="Z64" s="26">
        <f ca="1">IF(OFFSET(Z64,1,0)="",Y64+'Shipping Program'!$H$9,OFFSET(Z64,1,0))</f>
        <v>46512</v>
      </c>
      <c r="AA64" s="27">
        <f ca="1">IFERROR(IF(J64*Z64&lt;&gt;0,J64-Z64,""),"")</f>
        <v>20</v>
      </c>
      <c r="AB64" s="27" t="str">
        <f ca="1">IF(AA64&lt;&gt;"",IF(AA64&gt;28,"Too early",IF(AA64&lt;14,"Too late","")),"")</f>
        <v/>
      </c>
      <c r="AC64" s="46"/>
      <c r="AE64" s="80" t="s">
        <v>43</v>
      </c>
      <c r="AF64" s="80" t="s">
        <v>41</v>
      </c>
      <c r="AG64" s="80" t="s">
        <v>42</v>
      </c>
      <c r="AH64" s="80" t="str">
        <f>IF(AI64="","",AI64*AJ64*AK64/1000/1000/1000)</f>
        <v/>
      </c>
      <c r="AI64" s="80"/>
      <c r="AJ64" s="80"/>
      <c r="AK64" s="80"/>
    </row>
    <row r="65" spans="1:37" ht="20.100000000000001" customHeight="1" outlineLevel="1">
      <c r="A65" s="33">
        <f ca="1">COUNTIF(J$3:OFFSET(J65,-1,0),"Subtotal:")+1</f>
        <v>5</v>
      </c>
      <c r="B65" s="23" t="str">
        <f ca="1">IF(OFFSET(B65,1,0)&lt;&gt;"",OFFSET(B65,1,0),"")</f>
        <v/>
      </c>
      <c r="C65" s="42"/>
      <c r="D65" s="64" t="s">
        <v>97</v>
      </c>
      <c r="E65" s="60" t="str">
        <f>LEFT(F65,3)</f>
        <v>#10</v>
      </c>
      <c r="F65" s="59" t="s">
        <v>252</v>
      </c>
      <c r="G65" s="64" t="s">
        <v>287</v>
      </c>
      <c r="H65" s="64"/>
      <c r="I65" s="24">
        <f>IF(J65&lt;&gt;"",J65 - ('Shipping Program'!$D$9 + 'Shipping Program'!$F$9 + 'Shipping Program'!$H$9), "")</f>
        <v>46483</v>
      </c>
      <c r="J65" s="43">
        <v>46530</v>
      </c>
      <c r="K65" s="44" t="str">
        <f>IF(SUM(M65:N65)=0,"",SUM(M65:N65))</f>
        <v/>
      </c>
      <c r="L65" s="44"/>
      <c r="M65" s="44"/>
      <c r="N65" s="54"/>
      <c r="O65" s="25">
        <f>VLOOKUP(I65,'Shipping Program'!$A$32:$B$78,2)-1</f>
        <v>5</v>
      </c>
      <c r="P65" s="44">
        <f>O65</f>
        <v>5</v>
      </c>
      <c r="Q65" s="24">
        <f>R65-7</f>
        <v>46468</v>
      </c>
      <c r="R65" s="24">
        <f>IFERROR(_xlfn.XLOOKUP(P65,'Shipping Program'!$B$32:$B$78,'Shipping Program'!$A$32:$A$78),IFERROR(INDEX(_V7Batches!$B:$B,MATCH(P65&amp;"",_V7Batches!$A:$A,0)),""))</f>
        <v>46475</v>
      </c>
      <c r="S65" s="24">
        <f>IFERROR(_xlfn.XLOOKUP(P65,'Shipping Program'!$B$32:$B$78,'Shipping Program'!$E$32:$E$78),IFERROR(INDEX(_V7Batches!$D:$D,MATCH(P65&amp;"",_V7Batches!$A:$A,0)),""))</f>
        <v>46505</v>
      </c>
      <c r="T65" s="24">
        <f>S65+'Shipping Program'!$H$9</f>
        <v>46512</v>
      </c>
      <c r="U65" s="25">
        <f>IFERROR(IF(J65*T65&lt;&gt;0,J65-T65,""),"")</f>
        <v>18</v>
      </c>
      <c r="V65" s="25" t="str">
        <f>IF(U65&lt;&gt;"",IF(U65&gt;28,"Too early",IF(U65&lt;14,"Too late","")),"")</f>
        <v/>
      </c>
      <c r="W65" s="35"/>
      <c r="X65" s="26">
        <f ca="1">IF(OFFSET(X65,1,0)="",R65,OFFSET(X65,1,0))</f>
        <v>46475</v>
      </c>
      <c r="Y65" s="26">
        <f ca="1">IF(OFFSET(Y65,1,0)="",X65+'Shipping Program'!$F$9,OFFSET(Y65,1,0))</f>
        <v>46505</v>
      </c>
      <c r="Z65" s="26">
        <f ca="1">IF(OFFSET(Z65,1,0)="",Y65+'Shipping Program'!$H$9,OFFSET(Z65,1,0))</f>
        <v>46512</v>
      </c>
      <c r="AA65" s="27">
        <f ca="1">IFERROR(IF(J65*Z65&lt;&gt;0,J65-Z65,""),"")</f>
        <v>18</v>
      </c>
      <c r="AB65" s="27" t="str">
        <f ca="1">IF(AA65&lt;&gt;"",IF(AA65&gt;28,"Too early",IF(AA65&lt;14,"Too late","")),"")</f>
        <v/>
      </c>
      <c r="AC65" s="46"/>
      <c r="AE65" s="80" t="s">
        <v>43</v>
      </c>
      <c r="AF65" s="80" t="s">
        <v>41</v>
      </c>
      <c r="AG65" s="80" t="s">
        <v>42</v>
      </c>
      <c r="AH65" s="80" t="str">
        <f>IF(AI65="","",AI65*AJ65*AK65/1000/1000/1000)</f>
        <v/>
      </c>
      <c r="AI65" s="80"/>
      <c r="AJ65" s="80"/>
      <c r="AK65" s="80"/>
    </row>
    <row r="66" spans="1:37" ht="20.100000000000001" customHeight="1" outlineLevel="1">
      <c r="A66" s="33">
        <f ca="1">COUNTIF(J$3:OFFSET(J66,-1,0),"Subtotal:")+1</f>
        <v>5</v>
      </c>
      <c r="B66" s="23" t="str">
        <f ca="1">IF(OFFSET(B66,1,0)&lt;&gt;"",OFFSET(B66,1,0),"")</f>
        <v/>
      </c>
      <c r="C66" s="42"/>
      <c r="D66" s="64" t="s">
        <v>97</v>
      </c>
      <c r="E66" s="60" t="str">
        <f>LEFT(F66,3)</f>
        <v>#10</v>
      </c>
      <c r="F66" s="59" t="s">
        <v>252</v>
      </c>
      <c r="G66" s="64" t="s">
        <v>288</v>
      </c>
      <c r="H66" s="64"/>
      <c r="I66" s="24">
        <f>IF(J66&lt;&gt;"",J66 - ('Shipping Program'!$D$9 + 'Shipping Program'!$F$9 + 'Shipping Program'!$H$9), "")</f>
        <v>46483</v>
      </c>
      <c r="J66" s="43">
        <v>46530</v>
      </c>
      <c r="K66" s="44" t="str">
        <f>IF(SUM(M66:N66)=0,"",SUM(M66:N66))</f>
        <v/>
      </c>
      <c r="L66" s="44"/>
      <c r="M66" s="44"/>
      <c r="N66" s="54"/>
      <c r="O66" s="25">
        <f>VLOOKUP(I66,'Shipping Program'!$A$32:$B$78,2)-1</f>
        <v>5</v>
      </c>
      <c r="P66" s="44">
        <f>O66</f>
        <v>5</v>
      </c>
      <c r="Q66" s="24">
        <f>R66-7</f>
        <v>46468</v>
      </c>
      <c r="R66" s="24">
        <f>IFERROR(_xlfn.XLOOKUP(P66,'Shipping Program'!$B$32:$B$78,'Shipping Program'!$A$32:$A$78),IFERROR(INDEX(_V7Batches!$B:$B,MATCH(P66&amp;"",_V7Batches!$A:$A,0)),""))</f>
        <v>46475</v>
      </c>
      <c r="S66" s="24">
        <f>IFERROR(_xlfn.XLOOKUP(P66,'Shipping Program'!$B$32:$B$78,'Shipping Program'!$E$32:$E$78),IFERROR(INDEX(_V7Batches!$D:$D,MATCH(P66&amp;"",_V7Batches!$A:$A,0)),""))</f>
        <v>46505</v>
      </c>
      <c r="T66" s="24">
        <f>S66+'Shipping Program'!$H$9</f>
        <v>46512</v>
      </c>
      <c r="U66" s="25">
        <f>IFERROR(IF(J66*T66&lt;&gt;0,J66-T66,""),"")</f>
        <v>18</v>
      </c>
      <c r="V66" s="25" t="str">
        <f>IF(U66&lt;&gt;"",IF(U66&gt;28,"Too early",IF(U66&lt;14,"Too late","")),"")</f>
        <v/>
      </c>
      <c r="W66" s="35"/>
      <c r="X66" s="26">
        <f ca="1">IF(OFFSET(X66,1,0)="",R66,OFFSET(X66,1,0))</f>
        <v>46475</v>
      </c>
      <c r="Y66" s="26">
        <f ca="1">IF(OFFSET(Y66,1,0)="",X66+'Shipping Program'!$F$9,OFFSET(Y66,1,0))</f>
        <v>46505</v>
      </c>
      <c r="Z66" s="26">
        <f ca="1">IF(OFFSET(Z66,1,0)="",Y66+'Shipping Program'!$H$9,OFFSET(Z66,1,0))</f>
        <v>46512</v>
      </c>
      <c r="AA66" s="27">
        <f ca="1">IFERROR(IF(J66*Z66&lt;&gt;0,J66-Z66,""),"")</f>
        <v>18</v>
      </c>
      <c r="AB66" s="27" t="str">
        <f ca="1">IF(AA66&lt;&gt;"",IF(AA66&gt;28,"Too early",IF(AA66&lt;14,"Too late","")),"")</f>
        <v/>
      </c>
      <c r="AC66" s="46"/>
      <c r="AE66" s="80" t="s">
        <v>43</v>
      </c>
      <c r="AF66" s="80" t="s">
        <v>41</v>
      </c>
      <c r="AG66" s="80" t="s">
        <v>42</v>
      </c>
      <c r="AH66" s="80" t="str">
        <f>IF(AI66="","",AI66*AJ66*AK66/1000/1000/1000)</f>
        <v/>
      </c>
      <c r="AI66" s="80"/>
      <c r="AJ66" s="80"/>
      <c r="AK66" s="80"/>
    </row>
    <row r="67" spans="1:37" ht="20.100000000000001" customHeight="1" outlineLevel="1">
      <c r="A67" s="33">
        <f ca="1">COUNTIF(J$3:OFFSET(J67,-1,0),"Subtotal:")+1</f>
        <v>5</v>
      </c>
      <c r="B67" s="23" t="str">
        <f ca="1">IF(OFFSET(B67,1,0)&lt;&gt;"",OFFSET(B67,1,0),"")</f>
        <v/>
      </c>
      <c r="C67" s="42"/>
      <c r="D67" s="64" t="s">
        <v>97</v>
      </c>
      <c r="E67" s="60" t="str">
        <f>LEFT(F67,3)</f>
        <v>#10</v>
      </c>
      <c r="F67" s="59" t="s">
        <v>252</v>
      </c>
      <c r="G67" s="64" t="s">
        <v>289</v>
      </c>
      <c r="H67" s="64"/>
      <c r="I67" s="24">
        <f>IF(J67&lt;&gt;"",J67 - ('Shipping Program'!$D$9 + 'Shipping Program'!$F$9 + 'Shipping Program'!$H$9), "")</f>
        <v>46483</v>
      </c>
      <c r="J67" s="43">
        <v>46530</v>
      </c>
      <c r="K67" s="44" t="str">
        <f>IF(SUM(M67:N67)=0,"",SUM(M67:N67))</f>
        <v/>
      </c>
      <c r="L67" s="44"/>
      <c r="M67" s="44"/>
      <c r="N67" s="54"/>
      <c r="O67" s="25">
        <f>VLOOKUP(I67,'Shipping Program'!$A$32:$B$78,2)-1</f>
        <v>5</v>
      </c>
      <c r="P67" s="44">
        <f>O67</f>
        <v>5</v>
      </c>
      <c r="Q67" s="24">
        <f>R67-7</f>
        <v>46468</v>
      </c>
      <c r="R67" s="24">
        <f>IFERROR(_xlfn.XLOOKUP(P67,'Shipping Program'!$B$32:$B$78,'Shipping Program'!$A$32:$A$78),IFERROR(INDEX(_V7Batches!$B:$B,MATCH(P67&amp;"",_V7Batches!$A:$A,0)),""))</f>
        <v>46475</v>
      </c>
      <c r="S67" s="24">
        <f>IFERROR(_xlfn.XLOOKUP(P67,'Shipping Program'!$B$32:$B$78,'Shipping Program'!$E$32:$E$78),IFERROR(INDEX(_V7Batches!$D:$D,MATCH(P67&amp;"",_V7Batches!$A:$A,0)),""))</f>
        <v>46505</v>
      </c>
      <c r="T67" s="24">
        <f>S67+'Shipping Program'!$H$9</f>
        <v>46512</v>
      </c>
      <c r="U67" s="25">
        <f>IFERROR(IF(J67*T67&lt;&gt;0,J67-T67,""),"")</f>
        <v>18</v>
      </c>
      <c r="V67" s="25" t="str">
        <f>IF(U67&lt;&gt;"",IF(U67&gt;28,"Too early",IF(U67&lt;14,"Too late","")),"")</f>
        <v/>
      </c>
      <c r="W67" s="35"/>
      <c r="X67" s="26">
        <f ca="1">IF(OFFSET(X67,1,0)="",R67,OFFSET(X67,1,0))</f>
        <v>46475</v>
      </c>
      <c r="Y67" s="26">
        <f ca="1">IF(OFFSET(Y67,1,0)="",X67+'Shipping Program'!$F$9,OFFSET(Y67,1,0))</f>
        <v>46505</v>
      </c>
      <c r="Z67" s="26">
        <f ca="1">IF(OFFSET(Z67,1,0)="",Y67+'Shipping Program'!$H$9,OFFSET(Z67,1,0))</f>
        <v>46512</v>
      </c>
      <c r="AA67" s="27">
        <f ca="1">IFERROR(IF(J67*Z67&lt;&gt;0,J67-Z67,""),"")</f>
        <v>18</v>
      </c>
      <c r="AB67" s="27" t="str">
        <f ca="1">IF(AA67&lt;&gt;"",IF(AA67&gt;28,"Too early",IF(AA67&lt;14,"Too late","")),"")</f>
        <v/>
      </c>
      <c r="AC67" s="46"/>
      <c r="AE67" s="80" t="s">
        <v>43</v>
      </c>
      <c r="AF67" s="80" t="s">
        <v>41</v>
      </c>
      <c r="AG67" s="80" t="s">
        <v>42</v>
      </c>
      <c r="AH67" s="80" t="str">
        <f>IF(AI67="","",AI67*AJ67*AK67/1000/1000/1000)</f>
        <v/>
      </c>
      <c r="AI67" s="80"/>
      <c r="AJ67" s="80"/>
      <c r="AK67" s="80"/>
    </row>
    <row r="68" spans="1:37" ht="20.100000000000001" customHeight="1" outlineLevel="1">
      <c r="A68" s="34">
        <f ca="1">COUNTIF(J$3:OFFSET(J68,-1,0),"Subtotal:")+1</f>
        <v>5</v>
      </c>
      <c r="B68" s="47"/>
      <c r="C68" s="48"/>
      <c r="D68" s="73"/>
      <c r="E68" s="49"/>
      <c r="F68" s="74"/>
      <c r="G68" s="74"/>
      <c r="H68" s="49"/>
      <c r="I68" s="49"/>
      <c r="J68" s="49" t="s">
        <v>6424</v>
      </c>
      <c r="K68" s="28">
        <f ca="1">SUMIF(A$3:OFFSET(A68,-1,0),A68,K$3:OFFSET(K68,-1,0))</f>
        <v>0</v>
      </c>
      <c r="L68" s="28">
        <f ca="1">SUMIF(A$3:OFFSET(A68,-1,0),A68,L$3:OFFSET(L68,-1,0))</f>
        <v>0</v>
      </c>
      <c r="M68" s="28"/>
      <c r="N68" s="55"/>
      <c r="O68" s="49"/>
      <c r="P68" s="49"/>
      <c r="Q68" s="29">
        <f ca="1">R68-7</f>
        <v>46468</v>
      </c>
      <c r="R68" s="29">
        <f ca="1">IF(J68="Subtotal:",OFFSET(R68,-1,0),"")</f>
        <v>46475</v>
      </c>
      <c r="S68" s="29">
        <f ca="1">IF(J68="Subtotal:",OFFSET(S68,-1,0),"")</f>
        <v>46505</v>
      </c>
      <c r="T68" s="29">
        <f ca="1">IF(J68="Subtotal:",OFFSET(T68,-1,0),"")</f>
        <v>46512</v>
      </c>
      <c r="U68" s="30" t="str">
        <f ca="1">IFERROR(IF(J68*T68&lt;&gt;0,J68-T68,""),"")</f>
        <v/>
      </c>
      <c r="V68" s="31" t="str">
        <f ca="1">IF(U68&lt;&gt;"",IF(U68&gt;28,"Too early",IF(U68&lt;14,"Too late","")),"")</f>
        <v/>
      </c>
      <c r="W68" s="28">
        <f ca="1">(SUMIFS($K:$K,$J:$J,"&lt;&gt;Subtotal:",$J:$J,"&gt;"&amp;S68,$S:$S,"&lt;="&amp;S68))*24*1.3+(SUMIFS($L:$L,$J:$J,"&lt;&gt;Subtotal:",$J:$J,"&gt;"&amp;S68,$S:$S,"&lt;="&amp;S68))/3*1.3</f>
        <v>0</v>
      </c>
      <c r="X68" s="50"/>
      <c r="Y68" s="50"/>
      <c r="Z68" s="50"/>
      <c r="AA68" s="30" t="str">
        <f>IFERROR(IF(J68*Z68&lt;&gt;0,J68-Z68,""),"")</f>
        <v/>
      </c>
      <c r="AB68" s="31" t="str">
        <f>IF(AA68&lt;&gt;"",IF(AA68&gt;28,"Too early",IF(AA68&lt;14,"Too late","")),"")</f>
        <v/>
      </c>
      <c r="AC68" s="32">
        <f>(SUMIFS($K:$K,$J:$J,"&lt;&gt;Subtotal:",$J:$J,"&gt;"&amp;Y68,$Y:$Y,"&lt;="&amp;Y68))*24*1.3+(SUMIFS($L:$L,$J:$J,"&lt;&gt;Subtotal:",$J:$J,"&gt;"&amp;Y68,$Y:$Y,"&lt;="&amp;Y68))/3*1.3</f>
        <v>0</v>
      </c>
      <c r="AD68" s="58"/>
      <c r="AE68" s="78"/>
      <c r="AF68" s="78"/>
      <c r="AG68" s="78"/>
      <c r="AH68" s="78"/>
      <c r="AI68" s="78"/>
      <c r="AJ68" s="78"/>
      <c r="AK68" s="78"/>
    </row>
    <row r="69" spans="1:37" ht="20.100000000000001" customHeight="1" outlineLevel="1">
      <c r="A69" s="33">
        <f ca="1">COUNTIF(J$3:OFFSET(J69,-1,0),"Subtotal:")+1</f>
        <v>6</v>
      </c>
      <c r="B69" s="23" t="str">
        <f ca="1">IF(OFFSET(B69,1,0)&lt;&gt;"",OFFSET(B69,1,0),"")</f>
        <v/>
      </c>
      <c r="C69" s="42"/>
      <c r="D69" s="59" t="s">
        <v>62</v>
      </c>
      <c r="E69" s="60" t="str">
        <f>LEFT(F69,3)</f>
        <v>#04</v>
      </c>
      <c r="F69" s="59" t="s">
        <v>221</v>
      </c>
      <c r="G69" s="59" t="s">
        <v>220</v>
      </c>
      <c r="H69" s="60"/>
      <c r="I69" s="24">
        <f>IF(J69&lt;&gt;"",J69 - ('Shipping Program'!$D$9 + 'Shipping Program'!$F$9 + 'Shipping Program'!$H$9), "")</f>
        <v>46489</v>
      </c>
      <c r="J69" s="43">
        <v>46536</v>
      </c>
      <c r="K69" s="44" t="str">
        <f>IF(SUM(M69:N69)=0,"",SUM(M69:N69))</f>
        <v/>
      </c>
      <c r="L69" s="44"/>
      <c r="M69" s="44"/>
      <c r="N69" s="54"/>
      <c r="O69" s="25">
        <f>VLOOKUP(I69,'Shipping Program'!$A$32:$B$78,2)-1</f>
        <v>6</v>
      </c>
      <c r="P69" s="44">
        <f>O69</f>
        <v>6</v>
      </c>
      <c r="Q69" s="24">
        <f>R69-7</f>
        <v>46475</v>
      </c>
      <c r="R69" s="24">
        <f>IFERROR(_xlfn.XLOOKUP(P69,'Shipping Program'!$B$32:$B$78,'Shipping Program'!$A$32:$A$78),IFERROR(INDEX(_V7Batches!$B:$B,MATCH(P69&amp;"",_V7Batches!$A:$A,0)),""))</f>
        <v>46482</v>
      </c>
      <c r="S69" s="24">
        <f>IFERROR(_xlfn.XLOOKUP(P69,'Shipping Program'!$B$32:$B$78,'Shipping Program'!$E$32:$E$78),IFERROR(INDEX(_V7Batches!$D:$D,MATCH(P69&amp;"",_V7Batches!$A:$A,0)),""))</f>
        <v>46512</v>
      </c>
      <c r="T69" s="24">
        <f>S69+'Shipping Program'!$H$9</f>
        <v>46519</v>
      </c>
      <c r="U69" s="25">
        <f>IFERROR(IF(J69*T69&lt;&gt;0,J69-T69,""),"")</f>
        <v>17</v>
      </c>
      <c r="V69" s="25" t="str">
        <f>IF(U69&lt;&gt;"",IF(U69&gt;28,"Too early",IF(U69&lt;14,"Too late","")),"")</f>
        <v/>
      </c>
      <c r="W69" s="35"/>
      <c r="X69" s="26">
        <f ca="1">IF(OFFSET(X69,1,0)="",R69,OFFSET(X69,1,0))</f>
        <v>46482</v>
      </c>
      <c r="Y69" s="26">
        <f ca="1">IF(OFFSET(Y69,1,0)="",X69+'Shipping Program'!$F$9,OFFSET(Y69,1,0))</f>
        <v>46512</v>
      </c>
      <c r="Z69" s="26">
        <f ca="1">IF(OFFSET(Z69,1,0)="",Y69+'Shipping Program'!$H$9,OFFSET(Z69,1,0))</f>
        <v>46519</v>
      </c>
      <c r="AA69" s="27">
        <f ca="1">IFERROR(IF(J69*Z69&lt;&gt;0,J69-Z69,""),"")</f>
        <v>17</v>
      </c>
      <c r="AB69" s="27" t="str">
        <f ca="1">IF(AA69&lt;&gt;"",IF(AA69&gt;28,"Too early",IF(AA69&lt;14,"Too late","")),"")</f>
        <v/>
      </c>
      <c r="AC69" s="46"/>
      <c r="AE69" s="80" t="s">
        <v>43</v>
      </c>
      <c r="AF69" s="80" t="s">
        <v>41</v>
      </c>
      <c r="AG69" s="80" t="s">
        <v>63</v>
      </c>
      <c r="AH69" s="80" t="str">
        <f>IF(AI69="","",AI69*AJ69*AK69/1000/1000/1000)</f>
        <v/>
      </c>
      <c r="AI69" s="80"/>
      <c r="AJ69" s="80"/>
      <c r="AK69" s="80"/>
    </row>
    <row r="70" spans="1:37" ht="20.100000000000001" customHeight="1" outlineLevel="1">
      <c r="A70" s="33">
        <f ca="1">COUNTIF(J$3:OFFSET(J70,-1,0),"Subtotal:")+1</f>
        <v>6</v>
      </c>
      <c r="B70" s="23" t="str">
        <f ca="1">IF(OFFSET(B70,1,0)&lt;&gt;"",OFFSET(B70,1,0),"")</f>
        <v/>
      </c>
      <c r="C70" s="42"/>
      <c r="D70" s="59" t="s">
        <v>62</v>
      </c>
      <c r="E70" s="60" t="str">
        <f>LEFT(F70,3)</f>
        <v>#04</v>
      </c>
      <c r="F70" s="59" t="s">
        <v>221</v>
      </c>
      <c r="G70" s="59" t="s">
        <v>216</v>
      </c>
      <c r="H70" s="60"/>
      <c r="I70" s="24">
        <f>IF(J70&lt;&gt;"",J70 - ('Shipping Program'!$D$9 + 'Shipping Program'!$F$9 + 'Shipping Program'!$H$9), "")</f>
        <v>46492</v>
      </c>
      <c r="J70" s="43">
        <v>46539</v>
      </c>
      <c r="K70" s="44" t="str">
        <f>IF(SUM(M70:N70)=0,"",SUM(M70:N70))</f>
        <v/>
      </c>
      <c r="L70" s="44"/>
      <c r="M70" s="44"/>
      <c r="N70" s="54"/>
      <c r="O70" s="25">
        <f>VLOOKUP(I70,'Shipping Program'!$A$32:$B$78,2)-1</f>
        <v>6</v>
      </c>
      <c r="P70" s="44">
        <f>O70</f>
        <v>6</v>
      </c>
      <c r="Q70" s="24">
        <f>R70-7</f>
        <v>46475</v>
      </c>
      <c r="R70" s="24">
        <f>IFERROR(_xlfn.XLOOKUP(P70,'Shipping Program'!$B$32:$B$78,'Shipping Program'!$A$32:$A$78),IFERROR(INDEX(_V7Batches!$B:$B,MATCH(P70&amp;"",_V7Batches!$A:$A,0)),""))</f>
        <v>46482</v>
      </c>
      <c r="S70" s="24">
        <f>IFERROR(_xlfn.XLOOKUP(P70,'Shipping Program'!$B$32:$B$78,'Shipping Program'!$E$32:$E$78),IFERROR(INDEX(_V7Batches!$D:$D,MATCH(P70&amp;"",_V7Batches!$A:$A,0)),""))</f>
        <v>46512</v>
      </c>
      <c r="T70" s="24">
        <f>S70+'Shipping Program'!$H$9</f>
        <v>46519</v>
      </c>
      <c r="U70" s="25">
        <f>IFERROR(IF(J70*T70&lt;&gt;0,J70-T70,""),"")</f>
        <v>20</v>
      </c>
      <c r="V70" s="25" t="str">
        <f>IF(U70&lt;&gt;"",IF(U70&gt;28,"Too early",IF(U70&lt;14,"Too late","")),"")</f>
        <v/>
      </c>
      <c r="W70" s="35"/>
      <c r="X70" s="26">
        <f ca="1">IF(OFFSET(X70,1,0)="",R70,OFFSET(X70,1,0))</f>
        <v>46482</v>
      </c>
      <c r="Y70" s="26">
        <f ca="1">IF(OFFSET(Y70,1,0)="",X70+'Shipping Program'!$F$9,OFFSET(Y70,1,0))</f>
        <v>46512</v>
      </c>
      <c r="Z70" s="26">
        <f ca="1">IF(OFFSET(Z70,1,0)="",Y70+'Shipping Program'!$H$9,OFFSET(Z70,1,0))</f>
        <v>46519</v>
      </c>
      <c r="AA70" s="27">
        <f ca="1">IFERROR(IF(J70*Z70&lt;&gt;0,J70-Z70,""),"")</f>
        <v>20</v>
      </c>
      <c r="AB70" s="27" t="str">
        <f ca="1">IF(AA70&lt;&gt;"",IF(AA70&gt;28,"Too early",IF(AA70&lt;14,"Too late","")),"")</f>
        <v/>
      </c>
      <c r="AC70" s="46"/>
      <c r="AE70" s="80" t="s">
        <v>43</v>
      </c>
      <c r="AF70" s="80" t="s">
        <v>41</v>
      </c>
      <c r="AG70" s="80" t="s">
        <v>63</v>
      </c>
      <c r="AH70" s="80" t="str">
        <f>IF(AI70="","",AI70*AJ70*AK70/1000/1000/1000)</f>
        <v/>
      </c>
      <c r="AI70" s="80"/>
      <c r="AJ70" s="80"/>
      <c r="AK70" s="80"/>
    </row>
    <row r="71" spans="1:37" ht="20.100000000000001" customHeight="1">
      <c r="A71" s="33">
        <f ca="1">COUNTIF(J$3:OFFSET(J71,-1,0),"Subtotal:")+1</f>
        <v>6</v>
      </c>
      <c r="B71" s="23" t="str">
        <f ca="1">IF(OFFSET(B71,1,0)&lt;&gt;"",OFFSET(B71,1,0),"")</f>
        <v/>
      </c>
      <c r="C71" s="42"/>
      <c r="D71" s="59" t="s">
        <v>62</v>
      </c>
      <c r="E71" s="60" t="str">
        <f>LEFT(F71,3)</f>
        <v>#04</v>
      </c>
      <c r="F71" s="59" t="s">
        <v>221</v>
      </c>
      <c r="G71" s="59" t="s">
        <v>218</v>
      </c>
      <c r="H71" s="60"/>
      <c r="I71" s="24">
        <f>IF(J71&lt;&gt;"",J71 - ('Shipping Program'!$D$9 + 'Shipping Program'!$F$9 + 'Shipping Program'!$H$9), "")</f>
        <v>46493</v>
      </c>
      <c r="J71" s="43">
        <v>46540</v>
      </c>
      <c r="K71" s="44" t="str">
        <f>IF(SUM(M71:N71)=0,"",SUM(M71:N71))</f>
        <v/>
      </c>
      <c r="L71" s="44"/>
      <c r="M71" s="44"/>
      <c r="N71" s="54"/>
      <c r="O71" s="25">
        <f>VLOOKUP(I71,'Shipping Program'!$A$32:$B$78,2)-1</f>
        <v>6</v>
      </c>
      <c r="P71" s="44">
        <f>O71</f>
        <v>6</v>
      </c>
      <c r="Q71" s="24">
        <f>R71-7</f>
        <v>46475</v>
      </c>
      <c r="R71" s="24">
        <f>IFERROR(_xlfn.XLOOKUP(P71,'Shipping Program'!$B$32:$B$78,'Shipping Program'!$A$32:$A$78),IFERROR(INDEX(_V7Batches!$B:$B,MATCH(P71&amp;"",_V7Batches!$A:$A,0)),""))</f>
        <v>46482</v>
      </c>
      <c r="S71" s="24">
        <f>IFERROR(_xlfn.XLOOKUP(P71,'Shipping Program'!$B$32:$B$78,'Shipping Program'!$E$32:$E$78),IFERROR(INDEX(_V7Batches!$D:$D,MATCH(P71&amp;"",_V7Batches!$A:$A,0)),""))</f>
        <v>46512</v>
      </c>
      <c r="T71" s="24">
        <f>S71+'Shipping Program'!$H$9</f>
        <v>46519</v>
      </c>
      <c r="U71" s="25">
        <f>IFERROR(IF(J71*T71&lt;&gt;0,J71-T71,""),"")</f>
        <v>21</v>
      </c>
      <c r="V71" s="25" t="str">
        <f>IF(U71&lt;&gt;"",IF(U71&gt;28,"Too early",IF(U71&lt;14,"Too late","")),"")</f>
        <v/>
      </c>
      <c r="W71" s="35"/>
      <c r="X71" s="26">
        <f ca="1">IF(OFFSET(X71,1,0)="",R71,OFFSET(X71,1,0))</f>
        <v>46482</v>
      </c>
      <c r="Y71" s="26">
        <f ca="1">IF(OFFSET(Y71,1,0)="",X71+'Shipping Program'!$F$9,OFFSET(Y71,1,0))</f>
        <v>46512</v>
      </c>
      <c r="Z71" s="26">
        <f ca="1">IF(OFFSET(Z71,1,0)="",Y71+'Shipping Program'!$H$9,OFFSET(Z71,1,0))</f>
        <v>46519</v>
      </c>
      <c r="AA71" s="27">
        <f ca="1">IFERROR(IF(J71*Z71&lt;&gt;0,J71-Z71,""),"")</f>
        <v>21</v>
      </c>
      <c r="AB71" s="27" t="str">
        <f ca="1">IF(AA71&lt;&gt;"",IF(AA71&gt;28,"Too early",IF(AA71&lt;14,"Too late","")),"")</f>
        <v/>
      </c>
      <c r="AC71" s="46"/>
      <c r="AE71" s="80" t="s">
        <v>43</v>
      </c>
      <c r="AF71" s="80" t="s">
        <v>41</v>
      </c>
      <c r="AG71" s="80" t="s">
        <v>63</v>
      </c>
      <c r="AH71" s="80" t="str">
        <f>IF(AI71="","",AI71*AJ71*AK71/1000/1000/1000)</f>
        <v/>
      </c>
      <c r="AI71" s="80"/>
      <c r="AJ71" s="80"/>
      <c r="AK71" s="80"/>
    </row>
    <row r="72" spans="1:37" ht="20.100000000000001" customHeight="1" outlineLevel="1">
      <c r="A72" s="33">
        <f ca="1">COUNTIF(J$3:OFFSET(J72,-1,0),"Subtotal:")+1</f>
        <v>6</v>
      </c>
      <c r="B72" s="23" t="str">
        <f ca="1">IF(OFFSET(B72,1,0)&lt;&gt;"",OFFSET(B72,1,0),"")</f>
        <v/>
      </c>
      <c r="C72" s="42"/>
      <c r="D72" s="59" t="s">
        <v>70</v>
      </c>
      <c r="E72" s="60" t="str">
        <f>LEFT(F72,3)</f>
        <v>#01</v>
      </c>
      <c r="F72" s="59" t="s">
        <v>177</v>
      </c>
      <c r="G72" s="59" t="s">
        <v>191</v>
      </c>
      <c r="H72" s="60"/>
      <c r="I72" s="24">
        <f>IF(J72&lt;&gt;"",J72 - ('Shipping Program'!$D$9 + 'Shipping Program'!$F$9 + 'Shipping Program'!$H$9), "")</f>
        <v>46495</v>
      </c>
      <c r="J72" s="43">
        <v>46542</v>
      </c>
      <c r="K72" s="44" t="str">
        <f>IF(SUM(M72:N72)=0,"",SUM(M72:N72))</f>
        <v/>
      </c>
      <c r="L72" s="44"/>
      <c r="M72" s="44"/>
      <c r="N72" s="54"/>
      <c r="O72" s="25">
        <f>VLOOKUP(I72,'Shipping Program'!$A$32:$B$78,2)-1</f>
        <v>6</v>
      </c>
      <c r="P72" s="44">
        <f>O72</f>
        <v>6</v>
      </c>
      <c r="Q72" s="24">
        <f>R72-7</f>
        <v>46475</v>
      </c>
      <c r="R72" s="24">
        <f>IFERROR(_xlfn.XLOOKUP(P72,'Shipping Program'!$B$32:$B$78,'Shipping Program'!$A$32:$A$78),IFERROR(INDEX(_V7Batches!$B:$B,MATCH(P72&amp;"",_V7Batches!$A:$A,0)),""))</f>
        <v>46482</v>
      </c>
      <c r="S72" s="24">
        <f>IFERROR(_xlfn.XLOOKUP(P72,'Shipping Program'!$B$32:$B$78,'Shipping Program'!$E$32:$E$78),IFERROR(INDEX(_V7Batches!$D:$D,MATCH(P72&amp;"",_V7Batches!$A:$A,0)),""))</f>
        <v>46512</v>
      </c>
      <c r="T72" s="24">
        <f>S72+'Shipping Program'!$H$9</f>
        <v>46519</v>
      </c>
      <c r="U72" s="25">
        <f>IFERROR(IF(J72*T72&lt;&gt;0,J72-T72,""),"")</f>
        <v>23</v>
      </c>
      <c r="V72" s="25" t="str">
        <f>IF(U72&lt;&gt;"",IF(U72&gt;28,"Too early",IF(U72&lt;14,"Too late","")),"")</f>
        <v/>
      </c>
      <c r="W72" s="35"/>
      <c r="X72" s="26">
        <f ca="1">IF(OFFSET(X72,1,0)="",R72,OFFSET(X72,1,0))</f>
        <v>46482</v>
      </c>
      <c r="Y72" s="26">
        <f ca="1">IF(OFFSET(Y72,1,0)="",X72+'Shipping Program'!$F$9,OFFSET(Y72,1,0))</f>
        <v>46512</v>
      </c>
      <c r="Z72" s="26">
        <f ca="1">IF(OFFSET(Z72,1,0)="",Y72+'Shipping Program'!$H$9,OFFSET(Z72,1,0))</f>
        <v>46519</v>
      </c>
      <c r="AA72" s="27">
        <f ca="1">IFERROR(IF(J72*Z72&lt;&gt;0,J72-Z72,""),"")</f>
        <v>23</v>
      </c>
      <c r="AB72" s="27" t="str">
        <f ca="1">IF(AA72&lt;&gt;"",IF(AA72&gt;28,"Too early",IF(AA72&lt;14,"Too late","")),"")</f>
        <v/>
      </c>
      <c r="AC72" s="46"/>
      <c r="AE72" s="80" t="s">
        <v>43</v>
      </c>
      <c r="AF72" s="80" t="s">
        <v>41</v>
      </c>
      <c r="AG72" s="80" t="s">
        <v>63</v>
      </c>
      <c r="AH72" s="80" t="str">
        <f>IF(AI72="","",AI72*AJ72*AK72/1000/1000/1000)</f>
        <v/>
      </c>
      <c r="AI72" s="80"/>
      <c r="AJ72" s="80"/>
      <c r="AK72" s="80"/>
    </row>
    <row r="73" spans="1:37" ht="20.100000000000001" customHeight="1" outlineLevel="1">
      <c r="A73" s="33">
        <f ca="1">COUNTIF(J$3:OFFSET(J73,-1,0),"Subtotal:")+1</f>
        <v>6</v>
      </c>
      <c r="B73" s="23" t="str">
        <f ca="1">IF(OFFSET(B73,1,0)&lt;&gt;"",OFFSET(B73,1,0),"")</f>
        <v/>
      </c>
      <c r="C73" s="42"/>
      <c r="D73" s="59" t="s">
        <v>68</v>
      </c>
      <c r="E73" s="60" t="str">
        <f>LEFT(F73,3)</f>
        <v>#01</v>
      </c>
      <c r="F73" s="59" t="s">
        <v>174</v>
      </c>
      <c r="G73" s="59" t="s">
        <v>180</v>
      </c>
      <c r="H73" s="60"/>
      <c r="I73" s="24">
        <f>IF(J73&lt;&gt;"",J73 - ('Shipping Program'!$D$9 + 'Shipping Program'!$F$9 + 'Shipping Program'!$H$9), "")</f>
        <v>46491</v>
      </c>
      <c r="J73" s="43">
        <v>46538</v>
      </c>
      <c r="K73" s="44" t="str">
        <f>IF(SUM(M73:N73)=0,"",SUM(M73:N73))</f>
        <v/>
      </c>
      <c r="L73" s="44"/>
      <c r="M73" s="44"/>
      <c r="N73" s="54"/>
      <c r="O73" s="25">
        <f>VLOOKUP(I73,'Shipping Program'!$A$32:$B$78,2)-1</f>
        <v>6</v>
      </c>
      <c r="P73" s="44">
        <f>O73</f>
        <v>6</v>
      </c>
      <c r="Q73" s="24">
        <f>R73-7</f>
        <v>46475</v>
      </c>
      <c r="R73" s="24">
        <f>IFERROR(_xlfn.XLOOKUP(P73,'Shipping Program'!$B$32:$B$78,'Shipping Program'!$A$32:$A$78),IFERROR(INDEX(_V7Batches!$B:$B,MATCH(P73&amp;"",_V7Batches!$A:$A,0)),""))</f>
        <v>46482</v>
      </c>
      <c r="S73" s="24">
        <f>IFERROR(_xlfn.XLOOKUP(P73,'Shipping Program'!$B$32:$B$78,'Shipping Program'!$E$32:$E$78),IFERROR(INDEX(_V7Batches!$D:$D,MATCH(P73&amp;"",_V7Batches!$A:$A,0)),""))</f>
        <v>46512</v>
      </c>
      <c r="T73" s="24">
        <f>S73+'Shipping Program'!$H$9</f>
        <v>46519</v>
      </c>
      <c r="U73" s="25">
        <f>IFERROR(IF(J73*T73&lt;&gt;0,J73-T73,""),"")</f>
        <v>19</v>
      </c>
      <c r="V73" s="25" t="str">
        <f>IF(U73&lt;&gt;"",IF(U73&gt;28,"Too early",IF(U73&lt;14,"Too late","")),"")</f>
        <v/>
      </c>
      <c r="W73" s="35"/>
      <c r="X73" s="26">
        <f ca="1">IF(OFFSET(X73,1,0)="",R73,OFFSET(X73,1,0))</f>
        <v>46482</v>
      </c>
      <c r="Y73" s="26">
        <f ca="1">IF(OFFSET(Y73,1,0)="",X73+'Shipping Program'!$F$9,OFFSET(Y73,1,0))</f>
        <v>46512</v>
      </c>
      <c r="Z73" s="26">
        <f ca="1">IF(OFFSET(Z73,1,0)="",Y73+'Shipping Program'!$H$9,OFFSET(Z73,1,0))</f>
        <v>46519</v>
      </c>
      <c r="AA73" s="27">
        <f ca="1">IFERROR(IF(J73*Z73&lt;&gt;0,J73-Z73,""),"")</f>
        <v>19</v>
      </c>
      <c r="AB73" s="27" t="str">
        <f ca="1">IF(AA73&lt;&gt;"",IF(AA73&gt;28,"Too early",IF(AA73&lt;14,"Too late","")),"")</f>
        <v/>
      </c>
      <c r="AC73" s="46"/>
      <c r="AE73" s="80" t="s">
        <v>43</v>
      </c>
      <c r="AF73" s="80" t="s">
        <v>46</v>
      </c>
      <c r="AG73" s="80" t="s">
        <v>42</v>
      </c>
      <c r="AH73" s="80" t="str">
        <f>IF(AI73="","",AI73*AJ73*AK73/1000/1000/1000)</f>
        <v/>
      </c>
      <c r="AI73" s="80"/>
      <c r="AJ73" s="80"/>
      <c r="AK73" s="80"/>
    </row>
    <row r="74" spans="1:37" ht="20.100000000000001" customHeight="1" outlineLevel="1">
      <c r="A74" s="33">
        <f ca="1">COUNTIF(J$3:OFFSET(J74,-1,0),"Subtotal:")+1</f>
        <v>6</v>
      </c>
      <c r="B74" s="23" t="str">
        <f ca="1">IF(OFFSET(B74,1,0)&lt;&gt;"",OFFSET(B74,1,0),"")</f>
        <v/>
      </c>
      <c r="C74" s="42"/>
      <c r="D74" s="59" t="s">
        <v>78</v>
      </c>
      <c r="E74" s="60" t="str">
        <f>LEFT(F74,3)</f>
        <v>#13</v>
      </c>
      <c r="F74" s="59" t="s">
        <v>238</v>
      </c>
      <c r="G74" s="59" t="s">
        <v>240</v>
      </c>
      <c r="H74" s="60" t="s">
        <v>2</v>
      </c>
      <c r="I74" s="24">
        <f>IF(J74&lt;&gt;"",J74 - ('Shipping Program'!$D$9 + 'Shipping Program'!$F$9 + 'Shipping Program'!$H$9), "")</f>
        <v>46493</v>
      </c>
      <c r="J74" s="43">
        <v>46540</v>
      </c>
      <c r="K74" s="44" t="str">
        <f>IF(SUM(M74:N74)=0,"",SUM(M74:N74))</f>
        <v/>
      </c>
      <c r="L74" s="44"/>
      <c r="M74" s="44"/>
      <c r="N74" s="54"/>
      <c r="O74" s="25">
        <f>VLOOKUP(I74,'Shipping Program'!$A$32:$B$78,2)-1</f>
        <v>6</v>
      </c>
      <c r="P74" s="44">
        <f>O74</f>
        <v>6</v>
      </c>
      <c r="Q74" s="24">
        <f>R74-7</f>
        <v>46475</v>
      </c>
      <c r="R74" s="24">
        <f>IFERROR(_xlfn.XLOOKUP(P74,'Shipping Program'!$B$32:$B$78,'Shipping Program'!$A$32:$A$78),IFERROR(INDEX(_V7Batches!$B:$B,MATCH(P74&amp;"",_V7Batches!$A:$A,0)),""))</f>
        <v>46482</v>
      </c>
      <c r="S74" s="24">
        <f>IFERROR(_xlfn.XLOOKUP(P74,'Shipping Program'!$B$32:$B$78,'Shipping Program'!$E$32:$E$78),IFERROR(INDEX(_V7Batches!$D:$D,MATCH(P74&amp;"",_V7Batches!$A:$A,0)),""))</f>
        <v>46512</v>
      </c>
      <c r="T74" s="24">
        <f>S74+'Shipping Program'!$H$9</f>
        <v>46519</v>
      </c>
      <c r="U74" s="25">
        <f>IFERROR(IF(J74*T74&lt;&gt;0,J74-T74,""),"")</f>
        <v>21</v>
      </c>
      <c r="V74" s="25" t="str">
        <f>IF(U74&lt;&gt;"",IF(U74&gt;28,"Too early",IF(U74&lt;14,"Too late","")),"")</f>
        <v/>
      </c>
      <c r="W74" s="35"/>
      <c r="X74" s="26">
        <f ca="1">IF(OFFSET(X74,1,0)="",R74,OFFSET(X74,1,0))</f>
        <v>46482</v>
      </c>
      <c r="Y74" s="26">
        <f ca="1">IF(OFFSET(Y74,1,0)="",X74+'Shipping Program'!$F$9,OFFSET(Y74,1,0))</f>
        <v>46512</v>
      </c>
      <c r="Z74" s="26">
        <f ca="1">IF(OFFSET(Z74,1,0)="",Y74+'Shipping Program'!$H$9,OFFSET(Z74,1,0))</f>
        <v>46519</v>
      </c>
      <c r="AA74" s="27">
        <f ca="1">IFERROR(IF(J74*Z74&lt;&gt;0,J74-Z74,""),"")</f>
        <v>21</v>
      </c>
      <c r="AB74" s="27" t="str">
        <f ca="1">IF(AA74&lt;&gt;"",IF(AA74&gt;28,"Too early",IF(AA74&lt;14,"Too late","")),"")</f>
        <v/>
      </c>
      <c r="AC74" s="46"/>
      <c r="AE74" s="80" t="s">
        <v>43</v>
      </c>
      <c r="AF74" s="80" t="s">
        <v>46</v>
      </c>
      <c r="AG74" s="80" t="s">
        <v>42</v>
      </c>
      <c r="AH74" s="80" t="str">
        <f>IF(AI74="","",AI74*AJ74*AK74/1000/1000/1000)</f>
        <v/>
      </c>
      <c r="AI74" s="80"/>
      <c r="AJ74" s="80"/>
      <c r="AK74" s="80"/>
    </row>
    <row r="75" spans="1:37" ht="20.100000000000001" customHeight="1" outlineLevel="1">
      <c r="A75" s="33">
        <f ca="1">COUNTIF(J$3:OFFSET(J75,-1,0),"Subtotal:")+1</f>
        <v>6</v>
      </c>
      <c r="B75" s="62" t="str">
        <f ca="1">IF(OFFSET(B75,1,0)&lt;&gt;"",OFFSET(B75,1,0),"")</f>
        <v/>
      </c>
      <c r="C75" s="63"/>
      <c r="D75" s="59" t="s">
        <v>95</v>
      </c>
      <c r="E75" s="60" t="str">
        <f>LEFT(F75,3)</f>
        <v>#06</v>
      </c>
      <c r="F75" s="59" t="s">
        <v>223</v>
      </c>
      <c r="G75" s="59" t="s">
        <v>243</v>
      </c>
      <c r="H75" s="60"/>
      <c r="I75" s="24">
        <f>IF(J75&lt;&gt;"",J75 - ('Shipping Program'!$D$9 + 'Shipping Program'!$F$9 + 'Shipping Program'!$H$9), "")</f>
        <v>46491</v>
      </c>
      <c r="J75" s="43">
        <v>46538</v>
      </c>
      <c r="K75" s="44" t="str">
        <f>IF(SUM(M75:N75)=0,"",SUM(M75:N75))</f>
        <v/>
      </c>
      <c r="L75" s="64"/>
      <c r="M75" s="44"/>
      <c r="N75" s="54"/>
      <c r="O75" s="25">
        <f>VLOOKUP(I75,'Shipping Program'!$A$32:$B$78,2)-1</f>
        <v>6</v>
      </c>
      <c r="P75" s="44">
        <f>O75</f>
        <v>6</v>
      </c>
      <c r="Q75" s="24">
        <f>R75-7</f>
        <v>46475</v>
      </c>
      <c r="R75" s="24">
        <f>IFERROR(_xlfn.XLOOKUP(P75,'Shipping Program'!$B$32:$B$78,'Shipping Program'!$A$32:$A$78),IFERROR(INDEX(_V7Batches!$B:$B,MATCH(P75&amp;"",_V7Batches!$A:$A,0)),""))</f>
        <v>46482</v>
      </c>
      <c r="S75" s="24">
        <f>IFERROR(_xlfn.XLOOKUP(P75,'Shipping Program'!$B$32:$B$78,'Shipping Program'!$E$32:$E$78),IFERROR(INDEX(_V7Batches!$D:$D,MATCH(P75&amp;"",_V7Batches!$A:$A,0)),""))</f>
        <v>46512</v>
      </c>
      <c r="T75" s="24">
        <f>S75+'Shipping Program'!$H$9</f>
        <v>46519</v>
      </c>
      <c r="U75" s="25">
        <f>IFERROR(IF(J75*T75&lt;&gt;0,J75-T75,""),"")</f>
        <v>19</v>
      </c>
      <c r="V75" s="25" t="str">
        <f>IF(U75&lt;&gt;"",IF(U75&gt;28,"Too early",IF(U75&lt;14,"Too late","")),"")</f>
        <v/>
      </c>
      <c r="W75" s="35"/>
      <c r="X75" s="26">
        <f ca="1">IF(OFFSET(X75,1,0)="",R75,OFFSET(X75,1,0))</f>
        <v>46482</v>
      </c>
      <c r="Y75" s="26">
        <f ca="1">IF(OFFSET(Y75,1,0)="",X75+'Shipping Program'!$F$9,OFFSET(Y75,1,0))</f>
        <v>46512</v>
      </c>
      <c r="Z75" s="26">
        <f ca="1">IF(OFFSET(Z75,1,0)="",Y75+'Shipping Program'!$H$9,OFFSET(Z75,1,0))</f>
        <v>46519</v>
      </c>
      <c r="AA75" s="27">
        <f ca="1">IFERROR(IF(J75*Z75&lt;&gt;0,J75-Z75,""),"")</f>
        <v>19</v>
      </c>
      <c r="AB75" s="27" t="str">
        <f ca="1">IF(AA75&lt;&gt;"",IF(AA75&gt;28,"Too early",IF(AA75&lt;14,"Too late","")),"")</f>
        <v/>
      </c>
      <c r="AC75" s="46"/>
      <c r="AE75" s="80" t="s">
        <v>43</v>
      </c>
      <c r="AF75" s="80" t="s">
        <v>41</v>
      </c>
      <c r="AG75" s="80" t="s">
        <v>42</v>
      </c>
      <c r="AH75" s="80" t="str">
        <f>IF(AI75="","",AI75*AJ75*AK75/1000/1000/1000)</f>
        <v/>
      </c>
      <c r="AI75" s="80"/>
      <c r="AJ75" s="80"/>
      <c r="AK75" s="80"/>
    </row>
    <row r="76" spans="1:37" ht="20.100000000000001" customHeight="1" outlineLevel="1">
      <c r="A76" s="33">
        <f ca="1">COUNTIF(J$3:OFFSET(J76,-1,0),"Subtotal:")+1</f>
        <v>6</v>
      </c>
      <c r="B76" s="62" t="str">
        <f ca="1">IF(OFFSET(B76,1,0)&lt;&gt;"",OFFSET(B76,1,0),"")</f>
        <v/>
      </c>
      <c r="C76" s="63"/>
      <c r="D76" s="59" t="s">
        <v>95</v>
      </c>
      <c r="E76" s="60" t="str">
        <f>LEFT(F76,3)</f>
        <v>#06</v>
      </c>
      <c r="F76" s="59" t="s">
        <v>223</v>
      </c>
      <c r="G76" s="59" t="s">
        <v>181</v>
      </c>
      <c r="H76" s="60"/>
      <c r="I76" s="24">
        <f>IF(J76&lt;&gt;"",J76 - ('Shipping Program'!$D$9 + 'Shipping Program'!$F$9 + 'Shipping Program'!$H$9), "")</f>
        <v>46494</v>
      </c>
      <c r="J76" s="43">
        <v>46541</v>
      </c>
      <c r="K76" s="44" t="str">
        <f>IF(SUM(M76:N76)=0,"",SUM(M76:N76))</f>
        <v/>
      </c>
      <c r="L76" s="64"/>
      <c r="M76" s="44"/>
      <c r="N76" s="54"/>
      <c r="O76" s="25">
        <f>VLOOKUP(I76,'Shipping Program'!$A$32:$B$78,2)-1</f>
        <v>6</v>
      </c>
      <c r="P76" s="44">
        <f>O76</f>
        <v>6</v>
      </c>
      <c r="Q76" s="24">
        <f>R76-7</f>
        <v>46475</v>
      </c>
      <c r="R76" s="24">
        <f>IFERROR(_xlfn.XLOOKUP(P76,'Shipping Program'!$B$32:$B$78,'Shipping Program'!$A$32:$A$78),IFERROR(INDEX(_V7Batches!$B:$B,MATCH(P76&amp;"",_V7Batches!$A:$A,0)),""))</f>
        <v>46482</v>
      </c>
      <c r="S76" s="24">
        <f>IFERROR(_xlfn.XLOOKUP(P76,'Shipping Program'!$B$32:$B$78,'Shipping Program'!$E$32:$E$78),IFERROR(INDEX(_V7Batches!$D:$D,MATCH(P76&amp;"",_V7Batches!$A:$A,0)),""))</f>
        <v>46512</v>
      </c>
      <c r="T76" s="24">
        <f>S76+'Shipping Program'!$H$9</f>
        <v>46519</v>
      </c>
      <c r="U76" s="25">
        <f>IFERROR(IF(J76*T76&lt;&gt;0,J76-T76,""),"")</f>
        <v>22</v>
      </c>
      <c r="V76" s="25" t="str">
        <f>IF(U76&lt;&gt;"",IF(U76&gt;28,"Too early",IF(U76&lt;14,"Too late","")),"")</f>
        <v/>
      </c>
      <c r="W76" s="35"/>
      <c r="X76" s="26">
        <f ca="1">IF(OFFSET(X76,1,0)="",R76,OFFSET(X76,1,0))</f>
        <v>46482</v>
      </c>
      <c r="Y76" s="26">
        <f ca="1">IF(OFFSET(Y76,1,0)="",X76+'Shipping Program'!$F$9,OFFSET(Y76,1,0))</f>
        <v>46512</v>
      </c>
      <c r="Z76" s="26">
        <f ca="1">IF(OFFSET(Z76,1,0)="",Y76+'Shipping Program'!$H$9,OFFSET(Z76,1,0))</f>
        <v>46519</v>
      </c>
      <c r="AA76" s="27">
        <f ca="1">IFERROR(IF(J76*Z76&lt;&gt;0,J76-Z76,""),"")</f>
        <v>22</v>
      </c>
      <c r="AB76" s="27" t="str">
        <f ca="1">IF(AA76&lt;&gt;"",IF(AA76&gt;28,"Too early",IF(AA76&lt;14,"Too late","")),"")</f>
        <v/>
      </c>
      <c r="AC76" s="46"/>
      <c r="AE76" s="80" t="s">
        <v>43</v>
      </c>
      <c r="AF76" s="80" t="s">
        <v>41</v>
      </c>
      <c r="AG76" s="80" t="s">
        <v>42</v>
      </c>
      <c r="AH76" s="80" t="str">
        <f>IF(AI76="","",AI76*AJ76*AK76/1000/1000/1000)</f>
        <v/>
      </c>
      <c r="AI76" s="80"/>
      <c r="AJ76" s="80"/>
      <c r="AK76" s="80"/>
    </row>
    <row r="77" spans="1:37" ht="20.100000000000001" customHeight="1" outlineLevel="1">
      <c r="A77" s="33">
        <f ca="1">COUNTIF(J$3:OFFSET(J77,-1,0),"Subtotal:")+1</f>
        <v>6</v>
      </c>
      <c r="B77" s="23" t="str">
        <f ca="1">IF(OFFSET(B77,1,0)&lt;&gt;"",OFFSET(B77,1,0),"")</f>
        <v/>
      </c>
      <c r="C77" s="42"/>
      <c r="D77" s="64" t="s">
        <v>97</v>
      </c>
      <c r="E77" s="60" t="str">
        <f>LEFT(F77,3)</f>
        <v>#10</v>
      </c>
      <c r="F77" s="59" t="s">
        <v>249</v>
      </c>
      <c r="G77" s="64" t="s">
        <v>276</v>
      </c>
      <c r="H77" s="64"/>
      <c r="I77" s="24">
        <f>IF(J77&lt;&gt;"",J77 - ('Shipping Program'!$D$9 + 'Shipping Program'!$F$9 + 'Shipping Program'!$H$9), "")</f>
        <v>46490</v>
      </c>
      <c r="J77" s="43">
        <v>46537</v>
      </c>
      <c r="K77" s="44" t="str">
        <f>IF(SUM(M77:N77)=0,"",SUM(M77:N77))</f>
        <v/>
      </c>
      <c r="L77" s="44"/>
      <c r="M77" s="44"/>
      <c r="N77" s="54"/>
      <c r="O77" s="25">
        <f>VLOOKUP(I77,'Shipping Program'!$A$32:$B$78,2)-1</f>
        <v>6</v>
      </c>
      <c r="P77" s="44">
        <f>O77</f>
        <v>6</v>
      </c>
      <c r="Q77" s="24">
        <f>R77-7</f>
        <v>46475</v>
      </c>
      <c r="R77" s="24">
        <f>IFERROR(_xlfn.XLOOKUP(P77,'Shipping Program'!$B$32:$B$78,'Shipping Program'!$A$32:$A$78),IFERROR(INDEX(_V7Batches!$B:$B,MATCH(P77&amp;"",_V7Batches!$A:$A,0)),""))</f>
        <v>46482</v>
      </c>
      <c r="S77" s="24">
        <f>IFERROR(_xlfn.XLOOKUP(P77,'Shipping Program'!$B$32:$B$78,'Shipping Program'!$E$32:$E$78),IFERROR(INDEX(_V7Batches!$D:$D,MATCH(P77&amp;"",_V7Batches!$A:$A,0)),""))</f>
        <v>46512</v>
      </c>
      <c r="T77" s="24">
        <f>S77+'Shipping Program'!$H$9</f>
        <v>46519</v>
      </c>
      <c r="U77" s="25">
        <f>IFERROR(IF(J77*T77&lt;&gt;0,J77-T77,""),"")</f>
        <v>18</v>
      </c>
      <c r="V77" s="25" t="str">
        <f>IF(U77&lt;&gt;"",IF(U77&gt;28,"Too early",IF(U77&lt;14,"Too late","")),"")</f>
        <v/>
      </c>
      <c r="W77" s="35"/>
      <c r="X77" s="26">
        <f ca="1">IF(OFFSET(X77,1,0)="",R77,OFFSET(X77,1,0))</f>
        <v>46482</v>
      </c>
      <c r="Y77" s="26">
        <f ca="1">IF(OFFSET(Y77,1,0)="",X77+'Shipping Program'!$F$9,OFFSET(Y77,1,0))</f>
        <v>46512</v>
      </c>
      <c r="Z77" s="26">
        <f ca="1">IF(OFFSET(Z77,1,0)="",Y77+'Shipping Program'!$H$9,OFFSET(Z77,1,0))</f>
        <v>46519</v>
      </c>
      <c r="AA77" s="27">
        <f ca="1">IFERROR(IF(J77*Z77&lt;&gt;0,J77-Z77,""),"")</f>
        <v>18</v>
      </c>
      <c r="AB77" s="27" t="str">
        <f ca="1">IF(AA77&lt;&gt;"",IF(AA77&gt;28,"Too early",IF(AA77&lt;14,"Too late","")),"")</f>
        <v/>
      </c>
      <c r="AC77" s="46"/>
      <c r="AE77" s="80" t="s">
        <v>43</v>
      </c>
      <c r="AF77" s="80" t="s">
        <v>41</v>
      </c>
      <c r="AG77" s="80" t="s">
        <v>42</v>
      </c>
      <c r="AH77" s="80" t="str">
        <f>IF(AI77="","",AI77*AJ77*AK77/1000/1000/1000)</f>
        <v/>
      </c>
      <c r="AI77" s="80"/>
      <c r="AJ77" s="80"/>
      <c r="AK77" s="80"/>
    </row>
    <row r="78" spans="1:37" ht="20.100000000000001" customHeight="1" outlineLevel="1">
      <c r="A78" s="33">
        <f ca="1">COUNTIF(J$3:OFFSET(J78,-1,0),"Subtotal:")+1</f>
        <v>6</v>
      </c>
      <c r="B78" s="23" t="str">
        <f ca="1">IF(OFFSET(B78,1,0)&lt;&gt;"",OFFSET(B78,1,0),"")</f>
        <v/>
      </c>
      <c r="C78" s="42"/>
      <c r="D78" s="64" t="s">
        <v>97</v>
      </c>
      <c r="E78" s="60" t="str">
        <f>LEFT(F78,3)</f>
        <v>#10</v>
      </c>
      <c r="F78" s="59" t="s">
        <v>249</v>
      </c>
      <c r="G78" s="64" t="s">
        <v>261</v>
      </c>
      <c r="H78" s="64"/>
      <c r="I78" s="24">
        <f>IF(J78&lt;&gt;"",J78 - ('Shipping Program'!$D$9 + 'Shipping Program'!$F$9 + 'Shipping Program'!$H$9), "")</f>
        <v>46490</v>
      </c>
      <c r="J78" s="43">
        <v>46537</v>
      </c>
      <c r="K78" s="44" t="str">
        <f>IF(SUM(M78:N78)=0,"",SUM(M78:N78))</f>
        <v/>
      </c>
      <c r="L78" s="44"/>
      <c r="M78" s="44"/>
      <c r="N78" s="54"/>
      <c r="O78" s="25">
        <f>VLOOKUP(I78,'Shipping Program'!$A$32:$B$78,2)-1</f>
        <v>6</v>
      </c>
      <c r="P78" s="44">
        <f>O78</f>
        <v>6</v>
      </c>
      <c r="Q78" s="24">
        <f>R78-7</f>
        <v>46475</v>
      </c>
      <c r="R78" s="24">
        <f>IFERROR(_xlfn.XLOOKUP(P78,'Shipping Program'!$B$32:$B$78,'Shipping Program'!$A$32:$A$78),IFERROR(INDEX(_V7Batches!$B:$B,MATCH(P78&amp;"",_V7Batches!$A:$A,0)),""))</f>
        <v>46482</v>
      </c>
      <c r="S78" s="24">
        <f>IFERROR(_xlfn.XLOOKUP(P78,'Shipping Program'!$B$32:$B$78,'Shipping Program'!$E$32:$E$78),IFERROR(INDEX(_V7Batches!$D:$D,MATCH(P78&amp;"",_V7Batches!$A:$A,0)),""))</f>
        <v>46512</v>
      </c>
      <c r="T78" s="24">
        <f>S78+'Shipping Program'!$H$9</f>
        <v>46519</v>
      </c>
      <c r="U78" s="25">
        <f>IFERROR(IF(J78*T78&lt;&gt;0,J78-T78,""),"")</f>
        <v>18</v>
      </c>
      <c r="V78" s="25" t="str">
        <f>IF(U78&lt;&gt;"",IF(U78&gt;28,"Too early",IF(U78&lt;14,"Too late","")),"")</f>
        <v/>
      </c>
      <c r="W78" s="35"/>
      <c r="X78" s="26">
        <f ca="1">IF(OFFSET(X78,1,0)="",R78,OFFSET(X78,1,0))</f>
        <v>46482</v>
      </c>
      <c r="Y78" s="26">
        <f ca="1">IF(OFFSET(Y78,1,0)="",X78+'Shipping Program'!$F$9,OFFSET(Y78,1,0))</f>
        <v>46512</v>
      </c>
      <c r="Z78" s="26">
        <f ca="1">IF(OFFSET(Z78,1,0)="",Y78+'Shipping Program'!$H$9,OFFSET(Z78,1,0))</f>
        <v>46519</v>
      </c>
      <c r="AA78" s="27">
        <f ca="1">IFERROR(IF(J78*Z78&lt;&gt;0,J78-Z78,""),"")</f>
        <v>18</v>
      </c>
      <c r="AB78" s="27" t="str">
        <f ca="1">IF(AA78&lt;&gt;"",IF(AA78&gt;28,"Too early",IF(AA78&lt;14,"Too late","")),"")</f>
        <v/>
      </c>
      <c r="AC78" s="46"/>
      <c r="AE78" s="80" t="s">
        <v>43</v>
      </c>
      <c r="AF78" s="80" t="s">
        <v>41</v>
      </c>
      <c r="AG78" s="80" t="s">
        <v>42</v>
      </c>
      <c r="AH78" s="80" t="str">
        <f>IF(AI78="","",AI78*AJ78*AK78/1000/1000/1000)</f>
        <v/>
      </c>
      <c r="AI78" s="80"/>
      <c r="AJ78" s="80"/>
      <c r="AK78" s="80"/>
    </row>
    <row r="79" spans="1:37" ht="20.100000000000001" customHeight="1" outlineLevel="1">
      <c r="A79" s="33">
        <f ca="1">COUNTIF(J$3:OFFSET(J79,-1,0),"Subtotal:")+1</f>
        <v>6</v>
      </c>
      <c r="B79" s="23" t="str">
        <f ca="1">IF(OFFSET(B79,1,0)&lt;&gt;"",OFFSET(B79,1,0),"")</f>
        <v/>
      </c>
      <c r="C79" s="42"/>
      <c r="D79" s="64" t="s">
        <v>97</v>
      </c>
      <c r="E79" s="60" t="str">
        <f>LEFT(F79,3)</f>
        <v>#10</v>
      </c>
      <c r="F79" s="59" t="s">
        <v>250</v>
      </c>
      <c r="G79" s="64" t="s">
        <v>284</v>
      </c>
      <c r="H79" s="64"/>
      <c r="I79" s="24">
        <f>IF(J79&lt;&gt;"",J79 - ('Shipping Program'!$D$9 + 'Shipping Program'!$F$9 + 'Shipping Program'!$H$9), "")</f>
        <v>46491</v>
      </c>
      <c r="J79" s="43">
        <v>46538</v>
      </c>
      <c r="K79" s="44" t="str">
        <f>IF(SUM(M79:N79)=0,"",SUM(M79:N79))</f>
        <v/>
      </c>
      <c r="L79" s="44"/>
      <c r="M79" s="44"/>
      <c r="N79" s="54"/>
      <c r="O79" s="25">
        <f>VLOOKUP(I79,'Shipping Program'!$A$32:$B$78,2)-1</f>
        <v>6</v>
      </c>
      <c r="P79" s="44">
        <f>O79</f>
        <v>6</v>
      </c>
      <c r="Q79" s="24">
        <f>R79-7</f>
        <v>46475</v>
      </c>
      <c r="R79" s="24">
        <f>IFERROR(_xlfn.XLOOKUP(P79,'Shipping Program'!$B$32:$B$78,'Shipping Program'!$A$32:$A$78),IFERROR(INDEX(_V7Batches!$B:$B,MATCH(P79&amp;"",_V7Batches!$A:$A,0)),""))</f>
        <v>46482</v>
      </c>
      <c r="S79" s="24">
        <f>IFERROR(_xlfn.XLOOKUP(P79,'Shipping Program'!$B$32:$B$78,'Shipping Program'!$E$32:$E$78),IFERROR(INDEX(_V7Batches!$D:$D,MATCH(P79&amp;"",_V7Batches!$A:$A,0)),""))</f>
        <v>46512</v>
      </c>
      <c r="T79" s="24">
        <f>S79+'Shipping Program'!$H$9</f>
        <v>46519</v>
      </c>
      <c r="U79" s="25">
        <f>IFERROR(IF(J79*T79&lt;&gt;0,J79-T79,""),"")</f>
        <v>19</v>
      </c>
      <c r="V79" s="25" t="str">
        <f>IF(U79&lt;&gt;"",IF(U79&gt;28,"Too early",IF(U79&lt;14,"Too late","")),"")</f>
        <v/>
      </c>
      <c r="W79" s="35"/>
      <c r="X79" s="26">
        <f ca="1">IF(OFFSET(X79,1,0)="",R79,OFFSET(X79,1,0))</f>
        <v>46482</v>
      </c>
      <c r="Y79" s="26">
        <f ca="1">IF(OFFSET(Y79,1,0)="",X79+'Shipping Program'!$F$9,OFFSET(Y79,1,0))</f>
        <v>46512</v>
      </c>
      <c r="Z79" s="26">
        <f ca="1">IF(OFFSET(Z79,1,0)="",Y79+'Shipping Program'!$H$9,OFFSET(Z79,1,0))</f>
        <v>46519</v>
      </c>
      <c r="AA79" s="27">
        <f ca="1">IFERROR(IF(J79*Z79&lt;&gt;0,J79-Z79,""),"")</f>
        <v>19</v>
      </c>
      <c r="AB79" s="27" t="str">
        <f ca="1">IF(AA79&lt;&gt;"",IF(AA79&gt;28,"Too early",IF(AA79&lt;14,"Too late","")),"")</f>
        <v/>
      </c>
      <c r="AC79" s="46"/>
      <c r="AE79" s="80" t="s">
        <v>43</v>
      </c>
      <c r="AF79" s="80" t="s">
        <v>41</v>
      </c>
      <c r="AG79" s="80" t="s">
        <v>42</v>
      </c>
      <c r="AH79" s="80" t="str">
        <f>IF(AI79="","",AI79*AJ79*AK79/1000/1000/1000)</f>
        <v/>
      </c>
      <c r="AI79" s="80"/>
      <c r="AJ79" s="80"/>
      <c r="AK79" s="80"/>
    </row>
    <row r="80" spans="1:37" ht="20.100000000000001" customHeight="1" outlineLevel="1">
      <c r="A80" s="34">
        <f ca="1">COUNTIF(J$3:OFFSET(J80,-1,0),"Subtotal:")+1</f>
        <v>6</v>
      </c>
      <c r="B80" s="47"/>
      <c r="C80" s="48"/>
      <c r="D80" s="73"/>
      <c r="E80" s="49"/>
      <c r="F80" s="74"/>
      <c r="G80" s="74"/>
      <c r="H80" s="49"/>
      <c r="I80" s="49"/>
      <c r="J80" s="49" t="s">
        <v>6424</v>
      </c>
      <c r="K80" s="28">
        <f ca="1">SUMIF(A$3:OFFSET(A80,-1,0),A80,K$3:OFFSET(K80,-1,0))</f>
        <v>0</v>
      </c>
      <c r="L80" s="28">
        <f ca="1">SUMIF(A$3:OFFSET(A80,-1,0),A80,L$3:OFFSET(L80,-1,0))</f>
        <v>0</v>
      </c>
      <c r="M80" s="28"/>
      <c r="N80" s="55"/>
      <c r="O80" s="49"/>
      <c r="P80" s="49"/>
      <c r="Q80" s="29">
        <f ca="1">R80-7</f>
        <v>46475</v>
      </c>
      <c r="R80" s="29">
        <f ca="1">IF(J80="Subtotal:",OFFSET(R80,-1,0),"")</f>
        <v>46482</v>
      </c>
      <c r="S80" s="29">
        <f ca="1">IF(J80="Subtotal:",OFFSET(S80,-1,0),"")</f>
        <v>46512</v>
      </c>
      <c r="T80" s="29">
        <f ca="1">IF(J80="Subtotal:",OFFSET(T80,-1,0),"")</f>
        <v>46519</v>
      </c>
      <c r="U80" s="30" t="str">
        <f ca="1">IFERROR(IF(J80*T80&lt;&gt;0,J80-T80,""),"")</f>
        <v/>
      </c>
      <c r="V80" s="31" t="str">
        <f ca="1">IF(U80&lt;&gt;"",IF(U80&gt;28,"Too early",IF(U80&lt;14,"Too late","")),"")</f>
        <v/>
      </c>
      <c r="W80" s="28">
        <f ca="1">(SUMIFS($K:$K,$J:$J,"&lt;&gt;Subtotal:",$J:$J,"&gt;"&amp;S80,$S:$S,"&lt;="&amp;S80))*24*1.3+(SUMIFS($L:$L,$J:$J,"&lt;&gt;Subtotal:",$J:$J,"&gt;"&amp;S80,$S:$S,"&lt;="&amp;S80))/3*1.3</f>
        <v>0</v>
      </c>
      <c r="X80" s="50"/>
      <c r="Y80" s="50"/>
      <c r="Z80" s="50"/>
      <c r="AA80" s="30" t="str">
        <f>IFERROR(IF(J80*Z80&lt;&gt;0,J80-Z80,""),"")</f>
        <v/>
      </c>
      <c r="AB80" s="31" t="str">
        <f>IF(AA80&lt;&gt;"",IF(AA80&gt;28,"Too early",IF(AA80&lt;14,"Too late","")),"")</f>
        <v/>
      </c>
      <c r="AC80" s="32">
        <f>(SUMIFS($K:$K,$J:$J,"&lt;&gt;Subtotal:",$J:$J,"&gt;"&amp;Y80,$Y:$Y,"&lt;="&amp;Y80))*24*1.3+(SUMIFS($L:$L,$J:$J,"&lt;&gt;Subtotal:",$J:$J,"&gt;"&amp;Y80,$Y:$Y,"&lt;="&amp;Y80))/3*1.3</f>
        <v>0</v>
      </c>
      <c r="AD80" s="58"/>
      <c r="AE80" s="78"/>
      <c r="AF80" s="78"/>
      <c r="AG80" s="78"/>
      <c r="AH80" s="78"/>
      <c r="AI80" s="78"/>
      <c r="AJ80" s="78"/>
      <c r="AK80" s="78"/>
    </row>
    <row r="81" spans="1:37" ht="20.100000000000001" customHeight="1" outlineLevel="1">
      <c r="A81" s="33">
        <f ca="1">COUNTIF(J$3:OFFSET(J81,-1,0),"Subtotal:")+1</f>
        <v>7</v>
      </c>
      <c r="B81" s="23" t="str">
        <f ca="1">IF(OFFSET(B81,1,0)&lt;&gt;"",OFFSET(B81,1,0),"")</f>
        <v/>
      </c>
      <c r="C81" s="42"/>
      <c r="D81" s="59" t="s">
        <v>48</v>
      </c>
      <c r="E81" s="60" t="str">
        <f>LEFT(F81,3)</f>
        <v>#02</v>
      </c>
      <c r="F81" s="59" t="s">
        <v>179</v>
      </c>
      <c r="G81" s="59" t="s">
        <v>199</v>
      </c>
      <c r="H81" s="60"/>
      <c r="I81" s="24">
        <f>IF(J81&lt;&gt;"",J81 - ('Shipping Program'!$D$9 + 'Shipping Program'!$F$9 + 'Shipping Program'!$H$9), "")</f>
        <v>46499</v>
      </c>
      <c r="J81" s="43">
        <v>46546</v>
      </c>
      <c r="K81" s="44" t="str">
        <f>IF(SUM(M81:N81)=0,"",SUM(M81:N81))</f>
        <v/>
      </c>
      <c r="L81" s="44"/>
      <c r="M81" s="44"/>
      <c r="N81" s="54"/>
      <c r="O81" s="25">
        <f>VLOOKUP(I81,'Shipping Program'!$A$32:$B$78,2)-1</f>
        <v>7</v>
      </c>
      <c r="P81" s="44">
        <f>O81</f>
        <v>7</v>
      </c>
      <c r="Q81" s="24">
        <f>R81-7</f>
        <v>46482</v>
      </c>
      <c r="R81" s="24">
        <f>IFERROR(_xlfn.XLOOKUP(P81,'Shipping Program'!$B$32:$B$78,'Shipping Program'!$A$32:$A$78),IFERROR(INDEX(_V7Batches!$B:$B,MATCH(P81&amp;"",_V7Batches!$A:$A,0)),""))</f>
        <v>46489</v>
      </c>
      <c r="S81" s="24">
        <f>IFERROR(_xlfn.XLOOKUP(P81,'Shipping Program'!$B$32:$B$78,'Shipping Program'!$E$32:$E$78),IFERROR(INDEX(_V7Batches!$D:$D,MATCH(P81&amp;"",_V7Batches!$A:$A,0)),""))</f>
        <v>46519</v>
      </c>
      <c r="T81" s="24">
        <f>S81+'Shipping Program'!$H$9</f>
        <v>46526</v>
      </c>
      <c r="U81" s="25">
        <f>IFERROR(IF(J81*T81&lt;&gt;0,J81-T81,""),"")</f>
        <v>20</v>
      </c>
      <c r="V81" s="25" t="str">
        <f>IF(U81&lt;&gt;"",IF(U81&gt;28,"Too early",IF(U81&lt;14,"Too late","")),"")</f>
        <v/>
      </c>
      <c r="W81" s="35"/>
      <c r="X81" s="26">
        <f ca="1">IF(OFFSET(X81,1,0)="",R81,OFFSET(X81,1,0))</f>
        <v>46489</v>
      </c>
      <c r="Y81" s="26">
        <f ca="1">IF(OFFSET(Y81,1,0)="",X81+'Shipping Program'!$F$9,OFFSET(Y81,1,0))</f>
        <v>46519</v>
      </c>
      <c r="Z81" s="26">
        <f ca="1">IF(OFFSET(Z81,1,0)="",Y81+'Shipping Program'!$H$9,OFFSET(Z81,1,0))</f>
        <v>46526</v>
      </c>
      <c r="AA81" s="27">
        <f ca="1">IFERROR(IF(J81*Z81&lt;&gt;0,J81-Z81,""),"")</f>
        <v>20</v>
      </c>
      <c r="AB81" s="27" t="str">
        <f ca="1">IF(AA81&lt;&gt;"",IF(AA81&gt;28,"Too early",IF(AA81&lt;14,"Too late","")),"")</f>
        <v/>
      </c>
      <c r="AC81" s="46"/>
      <c r="AE81" s="80" t="s">
        <v>43</v>
      </c>
      <c r="AF81" s="80" t="s">
        <v>41</v>
      </c>
      <c r="AG81" s="80" t="s">
        <v>42</v>
      </c>
      <c r="AH81" s="80" t="str">
        <f>IF(AI81="","",AI81*AJ81*AK81/1000/1000/1000)</f>
        <v/>
      </c>
      <c r="AI81" s="80"/>
      <c r="AJ81" s="80"/>
      <c r="AK81" s="80"/>
    </row>
    <row r="82" spans="1:37" ht="20.100000000000001" customHeight="1" outlineLevel="1">
      <c r="A82" s="33">
        <f ca="1">COUNTIF(J$3:OFFSET(J82,-1,0),"Subtotal:")+1</f>
        <v>7</v>
      </c>
      <c r="B82" s="23" t="str">
        <f ca="1">IF(OFFSET(B82,1,0)&lt;&gt;"",OFFSET(B82,1,0),"")</f>
        <v/>
      </c>
      <c r="C82" s="42"/>
      <c r="D82" s="59" t="s">
        <v>62</v>
      </c>
      <c r="E82" s="60" t="str">
        <f>LEFT(F82,3)</f>
        <v>#04</v>
      </c>
      <c r="F82" s="59" t="s">
        <v>221</v>
      </c>
      <c r="G82" s="59" t="s">
        <v>219</v>
      </c>
      <c r="H82" s="60"/>
      <c r="I82" s="24">
        <f>IF(J82&lt;&gt;"",J82 - ('Shipping Program'!$D$9 + 'Shipping Program'!$F$9 + 'Shipping Program'!$H$9), "")</f>
        <v>46496</v>
      </c>
      <c r="J82" s="43">
        <v>46543</v>
      </c>
      <c r="K82" s="44" t="str">
        <f>IF(SUM(M82:N82)=0,"",SUM(M82:N82))</f>
        <v/>
      </c>
      <c r="L82" s="44"/>
      <c r="M82" s="44"/>
      <c r="N82" s="54"/>
      <c r="O82" s="25">
        <f>VLOOKUP(I82,'Shipping Program'!$A$32:$B$78,2)-1</f>
        <v>7</v>
      </c>
      <c r="P82" s="44">
        <f>O82</f>
        <v>7</v>
      </c>
      <c r="Q82" s="24">
        <f>R82-7</f>
        <v>46482</v>
      </c>
      <c r="R82" s="24">
        <f>IFERROR(_xlfn.XLOOKUP(P82,'Shipping Program'!$B$32:$B$78,'Shipping Program'!$A$32:$A$78),IFERROR(INDEX(_V7Batches!$B:$B,MATCH(P82&amp;"",_V7Batches!$A:$A,0)),""))</f>
        <v>46489</v>
      </c>
      <c r="S82" s="24">
        <f>IFERROR(_xlfn.XLOOKUP(P82,'Shipping Program'!$B$32:$B$78,'Shipping Program'!$E$32:$E$78),IFERROR(INDEX(_V7Batches!$D:$D,MATCH(P82&amp;"",_V7Batches!$A:$A,0)),""))</f>
        <v>46519</v>
      </c>
      <c r="T82" s="24">
        <f>S82+'Shipping Program'!$H$9</f>
        <v>46526</v>
      </c>
      <c r="U82" s="25">
        <f>IFERROR(IF(J82*T82&lt;&gt;0,J82-T82,""),"")</f>
        <v>17</v>
      </c>
      <c r="V82" s="25" t="str">
        <f>IF(U82&lt;&gt;"",IF(U82&gt;28,"Too early",IF(U82&lt;14,"Too late","")),"")</f>
        <v/>
      </c>
      <c r="W82" s="35"/>
      <c r="X82" s="26">
        <f ca="1">IF(OFFSET(X82,1,0)="",R82,OFFSET(X82,1,0))</f>
        <v>46489</v>
      </c>
      <c r="Y82" s="26">
        <f ca="1">IF(OFFSET(Y82,1,0)="",X82+'Shipping Program'!$F$9,OFFSET(Y82,1,0))</f>
        <v>46519</v>
      </c>
      <c r="Z82" s="26">
        <f ca="1">IF(OFFSET(Z82,1,0)="",Y82+'Shipping Program'!$H$9,OFFSET(Z82,1,0))</f>
        <v>46526</v>
      </c>
      <c r="AA82" s="27">
        <f ca="1">IFERROR(IF(J82*Z82&lt;&gt;0,J82-Z82,""),"")</f>
        <v>17</v>
      </c>
      <c r="AB82" s="27" t="str">
        <f ca="1">IF(AA82&lt;&gt;"",IF(AA82&gt;28,"Too early",IF(AA82&lt;14,"Too late","")),"")</f>
        <v/>
      </c>
      <c r="AC82" s="46"/>
      <c r="AE82" s="80" t="s">
        <v>43</v>
      </c>
      <c r="AF82" s="80" t="s">
        <v>41</v>
      </c>
      <c r="AG82" s="80" t="s">
        <v>63</v>
      </c>
      <c r="AH82" s="80" t="str">
        <f>IF(AI82="","",AI82*AJ82*AK82/1000/1000/1000)</f>
        <v/>
      </c>
      <c r="AI82" s="80"/>
      <c r="AJ82" s="80"/>
      <c r="AK82" s="80"/>
    </row>
    <row r="83" spans="1:37" ht="20.100000000000001" customHeight="1" outlineLevel="1">
      <c r="A83" s="33">
        <f ca="1">COUNTIF(J$3:OFFSET(J83,-1,0),"Subtotal:")+1</f>
        <v>7</v>
      </c>
      <c r="B83" s="23" t="str">
        <f ca="1">IF(OFFSET(B83,1,0)&lt;&gt;"",OFFSET(B83,1,0),"")</f>
        <v/>
      </c>
      <c r="C83" s="42"/>
      <c r="D83" s="59" t="s">
        <v>62</v>
      </c>
      <c r="E83" s="60" t="str">
        <f>LEFT(F83,3)</f>
        <v>#04</v>
      </c>
      <c r="F83" s="59" t="s">
        <v>221</v>
      </c>
      <c r="G83" s="59" t="s">
        <v>212</v>
      </c>
      <c r="H83" s="60"/>
      <c r="I83" s="24">
        <f>IF(J83&lt;&gt;"",J83 - ('Shipping Program'!$D$9 + 'Shipping Program'!$F$9 + 'Shipping Program'!$H$9), "")</f>
        <v>46498</v>
      </c>
      <c r="J83" s="43">
        <v>46545</v>
      </c>
      <c r="K83" s="44" t="str">
        <f>IF(SUM(M83:N83)=0,"",SUM(M83:N83))</f>
        <v/>
      </c>
      <c r="L83" s="44"/>
      <c r="M83" s="44"/>
      <c r="N83" s="54"/>
      <c r="O83" s="25">
        <f>VLOOKUP(I83,'Shipping Program'!$A$32:$B$78,2)-1</f>
        <v>7</v>
      </c>
      <c r="P83" s="44">
        <f>O83</f>
        <v>7</v>
      </c>
      <c r="Q83" s="24">
        <f>R83-7</f>
        <v>46482</v>
      </c>
      <c r="R83" s="24">
        <f>IFERROR(_xlfn.XLOOKUP(P83,'Shipping Program'!$B$32:$B$78,'Shipping Program'!$A$32:$A$78),IFERROR(INDEX(_V7Batches!$B:$B,MATCH(P83&amp;"",_V7Batches!$A:$A,0)),""))</f>
        <v>46489</v>
      </c>
      <c r="S83" s="24">
        <f>IFERROR(_xlfn.XLOOKUP(P83,'Shipping Program'!$B$32:$B$78,'Shipping Program'!$E$32:$E$78),IFERROR(INDEX(_V7Batches!$D:$D,MATCH(P83&amp;"",_V7Batches!$A:$A,0)),""))</f>
        <v>46519</v>
      </c>
      <c r="T83" s="24">
        <f>S83+'Shipping Program'!$H$9</f>
        <v>46526</v>
      </c>
      <c r="U83" s="25">
        <f>IFERROR(IF(J83*T83&lt;&gt;0,J83-T83,""),"")</f>
        <v>19</v>
      </c>
      <c r="V83" s="25" t="str">
        <f>IF(U83&lt;&gt;"",IF(U83&gt;28,"Too early",IF(U83&lt;14,"Too late","")),"")</f>
        <v/>
      </c>
      <c r="W83" s="35"/>
      <c r="X83" s="26">
        <f ca="1">IF(OFFSET(X83,1,0)="",R83,OFFSET(X83,1,0))</f>
        <v>46489</v>
      </c>
      <c r="Y83" s="26">
        <f ca="1">IF(OFFSET(Y83,1,0)="",X83+'Shipping Program'!$F$9,OFFSET(Y83,1,0))</f>
        <v>46519</v>
      </c>
      <c r="Z83" s="26">
        <f ca="1">IF(OFFSET(Z83,1,0)="",Y83+'Shipping Program'!$H$9,OFFSET(Z83,1,0))</f>
        <v>46526</v>
      </c>
      <c r="AA83" s="27">
        <f ca="1">IFERROR(IF(J83*Z83&lt;&gt;0,J83-Z83,""),"")</f>
        <v>19</v>
      </c>
      <c r="AB83" s="27" t="str">
        <f ca="1">IF(AA83&lt;&gt;"",IF(AA83&gt;28,"Too early",IF(AA83&lt;14,"Too late","")),"")</f>
        <v/>
      </c>
      <c r="AC83" s="46"/>
      <c r="AE83" s="80" t="s">
        <v>43</v>
      </c>
      <c r="AF83" s="80" t="s">
        <v>41</v>
      </c>
      <c r="AG83" s="80" t="s">
        <v>63</v>
      </c>
      <c r="AH83" s="80" t="str">
        <f>IF(AI83="","",AI83*AJ83*AK83/1000/1000/1000)</f>
        <v/>
      </c>
      <c r="AI83" s="80"/>
      <c r="AJ83" s="80"/>
      <c r="AK83" s="80"/>
    </row>
    <row r="84" spans="1:37" ht="20.100000000000001" customHeight="1" outlineLevel="1">
      <c r="A84" s="33">
        <f ca="1">COUNTIF(J$3:OFFSET(J84,-1,0),"Subtotal:")+1</f>
        <v>7</v>
      </c>
      <c r="B84" s="23" t="str">
        <f ca="1">IF(OFFSET(B84,1,0)&lt;&gt;"",OFFSET(B84,1,0),"")</f>
        <v/>
      </c>
      <c r="C84" s="42"/>
      <c r="D84" s="59" t="s">
        <v>62</v>
      </c>
      <c r="E84" s="60" t="str">
        <f>LEFT(F84,3)</f>
        <v>#04</v>
      </c>
      <c r="F84" s="59" t="s">
        <v>221</v>
      </c>
      <c r="G84" s="59" t="s">
        <v>210</v>
      </c>
      <c r="H84" s="60"/>
      <c r="I84" s="24">
        <f>IF(J84&lt;&gt;"",J84 - ('Shipping Program'!$D$9 + 'Shipping Program'!$F$9 + 'Shipping Program'!$H$9), "")</f>
        <v>46499</v>
      </c>
      <c r="J84" s="43">
        <v>46546</v>
      </c>
      <c r="K84" s="44" t="str">
        <f>IF(SUM(M84:N84)=0,"",SUM(M84:N84))</f>
        <v/>
      </c>
      <c r="L84" s="44"/>
      <c r="M84" s="44"/>
      <c r="N84" s="54"/>
      <c r="O84" s="25">
        <f>VLOOKUP(I84,'Shipping Program'!$A$32:$B$78,2)-1</f>
        <v>7</v>
      </c>
      <c r="P84" s="44">
        <f>O84</f>
        <v>7</v>
      </c>
      <c r="Q84" s="24">
        <f>R84-7</f>
        <v>46482</v>
      </c>
      <c r="R84" s="24">
        <f>IFERROR(_xlfn.XLOOKUP(P84,'Shipping Program'!$B$32:$B$78,'Shipping Program'!$A$32:$A$78),IFERROR(INDEX(_V7Batches!$B:$B,MATCH(P84&amp;"",_V7Batches!$A:$A,0)),""))</f>
        <v>46489</v>
      </c>
      <c r="S84" s="24">
        <f>IFERROR(_xlfn.XLOOKUP(P84,'Shipping Program'!$B$32:$B$78,'Shipping Program'!$E$32:$E$78),IFERROR(INDEX(_V7Batches!$D:$D,MATCH(P84&amp;"",_V7Batches!$A:$A,0)),""))</f>
        <v>46519</v>
      </c>
      <c r="T84" s="24">
        <f>S84+'Shipping Program'!$H$9</f>
        <v>46526</v>
      </c>
      <c r="U84" s="25">
        <f>IFERROR(IF(J84*T84&lt;&gt;0,J84-T84,""),"")</f>
        <v>20</v>
      </c>
      <c r="V84" s="25" t="str">
        <f>IF(U84&lt;&gt;"",IF(U84&gt;28,"Too early",IF(U84&lt;14,"Too late","")),"")</f>
        <v/>
      </c>
      <c r="W84" s="35"/>
      <c r="X84" s="26">
        <f ca="1">IF(OFFSET(X84,1,0)="",R84,OFFSET(X84,1,0))</f>
        <v>46489</v>
      </c>
      <c r="Y84" s="26">
        <f ca="1">IF(OFFSET(Y84,1,0)="",X84+'Shipping Program'!$F$9,OFFSET(Y84,1,0))</f>
        <v>46519</v>
      </c>
      <c r="Z84" s="26">
        <f ca="1">IF(OFFSET(Z84,1,0)="",Y84+'Shipping Program'!$H$9,OFFSET(Z84,1,0))</f>
        <v>46526</v>
      </c>
      <c r="AA84" s="27">
        <f ca="1">IFERROR(IF(J84*Z84&lt;&gt;0,J84-Z84,""),"")</f>
        <v>20</v>
      </c>
      <c r="AB84" s="27" t="str">
        <f ca="1">IF(AA84&lt;&gt;"",IF(AA84&gt;28,"Too early",IF(AA84&lt;14,"Too late","")),"")</f>
        <v/>
      </c>
      <c r="AC84" s="46"/>
      <c r="AE84" s="80" t="s">
        <v>43</v>
      </c>
      <c r="AF84" s="80" t="s">
        <v>41</v>
      </c>
      <c r="AG84" s="80" t="s">
        <v>63</v>
      </c>
      <c r="AH84" s="80" t="str">
        <f>IF(AI84="","",AI84*AJ84*AK84/1000/1000/1000)</f>
        <v/>
      </c>
      <c r="AI84" s="80"/>
      <c r="AJ84" s="80"/>
      <c r="AK84" s="80"/>
    </row>
    <row r="85" spans="1:37" ht="20.100000000000001" customHeight="1">
      <c r="A85" s="33">
        <f ca="1">COUNTIF(J$3:OFFSET(J85,-1,0),"Subtotal:")+1</f>
        <v>7</v>
      </c>
      <c r="B85" s="23" t="str">
        <f ca="1">IF(OFFSET(B85,1,0)&lt;&gt;"",OFFSET(B85,1,0),"")</f>
        <v/>
      </c>
      <c r="C85" s="42"/>
      <c r="D85" s="59" t="s">
        <v>47</v>
      </c>
      <c r="E85" s="60" t="str">
        <f>LEFT(F85,3)</f>
        <v>#01</v>
      </c>
      <c r="F85" s="59" t="s">
        <v>174</v>
      </c>
      <c r="G85" s="59" t="s">
        <v>181</v>
      </c>
      <c r="H85" s="60"/>
      <c r="I85" s="24">
        <f>IF(J85&lt;&gt;"",J85 - ('Shipping Program'!$D$9 + 'Shipping Program'!$F$9 + 'Shipping Program'!$H$9), "")</f>
        <v>46496</v>
      </c>
      <c r="J85" s="43">
        <v>46543</v>
      </c>
      <c r="K85" s="44" t="str">
        <f>IF(SUM(M85:N85)=0,"",SUM(M85:N85))</f>
        <v/>
      </c>
      <c r="L85" s="44"/>
      <c r="M85" s="44"/>
      <c r="N85" s="54"/>
      <c r="O85" s="25">
        <f>VLOOKUP(I85,'Shipping Program'!$A$32:$B$78,2)-1</f>
        <v>7</v>
      </c>
      <c r="P85" s="44">
        <f>O85</f>
        <v>7</v>
      </c>
      <c r="Q85" s="24">
        <f>R85-7</f>
        <v>46482</v>
      </c>
      <c r="R85" s="24">
        <f>IFERROR(_xlfn.XLOOKUP(P85,'Shipping Program'!$B$32:$B$78,'Shipping Program'!$A$32:$A$78),IFERROR(INDEX(_V7Batches!$B:$B,MATCH(P85&amp;"",_V7Batches!$A:$A,0)),""))</f>
        <v>46489</v>
      </c>
      <c r="S85" s="24">
        <f>IFERROR(_xlfn.XLOOKUP(P85,'Shipping Program'!$B$32:$B$78,'Shipping Program'!$E$32:$E$78),IFERROR(INDEX(_V7Batches!$D:$D,MATCH(P85&amp;"",_V7Batches!$A:$A,0)),""))</f>
        <v>46519</v>
      </c>
      <c r="T85" s="24">
        <f>S85+'Shipping Program'!$H$9</f>
        <v>46526</v>
      </c>
      <c r="U85" s="25">
        <f>IFERROR(IF(J85*T85&lt;&gt;0,J85-T85,""),"")</f>
        <v>17</v>
      </c>
      <c r="V85" s="25" t="str">
        <f>IF(U85&lt;&gt;"",IF(U85&gt;28,"Too early",IF(U85&lt;14,"Too late","")),"")</f>
        <v/>
      </c>
      <c r="W85" s="35"/>
      <c r="X85" s="26">
        <f ca="1">IF(OFFSET(X85,1,0)="",R85,OFFSET(X85,1,0))</f>
        <v>46489</v>
      </c>
      <c r="Y85" s="26">
        <f ca="1">IF(OFFSET(Y85,1,0)="",X85+'Shipping Program'!$F$9,OFFSET(Y85,1,0))</f>
        <v>46519</v>
      </c>
      <c r="Z85" s="26">
        <f ca="1">IF(OFFSET(Z85,1,0)="",Y85+'Shipping Program'!$H$9,OFFSET(Z85,1,0))</f>
        <v>46526</v>
      </c>
      <c r="AA85" s="27">
        <f ca="1">IFERROR(IF(J85*Z85&lt;&gt;0,J85-Z85,""),"")</f>
        <v>17</v>
      </c>
      <c r="AB85" s="27" t="str">
        <f ca="1">IF(AA85&lt;&gt;"",IF(AA85&gt;28,"Too early",IF(AA85&lt;14,"Too late","")),"")</f>
        <v/>
      </c>
      <c r="AC85" s="46"/>
      <c r="AE85" s="80" t="s">
        <v>43</v>
      </c>
      <c r="AF85" s="80" t="s">
        <v>46</v>
      </c>
      <c r="AG85" s="80" t="s">
        <v>42</v>
      </c>
      <c r="AH85" s="80" t="str">
        <f>IF(AI85="","",AI85*AJ85*AK85/1000/1000/1000)</f>
        <v/>
      </c>
      <c r="AI85" s="80"/>
      <c r="AJ85" s="80"/>
      <c r="AK85" s="80"/>
    </row>
    <row r="86" spans="1:37" ht="20.100000000000001" customHeight="1" outlineLevel="1">
      <c r="A86" s="33">
        <f ca="1">COUNTIF(J$3:OFFSET(J86,-1,0),"Subtotal:")+1</f>
        <v>7</v>
      </c>
      <c r="B86" s="23" t="str">
        <f ca="1">IF(OFFSET(B86,1,0)&lt;&gt;"",OFFSET(B86,1,0),"")</f>
        <v/>
      </c>
      <c r="C86" s="42"/>
      <c r="D86" s="59" t="s">
        <v>62</v>
      </c>
      <c r="E86" s="60" t="str">
        <f>LEFT(F86,3)</f>
        <v>#04</v>
      </c>
      <c r="F86" s="59" t="s">
        <v>222</v>
      </c>
      <c r="G86" s="59" t="s">
        <v>213</v>
      </c>
      <c r="H86" s="60"/>
      <c r="I86" s="24">
        <f>IF(J86&lt;&gt;"",J86 - ('Shipping Program'!$D$9 + 'Shipping Program'!$F$9 + 'Shipping Program'!$H$9), "")</f>
        <v>46502</v>
      </c>
      <c r="J86" s="43">
        <v>46549</v>
      </c>
      <c r="K86" s="44" t="str">
        <f>IF(SUM(M86:N86)=0,"",SUM(M86:N86))</f>
        <v/>
      </c>
      <c r="L86" s="44"/>
      <c r="M86" s="44"/>
      <c r="N86" s="54"/>
      <c r="O86" s="25">
        <f>VLOOKUP(I86,'Shipping Program'!$A$32:$B$78,2)-1</f>
        <v>7</v>
      </c>
      <c r="P86" s="44">
        <f>O86</f>
        <v>7</v>
      </c>
      <c r="Q86" s="24">
        <f>R86-7</f>
        <v>46482</v>
      </c>
      <c r="R86" s="24">
        <f>IFERROR(_xlfn.XLOOKUP(P86,'Shipping Program'!$B$32:$B$78,'Shipping Program'!$A$32:$A$78),IFERROR(INDEX(_V7Batches!$B:$B,MATCH(P86&amp;"",_V7Batches!$A:$A,0)),""))</f>
        <v>46489</v>
      </c>
      <c r="S86" s="24">
        <f>IFERROR(_xlfn.XLOOKUP(P86,'Shipping Program'!$B$32:$B$78,'Shipping Program'!$E$32:$E$78),IFERROR(INDEX(_V7Batches!$D:$D,MATCH(P86&amp;"",_V7Batches!$A:$A,0)),""))</f>
        <v>46519</v>
      </c>
      <c r="T86" s="24">
        <f>S86+'Shipping Program'!$H$9</f>
        <v>46526</v>
      </c>
      <c r="U86" s="25">
        <f>IFERROR(IF(J86*T86&lt;&gt;0,J86-T86,""),"")</f>
        <v>23</v>
      </c>
      <c r="V86" s="25" t="str">
        <f>IF(U86&lt;&gt;"",IF(U86&gt;28,"Too early",IF(U86&lt;14,"Too late","")),"")</f>
        <v/>
      </c>
      <c r="W86" s="35"/>
      <c r="X86" s="26">
        <f ca="1">IF(OFFSET(X86,1,0)="",R86,OFFSET(X86,1,0))</f>
        <v>46489</v>
      </c>
      <c r="Y86" s="26">
        <f ca="1">IF(OFFSET(Y86,1,0)="",X86+'Shipping Program'!$F$9,OFFSET(Y86,1,0))</f>
        <v>46519</v>
      </c>
      <c r="Z86" s="26">
        <f ca="1">IF(OFFSET(Z86,1,0)="",Y86+'Shipping Program'!$H$9,OFFSET(Z86,1,0))</f>
        <v>46526</v>
      </c>
      <c r="AA86" s="27">
        <f ca="1">IFERROR(IF(J86*Z86&lt;&gt;0,J86-Z86,""),"")</f>
        <v>23</v>
      </c>
      <c r="AB86" s="27" t="str">
        <f ca="1">IF(AA86&lt;&gt;"",IF(AA86&gt;28,"Too early",IF(AA86&lt;14,"Too late","")),"")</f>
        <v/>
      </c>
      <c r="AC86" s="46"/>
      <c r="AE86" s="80" t="s">
        <v>43</v>
      </c>
      <c r="AF86" s="80" t="s">
        <v>41</v>
      </c>
      <c r="AG86" s="80" t="s">
        <v>63</v>
      </c>
      <c r="AH86" s="80" t="str">
        <f>IF(AI86="","",AI86*AJ86*AK86/1000/1000/1000)</f>
        <v/>
      </c>
      <c r="AI86" s="80"/>
      <c r="AJ86" s="80"/>
      <c r="AK86" s="80"/>
    </row>
    <row r="87" spans="1:37" ht="20.100000000000001" customHeight="1" outlineLevel="1">
      <c r="A87" s="33">
        <f ca="1">COUNTIF(J$3:OFFSET(J87,-1,0),"Subtotal:")+1</f>
        <v>7</v>
      </c>
      <c r="B87" s="23" t="str">
        <f ca="1">IF(OFFSET(B87,1,0)&lt;&gt;"",OFFSET(B87,1,0),"")</f>
        <v/>
      </c>
      <c r="C87" s="42"/>
      <c r="D87" s="59" t="s">
        <v>69</v>
      </c>
      <c r="E87" s="60" t="str">
        <f>LEFT(F87,3)</f>
        <v>#01</v>
      </c>
      <c r="F87" s="59" t="s">
        <v>174</v>
      </c>
      <c r="G87" s="59" t="s">
        <v>192</v>
      </c>
      <c r="H87" s="60"/>
      <c r="I87" s="24">
        <f>IF(J87&lt;&gt;"",J87 - ('Shipping Program'!$D$9 + 'Shipping Program'!$F$9 + 'Shipping Program'!$H$9), "")</f>
        <v>46498</v>
      </c>
      <c r="J87" s="43">
        <v>46545</v>
      </c>
      <c r="K87" s="44" t="str">
        <f>IF(SUM(M87:N87)=0,"",SUM(M87:N87))</f>
        <v/>
      </c>
      <c r="L87" s="44"/>
      <c r="M87" s="44"/>
      <c r="N87" s="54"/>
      <c r="O87" s="25">
        <f>VLOOKUP(I87,'Shipping Program'!$A$32:$B$78,2)-1</f>
        <v>7</v>
      </c>
      <c r="P87" s="107">
        <f>O87</f>
        <v>7</v>
      </c>
      <c r="Q87" s="24">
        <f>R87-7</f>
        <v>46482</v>
      </c>
      <c r="R87" s="24">
        <f>IFERROR(_xlfn.XLOOKUP(P87,'Shipping Program'!$B$32:$B$78,'Shipping Program'!$A$32:$A$78),IFERROR(INDEX(_V7Batches!$B:$B,MATCH(P87&amp;"",_V7Batches!$A:$A,0)),""))</f>
        <v>46489</v>
      </c>
      <c r="S87" s="24">
        <f>IFERROR(_xlfn.XLOOKUP(P87,'Shipping Program'!$B$32:$B$78,'Shipping Program'!$E$32:$E$78),IFERROR(INDEX(_V7Batches!$D:$D,MATCH(P87&amp;"",_V7Batches!$A:$A,0)),""))</f>
        <v>46519</v>
      </c>
      <c r="T87" s="24">
        <f>S87+'Shipping Program'!$H$9</f>
        <v>46526</v>
      </c>
      <c r="U87" s="25">
        <f>IFERROR(IF(J87*T87&lt;&gt;0,J87-T87,""),"")</f>
        <v>19</v>
      </c>
      <c r="V87" s="25" t="str">
        <f>IF(U87&lt;&gt;"",IF(U87&gt;28,"Too early",IF(U87&lt;14,"Too late","")),"")</f>
        <v/>
      </c>
      <c r="W87" s="35"/>
      <c r="X87" s="26">
        <f ca="1">IF(OFFSET(X87,1,0)="",R87,OFFSET(X87,1,0))</f>
        <v>46489</v>
      </c>
      <c r="Y87" s="26">
        <f ca="1">IF(OFFSET(Y87,1,0)="",X87+'Shipping Program'!$F$9,OFFSET(Y87,1,0))</f>
        <v>46519</v>
      </c>
      <c r="Z87" s="26">
        <f ca="1">IF(OFFSET(Z87,1,0)="",Y87+'Shipping Program'!$H$9,OFFSET(Z87,1,0))</f>
        <v>46526</v>
      </c>
      <c r="AA87" s="27">
        <f ca="1">IFERROR(IF(J87*Z87&lt;&gt;0,J87-Z87,""),"")</f>
        <v>19</v>
      </c>
      <c r="AB87" s="27" t="str">
        <f ca="1">IF(AA87&lt;&gt;"",IF(AA87&gt;28,"Too early",IF(AA87&lt;14,"Too late","")),"")</f>
        <v/>
      </c>
      <c r="AC87" s="46"/>
      <c r="AE87" s="80" t="s">
        <v>43</v>
      </c>
      <c r="AF87" s="80" t="s">
        <v>46</v>
      </c>
      <c r="AG87" s="80" t="s">
        <v>42</v>
      </c>
      <c r="AH87" s="80" t="str">
        <f>IF(AI87="","",AI87*AJ87*AK87/1000/1000/1000)</f>
        <v/>
      </c>
      <c r="AI87" s="80"/>
      <c r="AJ87" s="80"/>
      <c r="AK87" s="80"/>
    </row>
    <row r="88" spans="1:37" ht="20.100000000000001" customHeight="1" outlineLevel="1">
      <c r="A88" s="33">
        <f ca="1">COUNTIF(J$3:OFFSET(J88,-1,0),"Subtotal:")+1</f>
        <v>7</v>
      </c>
      <c r="B88" s="23" t="str">
        <f ca="1">IF(OFFSET(B88,1,0)&lt;&gt;"",OFFSET(B88,1,0),"")</f>
        <v/>
      </c>
      <c r="C88" s="42"/>
      <c r="D88" s="59" t="s">
        <v>69</v>
      </c>
      <c r="E88" s="60" t="str">
        <f>LEFT(F88,3)</f>
        <v>#01</v>
      </c>
      <c r="F88" s="59" t="s">
        <v>174</v>
      </c>
      <c r="G88" s="59" t="s">
        <v>193</v>
      </c>
      <c r="H88" s="60"/>
      <c r="I88" s="24">
        <f>IF(J88&lt;&gt;"",J88 - ('Shipping Program'!$D$9 + 'Shipping Program'!$F$9 + 'Shipping Program'!$H$9), "")</f>
        <v>46499</v>
      </c>
      <c r="J88" s="43">
        <v>46546</v>
      </c>
      <c r="K88" s="44" t="str">
        <f>IF(SUM(M88:N88)=0,"",SUM(M88:N88))</f>
        <v/>
      </c>
      <c r="L88" s="44"/>
      <c r="M88" s="44"/>
      <c r="N88" s="54"/>
      <c r="O88" s="25">
        <f>VLOOKUP(I88,'Shipping Program'!$A$32:$B$78,2)-1</f>
        <v>7</v>
      </c>
      <c r="P88" s="107">
        <f>O88</f>
        <v>7</v>
      </c>
      <c r="Q88" s="24">
        <f>R88-7</f>
        <v>46482</v>
      </c>
      <c r="R88" s="24">
        <f>IFERROR(_xlfn.XLOOKUP(P88,'Shipping Program'!$B$32:$B$78,'Shipping Program'!$A$32:$A$78),IFERROR(INDEX(_V7Batches!$B:$B,MATCH(P88&amp;"",_V7Batches!$A:$A,0)),""))</f>
        <v>46489</v>
      </c>
      <c r="S88" s="24">
        <f>IFERROR(_xlfn.XLOOKUP(P88,'Shipping Program'!$B$32:$B$78,'Shipping Program'!$E$32:$E$78),IFERROR(INDEX(_V7Batches!$D:$D,MATCH(P88&amp;"",_V7Batches!$A:$A,0)),""))</f>
        <v>46519</v>
      </c>
      <c r="T88" s="24">
        <f>S88+'Shipping Program'!$H$9</f>
        <v>46526</v>
      </c>
      <c r="U88" s="25">
        <f>IFERROR(IF(J88*T88&lt;&gt;0,J88-T88,""),"")</f>
        <v>20</v>
      </c>
      <c r="V88" s="25" t="str">
        <f>IF(U88&lt;&gt;"",IF(U88&gt;28,"Too early",IF(U88&lt;14,"Too late","")),"")</f>
        <v/>
      </c>
      <c r="W88" s="35"/>
      <c r="X88" s="26">
        <f ca="1">IF(OFFSET(X88,1,0)="",R88,OFFSET(X88,1,0))</f>
        <v>46489</v>
      </c>
      <c r="Y88" s="26">
        <f ca="1">IF(OFFSET(Y88,1,0)="",X88+'Shipping Program'!$F$9,OFFSET(Y88,1,0))</f>
        <v>46519</v>
      </c>
      <c r="Z88" s="26">
        <f ca="1">IF(OFFSET(Z88,1,0)="",Y88+'Shipping Program'!$H$9,OFFSET(Z88,1,0))</f>
        <v>46526</v>
      </c>
      <c r="AA88" s="27">
        <f ca="1">IFERROR(IF(J88*Z88&lt;&gt;0,J88-Z88,""),"")</f>
        <v>20</v>
      </c>
      <c r="AB88" s="27" t="str">
        <f ca="1">IF(AA88&lt;&gt;"",IF(AA88&gt;28,"Too early",IF(AA88&lt;14,"Too late","")),"")</f>
        <v/>
      </c>
      <c r="AC88" s="46"/>
      <c r="AE88" s="80" t="s">
        <v>43</v>
      </c>
      <c r="AF88" s="80" t="s">
        <v>46</v>
      </c>
      <c r="AG88" s="80" t="s">
        <v>42</v>
      </c>
      <c r="AH88" s="80" t="str">
        <f>IF(AI88="","",AI88*AJ88*AK88/1000/1000/1000)</f>
        <v/>
      </c>
      <c r="AI88" s="80"/>
      <c r="AJ88" s="80"/>
      <c r="AK88" s="80"/>
    </row>
    <row r="89" spans="1:37" ht="20.100000000000001" customHeight="1" outlineLevel="1">
      <c r="A89" s="33">
        <f ca="1">COUNTIF(J$3:OFFSET(J89,-1,0),"Subtotal:")+1</f>
        <v>7</v>
      </c>
      <c r="B89" s="23" t="str">
        <f ca="1">IF(OFFSET(B89,1,0)&lt;&gt;"",OFFSET(B89,1,0),"")</f>
        <v/>
      </c>
      <c r="C89" s="42"/>
      <c r="D89" s="59" t="s">
        <v>69</v>
      </c>
      <c r="E89" s="60" t="str">
        <f>LEFT(F89,3)</f>
        <v>#01</v>
      </c>
      <c r="F89" s="59" t="s">
        <v>174</v>
      </c>
      <c r="G89" s="59" t="s">
        <v>194</v>
      </c>
      <c r="H89" s="60"/>
      <c r="I89" s="24">
        <f>IF(J89&lt;&gt;"",J89 - ('Shipping Program'!$D$9 + 'Shipping Program'!$F$9 + 'Shipping Program'!$H$9), "")</f>
        <v>46499</v>
      </c>
      <c r="J89" s="43">
        <v>46546</v>
      </c>
      <c r="K89" s="44" t="str">
        <f>IF(SUM(M89:N89)=0,"",SUM(M89:N89))</f>
        <v/>
      </c>
      <c r="L89" s="44"/>
      <c r="M89" s="44"/>
      <c r="N89" s="54"/>
      <c r="O89" s="25">
        <f>VLOOKUP(I89,'Shipping Program'!$A$32:$B$78,2)-1</f>
        <v>7</v>
      </c>
      <c r="P89" s="44">
        <f>O89</f>
        <v>7</v>
      </c>
      <c r="Q89" s="24">
        <f>R89-7</f>
        <v>46482</v>
      </c>
      <c r="R89" s="24">
        <f>IFERROR(_xlfn.XLOOKUP(P89,'Shipping Program'!$B$32:$B$78,'Shipping Program'!$A$32:$A$78),IFERROR(INDEX(_V7Batches!$B:$B,MATCH(P89&amp;"",_V7Batches!$A:$A,0)),""))</f>
        <v>46489</v>
      </c>
      <c r="S89" s="24">
        <f>IFERROR(_xlfn.XLOOKUP(P89,'Shipping Program'!$B$32:$B$78,'Shipping Program'!$E$32:$E$78),IFERROR(INDEX(_V7Batches!$D:$D,MATCH(P89&amp;"",_V7Batches!$A:$A,0)),""))</f>
        <v>46519</v>
      </c>
      <c r="T89" s="24">
        <f>S89+'Shipping Program'!$H$9</f>
        <v>46526</v>
      </c>
      <c r="U89" s="25">
        <f>IFERROR(IF(J89*T89&lt;&gt;0,J89-T89,""),"")</f>
        <v>20</v>
      </c>
      <c r="V89" s="25" t="str">
        <f>IF(U89&lt;&gt;"",IF(U89&gt;28,"Too early",IF(U89&lt;14,"Too late","")),"")</f>
        <v/>
      </c>
      <c r="W89" s="35"/>
      <c r="X89" s="26">
        <f ca="1">IF(OFFSET(X89,1,0)="",R89,OFFSET(X89,1,0))</f>
        <v>46489</v>
      </c>
      <c r="Y89" s="26">
        <f ca="1">IF(OFFSET(Y89,1,0)="",X89+'Shipping Program'!$F$9,OFFSET(Y89,1,0))</f>
        <v>46519</v>
      </c>
      <c r="Z89" s="26">
        <f ca="1">IF(OFFSET(Z89,1,0)="",Y89+'Shipping Program'!$H$9,OFFSET(Z89,1,0))</f>
        <v>46526</v>
      </c>
      <c r="AA89" s="27">
        <f ca="1">IFERROR(IF(J89*Z89&lt;&gt;0,J89-Z89,""),"")</f>
        <v>20</v>
      </c>
      <c r="AB89" s="27" t="str">
        <f ca="1">IF(AA89&lt;&gt;"",IF(AA89&gt;28,"Too early",IF(AA89&lt;14,"Too late","")),"")</f>
        <v/>
      </c>
      <c r="AC89" s="46"/>
      <c r="AE89" s="80" t="s">
        <v>43</v>
      </c>
      <c r="AF89" s="80" t="s">
        <v>46</v>
      </c>
      <c r="AG89" s="80" t="s">
        <v>42</v>
      </c>
      <c r="AH89" s="80" t="str">
        <f>IF(AI89="","",AI89*AJ89*AK89/1000/1000/1000)</f>
        <v/>
      </c>
      <c r="AI89" s="80"/>
      <c r="AJ89" s="80"/>
      <c r="AK89" s="80"/>
    </row>
    <row r="90" spans="1:37" ht="20.100000000000001" customHeight="1" outlineLevel="1">
      <c r="A90" s="33">
        <f ca="1">COUNTIF(J$3:OFFSET(J90,-1,0),"Subtotal:")+1</f>
        <v>7</v>
      </c>
      <c r="B90" s="23" t="str">
        <f ca="1">IF(OFFSET(B90,1,0)&lt;&gt;"",OFFSET(B90,1,0),"")</f>
        <v/>
      </c>
      <c r="C90" s="42"/>
      <c r="D90" s="59" t="s">
        <v>70</v>
      </c>
      <c r="E90" s="60" t="str">
        <f>LEFT(F90,3)</f>
        <v>#01</v>
      </c>
      <c r="F90" s="59" t="s">
        <v>176</v>
      </c>
      <c r="G90" s="59" t="s">
        <v>190</v>
      </c>
      <c r="H90" s="60"/>
      <c r="I90" s="24">
        <f>IF(J90&lt;&gt;"",J90 - ('Shipping Program'!$D$9 + 'Shipping Program'!$F$9 + 'Shipping Program'!$H$9), "")</f>
        <v>46502</v>
      </c>
      <c r="J90" s="43">
        <v>46549</v>
      </c>
      <c r="K90" s="44" t="str">
        <f>IF(SUM(M90:N90)=0,"",SUM(M90:N90))</f>
        <v/>
      </c>
      <c r="L90" s="44"/>
      <c r="M90" s="44"/>
      <c r="N90" s="54"/>
      <c r="O90" s="25">
        <f>VLOOKUP(I90,'Shipping Program'!$A$32:$B$78,2)-1</f>
        <v>7</v>
      </c>
      <c r="P90" s="44">
        <f>O90</f>
        <v>7</v>
      </c>
      <c r="Q90" s="24">
        <f>R90-7</f>
        <v>46482</v>
      </c>
      <c r="R90" s="24">
        <f>IFERROR(_xlfn.XLOOKUP(P90,'Shipping Program'!$B$32:$B$78,'Shipping Program'!$A$32:$A$78),IFERROR(INDEX(_V7Batches!$B:$B,MATCH(P90&amp;"",_V7Batches!$A:$A,0)),""))</f>
        <v>46489</v>
      </c>
      <c r="S90" s="24">
        <f>IFERROR(_xlfn.XLOOKUP(P90,'Shipping Program'!$B$32:$B$78,'Shipping Program'!$E$32:$E$78),IFERROR(INDEX(_V7Batches!$D:$D,MATCH(P90&amp;"",_V7Batches!$A:$A,0)),""))</f>
        <v>46519</v>
      </c>
      <c r="T90" s="24">
        <f>S90+'Shipping Program'!$H$9</f>
        <v>46526</v>
      </c>
      <c r="U90" s="25">
        <f>IFERROR(IF(J90*T90&lt;&gt;0,J90-T90,""),"")</f>
        <v>23</v>
      </c>
      <c r="V90" s="25" t="str">
        <f>IF(U90&lt;&gt;"",IF(U90&gt;28,"Too early",IF(U90&lt;14,"Too late","")),"")</f>
        <v/>
      </c>
      <c r="W90" s="35"/>
      <c r="X90" s="26">
        <f ca="1">IF(OFFSET(X90,1,0)="",R90,OFFSET(X90,1,0))</f>
        <v>46489</v>
      </c>
      <c r="Y90" s="26">
        <f ca="1">IF(OFFSET(Y90,1,0)="",X90+'Shipping Program'!$F$9,OFFSET(Y90,1,0))</f>
        <v>46519</v>
      </c>
      <c r="Z90" s="26">
        <f ca="1">IF(OFFSET(Z90,1,0)="",Y90+'Shipping Program'!$H$9,OFFSET(Z90,1,0))</f>
        <v>46526</v>
      </c>
      <c r="AA90" s="27">
        <f ca="1">IFERROR(IF(J90*Z90&lt;&gt;0,J90-Z90,""),"")</f>
        <v>23</v>
      </c>
      <c r="AB90" s="27" t="str">
        <f ca="1">IF(AA90&lt;&gt;"",IF(AA90&gt;28,"Too early",IF(AA90&lt;14,"Too late","")),"")</f>
        <v/>
      </c>
      <c r="AC90" s="46"/>
      <c r="AE90" s="80" t="s">
        <v>43</v>
      </c>
      <c r="AF90" s="80" t="s">
        <v>46</v>
      </c>
      <c r="AG90" s="80" t="s">
        <v>63</v>
      </c>
      <c r="AH90" s="80" t="str">
        <f>IF(AI90="","",AI90*AJ90*AK90/1000/1000/1000)</f>
        <v/>
      </c>
      <c r="AI90" s="80"/>
      <c r="AJ90" s="80"/>
      <c r="AK90" s="80"/>
    </row>
    <row r="91" spans="1:37" ht="20.100000000000001" customHeight="1" outlineLevel="1">
      <c r="A91" s="33">
        <f ca="1">COUNTIF(J$3:OFFSET(J91,-1,0),"Subtotal:")+1</f>
        <v>7</v>
      </c>
      <c r="B91" s="23" t="str">
        <f ca="1">IF(OFFSET(B91,1,0)&lt;&gt;"",OFFSET(B91,1,0),"")</f>
        <v/>
      </c>
      <c r="C91" s="42"/>
      <c r="D91" s="59" t="s">
        <v>38</v>
      </c>
      <c r="E91" s="60" t="str">
        <f>LEFT(F91,3)</f>
        <v>#09</v>
      </c>
      <c r="F91" s="59" t="s">
        <v>154</v>
      </c>
      <c r="G91" s="59" t="s">
        <v>169</v>
      </c>
      <c r="H91" s="60"/>
      <c r="I91" s="24">
        <f>IF(J91&lt;&gt;"",J91 - ('Shipping Program'!$D$9 + 'Shipping Program'!$F$9 + 'Shipping Program'!$H$9), "")</f>
        <v>46500</v>
      </c>
      <c r="J91" s="43">
        <v>46547</v>
      </c>
      <c r="K91" s="44" t="str">
        <f>IF(SUM(M91:N91)=0,"",SUM(M91:N91))</f>
        <v/>
      </c>
      <c r="L91" s="44"/>
      <c r="M91" s="44"/>
      <c r="N91" s="54"/>
      <c r="O91" s="25">
        <f>VLOOKUP(I91,'Shipping Program'!$A$32:$B$78,2)-1</f>
        <v>7</v>
      </c>
      <c r="P91" s="44">
        <f>O91</f>
        <v>7</v>
      </c>
      <c r="Q91" s="24">
        <f>R91-7</f>
        <v>46482</v>
      </c>
      <c r="R91" s="24">
        <f>IFERROR(_xlfn.XLOOKUP(P91,'Shipping Program'!$B$32:$B$78,'Shipping Program'!$A$32:$A$78),IFERROR(INDEX(_V7Batches!$B:$B,MATCH(P91&amp;"",_V7Batches!$A:$A,0)),""))</f>
        <v>46489</v>
      </c>
      <c r="S91" s="24">
        <f>IFERROR(_xlfn.XLOOKUP(P91,'Shipping Program'!$B$32:$B$78,'Shipping Program'!$E$32:$E$78),IFERROR(INDEX(_V7Batches!$D:$D,MATCH(P91&amp;"",_V7Batches!$A:$A,0)),""))</f>
        <v>46519</v>
      </c>
      <c r="T91" s="24">
        <f>S91+'Shipping Program'!$H$9</f>
        <v>46526</v>
      </c>
      <c r="U91" s="25">
        <f>IFERROR(IF(J91*T91&lt;&gt;0,J91-T91,""),"")</f>
        <v>21</v>
      </c>
      <c r="V91" s="25" t="str">
        <f>IF(U91&lt;&gt;"",IF(U91&gt;28,"Too early",IF(U91&lt;14,"Too late","")),"")</f>
        <v/>
      </c>
      <c r="W91" s="35"/>
      <c r="X91" s="26">
        <f ca="1">IF(OFFSET(X91,1,0)="",R91,OFFSET(X91,1,0))</f>
        <v>46489</v>
      </c>
      <c r="Y91" s="26">
        <f ca="1">IF(OFFSET(Y91,1,0)="",X91+'Shipping Program'!$F$9,OFFSET(Y91,1,0))</f>
        <v>46519</v>
      </c>
      <c r="Z91" s="26">
        <f ca="1">IF(OFFSET(Z91,1,0)="",Y91+'Shipping Program'!$H$9,OFFSET(Z91,1,0))</f>
        <v>46526</v>
      </c>
      <c r="AA91" s="27">
        <f ca="1">IFERROR(IF(J91*Z91&lt;&gt;0,J91-Z91,""),"")</f>
        <v>21</v>
      </c>
      <c r="AB91" s="27" t="str">
        <f ca="1">IF(AA91&lt;&gt;"",IF(AA91&gt;28,"Too early",IF(AA91&lt;14,"Too late","")),"")</f>
        <v/>
      </c>
      <c r="AC91" s="46"/>
      <c r="AE91" s="80" t="s">
        <v>54</v>
      </c>
      <c r="AF91" s="80"/>
      <c r="AG91" s="80"/>
      <c r="AH91" s="80" t="str">
        <f>IF(AI91="","",AI91*AJ91*AK91/1000/1000/1000)</f>
        <v/>
      </c>
      <c r="AI91" s="80"/>
      <c r="AJ91" s="80"/>
      <c r="AK91" s="80"/>
    </row>
    <row r="92" spans="1:37" ht="20.100000000000001" customHeight="1" outlineLevel="1">
      <c r="A92" s="33">
        <f ca="1">COUNTIF(J$3:OFFSET(J92,-1,0),"Subtotal:")+1</f>
        <v>7</v>
      </c>
      <c r="B92" s="23" t="str">
        <f ca="1">IF(OFFSET(B92,1,0)&lt;&gt;"",OFFSET(B92,1,0),"")</f>
        <v/>
      </c>
      <c r="C92" s="42"/>
      <c r="D92" s="59" t="s">
        <v>78</v>
      </c>
      <c r="E92" s="60" t="str">
        <f>LEFT(F92,3)</f>
        <v>#13</v>
      </c>
      <c r="F92" s="59" t="s">
        <v>238</v>
      </c>
      <c r="G92" s="59" t="s">
        <v>183</v>
      </c>
      <c r="H92" s="60" t="s">
        <v>2</v>
      </c>
      <c r="I92" s="24">
        <f>IF(J92&lt;&gt;"",J92 - ('Shipping Program'!$D$9 + 'Shipping Program'!$F$9 + 'Shipping Program'!$H$9), "")</f>
        <v>46500</v>
      </c>
      <c r="J92" s="43">
        <v>46547</v>
      </c>
      <c r="K92" s="44" t="str">
        <f>IF(SUM(M92:N92)=0,"",SUM(M92:N92))</f>
        <v/>
      </c>
      <c r="L92" s="44"/>
      <c r="M92" s="44"/>
      <c r="N92" s="54"/>
      <c r="O92" s="25">
        <f>VLOOKUP(I92,'Shipping Program'!$A$32:$B$78,2)-1</f>
        <v>7</v>
      </c>
      <c r="P92" s="44">
        <f>O92</f>
        <v>7</v>
      </c>
      <c r="Q92" s="24">
        <f>R92-7</f>
        <v>46482</v>
      </c>
      <c r="R92" s="24">
        <f>IFERROR(_xlfn.XLOOKUP(P92,'Shipping Program'!$B$32:$B$78,'Shipping Program'!$A$32:$A$78),IFERROR(INDEX(_V7Batches!$B:$B,MATCH(P92&amp;"",_V7Batches!$A:$A,0)),""))</f>
        <v>46489</v>
      </c>
      <c r="S92" s="24">
        <f>IFERROR(_xlfn.XLOOKUP(P92,'Shipping Program'!$B$32:$B$78,'Shipping Program'!$E$32:$E$78),IFERROR(INDEX(_V7Batches!$D:$D,MATCH(P92&amp;"",_V7Batches!$A:$A,0)),""))</f>
        <v>46519</v>
      </c>
      <c r="T92" s="24">
        <f>S92+'Shipping Program'!$H$9</f>
        <v>46526</v>
      </c>
      <c r="U92" s="25">
        <f>IFERROR(IF(J92*T92&lt;&gt;0,J92-T92,""),"")</f>
        <v>21</v>
      </c>
      <c r="V92" s="25" t="str">
        <f>IF(U92&lt;&gt;"",IF(U92&gt;28,"Too early",IF(U92&lt;14,"Too late","")),"")</f>
        <v/>
      </c>
      <c r="W92" s="35"/>
      <c r="X92" s="26">
        <f ca="1">IF(OFFSET(X92,1,0)="",R92,OFFSET(X92,1,0))</f>
        <v>46489</v>
      </c>
      <c r="Y92" s="26">
        <f ca="1">IF(OFFSET(Y92,1,0)="",X92+'Shipping Program'!$F$9,OFFSET(Y92,1,0))</f>
        <v>46519</v>
      </c>
      <c r="Z92" s="26">
        <f ca="1">IF(OFFSET(Z92,1,0)="",Y92+'Shipping Program'!$H$9,OFFSET(Z92,1,0))</f>
        <v>46526</v>
      </c>
      <c r="AA92" s="27">
        <f ca="1">IFERROR(IF(J92*Z92&lt;&gt;0,J92-Z92,""),"")</f>
        <v>21</v>
      </c>
      <c r="AB92" s="27" t="str">
        <f ca="1">IF(AA92&lt;&gt;"",IF(AA92&gt;28,"Too early",IF(AA92&lt;14,"Too late","")),"")</f>
        <v/>
      </c>
      <c r="AC92" s="46"/>
      <c r="AE92" s="80" t="s">
        <v>54</v>
      </c>
      <c r="AF92" s="80"/>
      <c r="AG92" s="80"/>
      <c r="AH92" s="80" t="str">
        <f>IF(AI92="","",AI92*AJ92*AK92/1000/1000/1000)</f>
        <v/>
      </c>
      <c r="AI92" s="80"/>
      <c r="AJ92" s="80"/>
      <c r="AK92" s="80"/>
    </row>
    <row r="93" spans="1:37" ht="20.100000000000001" customHeight="1" outlineLevel="1">
      <c r="A93" s="33">
        <f ca="1">COUNTIF(J$3:OFFSET(J93,-1,0),"Subtotal:")+1</f>
        <v>7</v>
      </c>
      <c r="B93" s="62" t="str">
        <f ca="1">IF(OFFSET(B93,1,0)&lt;&gt;"",OFFSET(B93,1,0),"")</f>
        <v/>
      </c>
      <c r="C93" s="63"/>
      <c r="D93" s="59" t="s">
        <v>95</v>
      </c>
      <c r="E93" s="60" t="str">
        <f>LEFT(F93,3)</f>
        <v>#06</v>
      </c>
      <c r="F93" s="59" t="s">
        <v>223</v>
      </c>
      <c r="G93" s="59" t="s">
        <v>244</v>
      </c>
      <c r="H93" s="60"/>
      <c r="I93" s="24">
        <f>IF(J93&lt;&gt;"",J93 - ('Shipping Program'!$D$9 + 'Shipping Program'!$F$9 + 'Shipping Program'!$H$9), "")</f>
        <v>46497</v>
      </c>
      <c r="J93" s="43">
        <v>46544</v>
      </c>
      <c r="K93" s="44" t="str">
        <f>IF(SUM(M93:N93)=0,"",SUM(M93:N93))</f>
        <v/>
      </c>
      <c r="L93" s="64"/>
      <c r="M93" s="44"/>
      <c r="N93" s="54"/>
      <c r="O93" s="25">
        <f>VLOOKUP(I93,'Shipping Program'!$A$32:$B$78,2)-1</f>
        <v>7</v>
      </c>
      <c r="P93" s="44">
        <f>O93</f>
        <v>7</v>
      </c>
      <c r="Q93" s="24">
        <f>R93-7</f>
        <v>46482</v>
      </c>
      <c r="R93" s="24">
        <f>IFERROR(_xlfn.XLOOKUP(P93,'Shipping Program'!$B$32:$B$78,'Shipping Program'!$A$32:$A$78),IFERROR(INDEX(_V7Batches!$B:$B,MATCH(P93&amp;"",_V7Batches!$A:$A,0)),""))</f>
        <v>46489</v>
      </c>
      <c r="S93" s="24">
        <f>IFERROR(_xlfn.XLOOKUP(P93,'Shipping Program'!$B$32:$B$78,'Shipping Program'!$E$32:$E$78),IFERROR(INDEX(_V7Batches!$D:$D,MATCH(P93&amp;"",_V7Batches!$A:$A,0)),""))</f>
        <v>46519</v>
      </c>
      <c r="T93" s="24">
        <f>S93+'Shipping Program'!$H$9</f>
        <v>46526</v>
      </c>
      <c r="U93" s="25">
        <f>IFERROR(IF(J93*T93&lt;&gt;0,J93-T93,""),"")</f>
        <v>18</v>
      </c>
      <c r="V93" s="25" t="str">
        <f>IF(U93&lt;&gt;"",IF(U93&gt;28,"Too early",IF(U93&lt;14,"Too late","")),"")</f>
        <v/>
      </c>
      <c r="W93" s="35"/>
      <c r="X93" s="26">
        <f ca="1">IF(OFFSET(X93,1,0)="",R93,OFFSET(X93,1,0))</f>
        <v>46489</v>
      </c>
      <c r="Y93" s="26">
        <f ca="1">IF(OFFSET(Y93,1,0)="",X93+'Shipping Program'!$F$9,OFFSET(Y93,1,0))</f>
        <v>46519</v>
      </c>
      <c r="Z93" s="26">
        <f ca="1">IF(OFFSET(Z93,1,0)="",Y93+'Shipping Program'!$H$9,OFFSET(Z93,1,0))</f>
        <v>46526</v>
      </c>
      <c r="AA93" s="27">
        <f ca="1">IFERROR(IF(J93*Z93&lt;&gt;0,J93-Z93,""),"")</f>
        <v>18</v>
      </c>
      <c r="AB93" s="27" t="str">
        <f ca="1">IF(AA93&lt;&gt;"",IF(AA93&gt;28,"Too early",IF(AA93&lt;14,"Too late","")),"")</f>
        <v/>
      </c>
      <c r="AC93" s="46"/>
      <c r="AE93" s="80" t="s">
        <v>43</v>
      </c>
      <c r="AF93" s="80" t="s">
        <v>41</v>
      </c>
      <c r="AG93" s="80" t="s">
        <v>42</v>
      </c>
      <c r="AH93" s="80" t="str">
        <f>IF(AI93="","",AI93*AJ93*AK93/1000/1000/1000)</f>
        <v/>
      </c>
      <c r="AI93" s="80"/>
      <c r="AJ93" s="80"/>
      <c r="AK93" s="80"/>
    </row>
    <row r="94" spans="1:37" ht="20.100000000000001" customHeight="1" outlineLevel="1">
      <c r="A94" s="33">
        <f ca="1">COUNTIF(J$3:OFFSET(J94,-1,0),"Subtotal:")+1</f>
        <v>7</v>
      </c>
      <c r="B94" s="62" t="str">
        <f ca="1">IF(OFFSET(B94,1,0)&lt;&gt;"",OFFSET(B94,1,0),"")</f>
        <v/>
      </c>
      <c r="C94" s="63"/>
      <c r="D94" s="59" t="s">
        <v>95</v>
      </c>
      <c r="E94" s="60" t="str">
        <f>LEFT(F94,3)</f>
        <v>#06</v>
      </c>
      <c r="F94" s="59" t="s">
        <v>225</v>
      </c>
      <c r="G94" s="59" t="s">
        <v>245</v>
      </c>
      <c r="H94" s="60"/>
      <c r="I94" s="24">
        <f>IF(J94&lt;&gt;"",J94 - ('Shipping Program'!$D$9 + 'Shipping Program'!$F$9 + 'Shipping Program'!$H$9), "")</f>
        <v>46497</v>
      </c>
      <c r="J94" s="43">
        <v>46544</v>
      </c>
      <c r="K94" s="44" t="str">
        <f>IF(SUM(M94:N94)=0,"",SUM(M94:N94))</f>
        <v/>
      </c>
      <c r="L94" s="64"/>
      <c r="M94" s="44"/>
      <c r="N94" s="54"/>
      <c r="O94" s="25">
        <f>VLOOKUP(I94,'Shipping Program'!$A$32:$B$78,2)-1</f>
        <v>7</v>
      </c>
      <c r="P94" s="44">
        <f>O94</f>
        <v>7</v>
      </c>
      <c r="Q94" s="24">
        <f>R94-7</f>
        <v>46482</v>
      </c>
      <c r="R94" s="24">
        <f>IFERROR(_xlfn.XLOOKUP(P94,'Shipping Program'!$B$32:$B$78,'Shipping Program'!$A$32:$A$78),IFERROR(INDEX(_V7Batches!$B:$B,MATCH(P94&amp;"",_V7Batches!$A:$A,0)),""))</f>
        <v>46489</v>
      </c>
      <c r="S94" s="24">
        <f>IFERROR(_xlfn.XLOOKUP(P94,'Shipping Program'!$B$32:$B$78,'Shipping Program'!$E$32:$E$78),IFERROR(INDEX(_V7Batches!$D:$D,MATCH(P94&amp;"",_V7Batches!$A:$A,0)),""))</f>
        <v>46519</v>
      </c>
      <c r="T94" s="24">
        <f>S94+'Shipping Program'!$H$9</f>
        <v>46526</v>
      </c>
      <c r="U94" s="25">
        <f>IFERROR(IF(J94*T94&lt;&gt;0,J94-T94,""),"")</f>
        <v>18</v>
      </c>
      <c r="V94" s="25" t="str">
        <f>IF(U94&lt;&gt;"",IF(U94&gt;28,"Too early",IF(U94&lt;14,"Too late","")),"")</f>
        <v/>
      </c>
      <c r="W94" s="35"/>
      <c r="X94" s="26">
        <f ca="1">IF(OFFSET(X94,1,0)="",R94,OFFSET(X94,1,0))</f>
        <v>46489</v>
      </c>
      <c r="Y94" s="26">
        <f ca="1">IF(OFFSET(Y94,1,0)="",X94+'Shipping Program'!$F$9,OFFSET(Y94,1,0))</f>
        <v>46519</v>
      </c>
      <c r="Z94" s="26">
        <f ca="1">IF(OFFSET(Z94,1,0)="",Y94+'Shipping Program'!$H$9,OFFSET(Z94,1,0))</f>
        <v>46526</v>
      </c>
      <c r="AA94" s="27">
        <f ca="1">IFERROR(IF(J94*Z94&lt;&gt;0,J94-Z94,""),"")</f>
        <v>18</v>
      </c>
      <c r="AB94" s="27" t="str">
        <f ca="1">IF(AA94&lt;&gt;"",IF(AA94&gt;28,"Too early",IF(AA94&lt;14,"Too late","")),"")</f>
        <v/>
      </c>
      <c r="AC94" s="46"/>
      <c r="AE94" s="80" t="s">
        <v>43</v>
      </c>
      <c r="AF94" s="80" t="s">
        <v>41</v>
      </c>
      <c r="AG94" s="80" t="s">
        <v>42</v>
      </c>
      <c r="AH94" s="80" t="str">
        <f>IF(AI94="","",AI94*AJ94*AK94/1000/1000/1000)</f>
        <v/>
      </c>
      <c r="AI94" s="80"/>
      <c r="AJ94" s="80"/>
      <c r="AK94" s="80"/>
    </row>
    <row r="95" spans="1:37" ht="20.100000000000001" customHeight="1" outlineLevel="1">
      <c r="A95" s="33">
        <f ca="1">COUNTIF(J$3:OFFSET(J95,-1,0),"Subtotal:")+1</f>
        <v>7</v>
      </c>
      <c r="B95" s="23" t="str">
        <f ca="1">IF(OFFSET(B95,1,0)&lt;&gt;"",OFFSET(B95,1,0),"")</f>
        <v/>
      </c>
      <c r="C95" s="42"/>
      <c r="D95" s="64" t="s">
        <v>97</v>
      </c>
      <c r="E95" s="60" t="str">
        <f>LEFT(F95,3)</f>
        <v>#10</v>
      </c>
      <c r="F95" s="59" t="s">
        <v>250</v>
      </c>
      <c r="G95" s="64" t="s">
        <v>282</v>
      </c>
      <c r="H95" s="64"/>
      <c r="I95" s="24">
        <f>IF(J95&lt;&gt;"",J95 - ('Shipping Program'!$D$9 + 'Shipping Program'!$F$9 + 'Shipping Program'!$H$9), "")</f>
        <v>46498</v>
      </c>
      <c r="J95" s="43">
        <v>46545</v>
      </c>
      <c r="K95" s="44" t="str">
        <f>IF(SUM(M95:N95)=0,"",SUM(M95:N95))</f>
        <v/>
      </c>
      <c r="L95" s="44"/>
      <c r="M95" s="44"/>
      <c r="N95" s="54"/>
      <c r="O95" s="25">
        <f>VLOOKUP(I95,'Shipping Program'!$A$32:$B$78,2)-1</f>
        <v>7</v>
      </c>
      <c r="P95" s="44">
        <f>O95</f>
        <v>7</v>
      </c>
      <c r="Q95" s="24">
        <f>R95-7</f>
        <v>46482</v>
      </c>
      <c r="R95" s="24">
        <f>IFERROR(_xlfn.XLOOKUP(P95,'Shipping Program'!$B$32:$B$78,'Shipping Program'!$A$32:$A$78),IFERROR(INDEX(_V7Batches!$B:$B,MATCH(P95&amp;"",_V7Batches!$A:$A,0)),""))</f>
        <v>46489</v>
      </c>
      <c r="S95" s="24">
        <f>IFERROR(_xlfn.XLOOKUP(P95,'Shipping Program'!$B$32:$B$78,'Shipping Program'!$E$32:$E$78),IFERROR(INDEX(_V7Batches!$D:$D,MATCH(P95&amp;"",_V7Batches!$A:$A,0)),""))</f>
        <v>46519</v>
      </c>
      <c r="T95" s="24">
        <f>S95+'Shipping Program'!$H$9</f>
        <v>46526</v>
      </c>
      <c r="U95" s="25">
        <f>IFERROR(IF(J95*T95&lt;&gt;0,J95-T95,""),"")</f>
        <v>19</v>
      </c>
      <c r="V95" s="25" t="str">
        <f>IF(U95&lt;&gt;"",IF(U95&gt;28,"Too early",IF(U95&lt;14,"Too late","")),"")</f>
        <v/>
      </c>
      <c r="W95" s="35"/>
      <c r="X95" s="26">
        <f ca="1">IF(OFFSET(X95,1,0)="",R95,OFFSET(X95,1,0))</f>
        <v>46489</v>
      </c>
      <c r="Y95" s="26">
        <f ca="1">IF(OFFSET(Y95,1,0)="",X95+'Shipping Program'!$F$9,OFFSET(Y95,1,0))</f>
        <v>46519</v>
      </c>
      <c r="Z95" s="26">
        <f ca="1">IF(OFFSET(Z95,1,0)="",Y95+'Shipping Program'!$H$9,OFFSET(Z95,1,0))</f>
        <v>46526</v>
      </c>
      <c r="AA95" s="27">
        <f ca="1">IFERROR(IF(J95*Z95&lt;&gt;0,J95-Z95,""),"")</f>
        <v>19</v>
      </c>
      <c r="AB95" s="27" t="str">
        <f ca="1">IF(AA95&lt;&gt;"",IF(AA95&gt;28,"Too early",IF(AA95&lt;14,"Too late","")),"")</f>
        <v/>
      </c>
      <c r="AC95" s="46"/>
      <c r="AE95" s="80" t="s">
        <v>43</v>
      </c>
      <c r="AF95" s="80" t="s">
        <v>41</v>
      </c>
      <c r="AG95" s="80" t="s">
        <v>42</v>
      </c>
      <c r="AH95" s="80" t="str">
        <f>IF(AI95="","",AI95*AJ95*AK95/1000/1000/1000)</f>
        <v/>
      </c>
      <c r="AI95" s="80"/>
      <c r="AJ95" s="80"/>
      <c r="AK95" s="80"/>
    </row>
    <row r="96" spans="1:37" ht="20.100000000000001" customHeight="1" outlineLevel="1">
      <c r="A96" s="33">
        <f ca="1">COUNTIF(J$3:OFFSET(J96,-1,0),"Subtotal:")+1</f>
        <v>7</v>
      </c>
      <c r="B96" s="23" t="str">
        <f ca="1">IF(OFFSET(B96,1,0)&lt;&gt;"",OFFSET(B96,1,0),"")</f>
        <v/>
      </c>
      <c r="C96" s="43"/>
      <c r="D96" s="64" t="s">
        <v>97</v>
      </c>
      <c r="E96" s="60" t="str">
        <f>LEFT(F96,3)</f>
        <v>#10</v>
      </c>
      <c r="F96" s="59" t="s">
        <v>250</v>
      </c>
      <c r="G96" s="64" t="s">
        <v>283</v>
      </c>
      <c r="H96" s="64"/>
      <c r="I96" s="24">
        <f>IF(J96&lt;&gt;"",J96 - ('Shipping Program'!$D$9 + 'Shipping Program'!$F$9 + 'Shipping Program'!$H$9), "")</f>
        <v>46498</v>
      </c>
      <c r="J96" s="43">
        <v>46545</v>
      </c>
      <c r="K96" s="44" t="str">
        <f>IF(SUM(M96:N96)=0,"",SUM(M96:N96))</f>
        <v/>
      </c>
      <c r="L96" s="44"/>
      <c r="M96" s="44"/>
      <c r="N96" s="54"/>
      <c r="O96" s="25">
        <f>VLOOKUP(I96,'Shipping Program'!$A$32:$B$78,2)-1</f>
        <v>7</v>
      </c>
      <c r="P96" s="44">
        <f>O96</f>
        <v>7</v>
      </c>
      <c r="Q96" s="24">
        <f>R96-7</f>
        <v>46482</v>
      </c>
      <c r="R96" s="24">
        <f>IFERROR(_xlfn.XLOOKUP(P96,'Shipping Program'!$B$32:$B$78,'Shipping Program'!$A$32:$A$78),IFERROR(INDEX(_V7Batches!$B:$B,MATCH(P96&amp;"",_V7Batches!$A:$A,0)),""))</f>
        <v>46489</v>
      </c>
      <c r="S96" s="24">
        <f>IFERROR(_xlfn.XLOOKUP(P96,'Shipping Program'!$B$32:$B$78,'Shipping Program'!$E$32:$E$78),IFERROR(INDEX(_V7Batches!$D:$D,MATCH(P96&amp;"",_V7Batches!$A:$A,0)),""))</f>
        <v>46519</v>
      </c>
      <c r="T96" s="24">
        <f>S96+'Shipping Program'!$H$9</f>
        <v>46526</v>
      </c>
      <c r="U96" s="25">
        <f>IFERROR(IF(J96*T96&lt;&gt;0,J96-T96,""),"")</f>
        <v>19</v>
      </c>
      <c r="V96" s="25" t="str">
        <f>IF(U96&lt;&gt;"",IF(U96&gt;28,"Too early",IF(U96&lt;14,"Too late","")),"")</f>
        <v/>
      </c>
      <c r="W96" s="35"/>
      <c r="X96" s="26">
        <f ca="1">IF(OFFSET(X96,1,0)="",R96,OFFSET(X96,1,0))</f>
        <v>46489</v>
      </c>
      <c r="Y96" s="26">
        <f ca="1">IF(OFFSET(Y96,1,0)="",X96+'Shipping Program'!$F$9,OFFSET(Y96,1,0))</f>
        <v>46519</v>
      </c>
      <c r="Z96" s="26">
        <f ca="1">IF(OFFSET(Z96,1,0)="",Y96+'Shipping Program'!$H$9,OFFSET(Z96,1,0))</f>
        <v>46526</v>
      </c>
      <c r="AA96" s="27">
        <f ca="1">IFERROR(IF(J96*Z96&lt;&gt;0,J96-Z96,""),"")</f>
        <v>19</v>
      </c>
      <c r="AB96" s="27" t="str">
        <f ca="1">IF(AA96&lt;&gt;"",IF(AA96&gt;28,"Too early",IF(AA96&lt;14,"Too late","")),"")</f>
        <v/>
      </c>
      <c r="AC96" s="46"/>
      <c r="AE96" s="80" t="s">
        <v>43</v>
      </c>
      <c r="AF96" s="80" t="s">
        <v>41</v>
      </c>
      <c r="AG96" s="80" t="s">
        <v>42</v>
      </c>
      <c r="AH96" s="80" t="str">
        <f>IF(AI96="","",AI96*AJ96*AK96/1000/1000/1000)</f>
        <v/>
      </c>
      <c r="AI96" s="80"/>
      <c r="AJ96" s="80"/>
      <c r="AK96" s="80"/>
    </row>
    <row r="97" spans="1:37" ht="20.100000000000001" customHeight="1" outlineLevel="1">
      <c r="A97" s="34">
        <f ca="1">COUNTIF(J$3:OFFSET(J97,-1,0),"Subtotal:")+1</f>
        <v>7</v>
      </c>
      <c r="B97" s="47"/>
      <c r="C97" s="48"/>
      <c r="D97" s="73"/>
      <c r="E97" s="49"/>
      <c r="F97" s="74"/>
      <c r="G97" s="74"/>
      <c r="H97" s="49"/>
      <c r="I97" s="49"/>
      <c r="J97" s="49" t="s">
        <v>6424</v>
      </c>
      <c r="K97" s="28">
        <f ca="1">SUMIF(A$3:OFFSET(A97,-1,0),A97,K$3:OFFSET(K97,-1,0))</f>
        <v>0</v>
      </c>
      <c r="L97" s="28">
        <f ca="1">SUMIF(A$3:OFFSET(A97,-1,0),A97,L$3:OFFSET(L97,-1,0))</f>
        <v>0</v>
      </c>
      <c r="M97" s="28"/>
      <c r="N97" s="55"/>
      <c r="O97" s="49"/>
      <c r="P97" s="49"/>
      <c r="Q97" s="29">
        <f ca="1">R97-7</f>
        <v>46482</v>
      </c>
      <c r="R97" s="29">
        <f ca="1">IF(J97="Subtotal:",OFFSET(R97,-1,0),"")</f>
        <v>46489</v>
      </c>
      <c r="S97" s="29">
        <f ca="1">IF(J97="Subtotal:",OFFSET(S97,-1,0),"")</f>
        <v>46519</v>
      </c>
      <c r="T97" s="29">
        <f ca="1">IF(J97="Subtotal:",OFFSET(T97,-1,0),"")</f>
        <v>46526</v>
      </c>
      <c r="U97" s="30" t="str">
        <f ca="1">IFERROR(IF(J97*T97&lt;&gt;0,J97-T97,""),"")</f>
        <v/>
      </c>
      <c r="V97" s="31" t="str">
        <f ca="1">IF(U97&lt;&gt;"",IF(U97&gt;28,"Too early",IF(U97&lt;14,"Too late","")),"")</f>
        <v/>
      </c>
      <c r="W97" s="28">
        <f ca="1">(SUMIFS($K:$K,$J:$J,"&lt;&gt;Subtotal:",$J:$J,"&gt;"&amp;S97,$S:$S,"&lt;="&amp;S97))*24*1.3+(SUMIFS($L:$L,$J:$J,"&lt;&gt;Subtotal:",$J:$J,"&gt;"&amp;S97,$S:$S,"&lt;="&amp;S97))/3*1.3</f>
        <v>0</v>
      </c>
      <c r="X97" s="50"/>
      <c r="Y97" s="50"/>
      <c r="Z97" s="50"/>
      <c r="AA97" s="30" t="str">
        <f>IFERROR(IF(J97*Z97&lt;&gt;0,J97-Z97,""),"")</f>
        <v/>
      </c>
      <c r="AB97" s="31" t="str">
        <f>IF(AA97&lt;&gt;"",IF(AA97&gt;28,"Too early",IF(AA97&lt;14,"Too late","")),"")</f>
        <v/>
      </c>
      <c r="AC97" s="32">
        <f>(SUMIFS($K:$K,$J:$J,"&lt;&gt;Subtotal:",$J:$J,"&gt;"&amp;Y97,$Y:$Y,"&lt;="&amp;Y97))*24*1.3+(SUMIFS($L:$L,$J:$J,"&lt;&gt;Subtotal:",$J:$J,"&gt;"&amp;Y97,$Y:$Y,"&lt;="&amp;Y97))/3*1.3</f>
        <v>0</v>
      </c>
      <c r="AD97" s="58"/>
      <c r="AE97" s="78"/>
      <c r="AF97" s="78"/>
      <c r="AG97" s="78"/>
      <c r="AH97" s="78"/>
      <c r="AI97" s="78"/>
      <c r="AJ97" s="78"/>
      <c r="AK97" s="78"/>
    </row>
    <row r="98" spans="1:37" ht="20.100000000000001" customHeight="1" outlineLevel="1">
      <c r="A98" s="33">
        <f ca="1">COUNTIF(J$3:OFFSET(J98,-1,0),"Subtotal:")+1</f>
        <v>8</v>
      </c>
      <c r="B98" s="23" t="str">
        <f ca="1">IF(OFFSET(B98,1,0)&lt;&gt;"",OFFSET(B98,1,0),"")</f>
        <v/>
      </c>
      <c r="C98" s="42"/>
      <c r="D98" s="61" t="s">
        <v>47</v>
      </c>
      <c r="E98" s="60" t="str">
        <f>LEFT(F98,3)</f>
        <v>#02</v>
      </c>
      <c r="F98" s="59" t="s">
        <v>179</v>
      </c>
      <c r="G98" s="61" t="s">
        <v>207</v>
      </c>
      <c r="H98" s="60"/>
      <c r="I98" s="24">
        <f>IF(J98&lt;&gt;"",J98 - ('Shipping Program'!$D$9 + 'Shipping Program'!$F$9 + 'Shipping Program'!$H$9), "")</f>
        <v>46507</v>
      </c>
      <c r="J98" s="43">
        <v>46554</v>
      </c>
      <c r="K98" s="44" t="str">
        <f>IF(SUM(M98:N98)=0,"",SUM(M98:N98))</f>
        <v/>
      </c>
      <c r="L98" s="44"/>
      <c r="M98" s="44"/>
      <c r="N98" s="54"/>
      <c r="O98" s="25">
        <f>VLOOKUP(I98,'Shipping Program'!$A$32:$B$78,2)-1</f>
        <v>8</v>
      </c>
      <c r="P98" s="44">
        <f>O98</f>
        <v>8</v>
      </c>
      <c r="Q98" s="24">
        <f>R98-7</f>
        <v>46489</v>
      </c>
      <c r="R98" s="24">
        <f>IFERROR(_xlfn.XLOOKUP(P98,'Shipping Program'!$B$32:$B$78,'Shipping Program'!$A$32:$A$78),IFERROR(INDEX(_V7Batches!$B:$B,MATCH(P98&amp;"",_V7Batches!$A:$A,0)),""))</f>
        <v>46496</v>
      </c>
      <c r="S98" s="24">
        <f>IFERROR(_xlfn.XLOOKUP(P98,'Shipping Program'!$B$32:$B$78,'Shipping Program'!$E$32:$E$78),IFERROR(INDEX(_V7Batches!$D:$D,MATCH(P98&amp;"",_V7Batches!$A:$A,0)),""))</f>
        <v>46526</v>
      </c>
      <c r="T98" s="24">
        <f>S98+'Shipping Program'!$H$9</f>
        <v>46533</v>
      </c>
      <c r="U98" s="25">
        <f>IFERROR(IF(J98*T98&lt;&gt;0,J98-T98,""),"")</f>
        <v>21</v>
      </c>
      <c r="V98" s="25" t="str">
        <f>IF(U98&lt;&gt;"",IF(U98&gt;28,"Too early",IF(U98&lt;14,"Too late","")),"")</f>
        <v/>
      </c>
      <c r="W98" s="35"/>
      <c r="X98" s="26">
        <f ca="1">IF(OFFSET(X98,1,0)="",R98,OFFSET(X98,1,0))</f>
        <v>46496</v>
      </c>
      <c r="Y98" s="26">
        <f ca="1">IF(OFFSET(Y98,1,0)="",X98+'Shipping Program'!$F$9,OFFSET(Y98,1,0))</f>
        <v>46526</v>
      </c>
      <c r="Z98" s="26">
        <f ca="1">IF(OFFSET(Z98,1,0)="",Y98+'Shipping Program'!$H$9,OFFSET(Z98,1,0))</f>
        <v>46533</v>
      </c>
      <c r="AA98" s="27">
        <f ca="1">IFERROR(IF(J98*Z98&lt;&gt;0,J98-Z98,""),"")</f>
        <v>21</v>
      </c>
      <c r="AB98" s="27" t="str">
        <f ca="1">IF(AA98&lt;&gt;"",IF(AA98&gt;28,"Too early",IF(AA98&lt;14,"Too late","")),"")</f>
        <v/>
      </c>
      <c r="AC98" s="46"/>
      <c r="AE98" s="80" t="s">
        <v>43</v>
      </c>
      <c r="AF98" s="80" t="s">
        <v>41</v>
      </c>
      <c r="AG98" s="80" t="s">
        <v>42</v>
      </c>
      <c r="AH98" s="80" t="str">
        <f>IF(AI98="","",AI98*AJ98*AK98/1000/1000/1000)</f>
        <v/>
      </c>
      <c r="AI98" s="80"/>
      <c r="AJ98" s="80"/>
      <c r="AK98" s="80"/>
    </row>
    <row r="99" spans="1:37" ht="20.100000000000001" customHeight="1" outlineLevel="1">
      <c r="A99" s="33">
        <f ca="1">COUNTIF(J$3:OFFSET(J99,-1,0),"Subtotal:")+1</f>
        <v>8</v>
      </c>
      <c r="B99" s="23" t="str">
        <f ca="1">IF(OFFSET(B99,1,0)&lt;&gt;"",OFFSET(B99,1,0),"")</f>
        <v/>
      </c>
      <c r="C99" s="42"/>
      <c r="D99" s="61" t="s">
        <v>47</v>
      </c>
      <c r="E99" s="60" t="str">
        <f>LEFT(F99,3)</f>
        <v>#02</v>
      </c>
      <c r="F99" s="59" t="s">
        <v>178</v>
      </c>
      <c r="G99" s="61" t="s">
        <v>207</v>
      </c>
      <c r="H99" s="60"/>
      <c r="I99" s="24">
        <f>IF(J99&lt;&gt;"",J99 - ('Shipping Program'!$D$9 + 'Shipping Program'!$F$9 + 'Shipping Program'!$H$9), "")</f>
        <v>46509</v>
      </c>
      <c r="J99" s="43">
        <v>46556</v>
      </c>
      <c r="K99" s="44" t="str">
        <f>IF(SUM(M99:N99)=0,"",SUM(M99:N99))</f>
        <v/>
      </c>
      <c r="L99" s="44"/>
      <c r="M99" s="44"/>
      <c r="N99" s="54"/>
      <c r="O99" s="25">
        <f>VLOOKUP(I99,'Shipping Program'!$A$32:$B$78,2)-1</f>
        <v>8</v>
      </c>
      <c r="P99" s="44">
        <f>O99</f>
        <v>8</v>
      </c>
      <c r="Q99" s="24">
        <f>R99-7</f>
        <v>46489</v>
      </c>
      <c r="R99" s="24">
        <f>IFERROR(_xlfn.XLOOKUP(P99,'Shipping Program'!$B$32:$B$78,'Shipping Program'!$A$32:$A$78),IFERROR(INDEX(_V7Batches!$B:$B,MATCH(P99&amp;"",_V7Batches!$A:$A,0)),""))</f>
        <v>46496</v>
      </c>
      <c r="S99" s="24">
        <f>IFERROR(_xlfn.XLOOKUP(P99,'Shipping Program'!$B$32:$B$78,'Shipping Program'!$E$32:$E$78),IFERROR(INDEX(_V7Batches!$D:$D,MATCH(P99&amp;"",_V7Batches!$A:$A,0)),""))</f>
        <v>46526</v>
      </c>
      <c r="T99" s="24">
        <f>S99+'Shipping Program'!$H$9</f>
        <v>46533</v>
      </c>
      <c r="U99" s="25">
        <f>IFERROR(IF(J99*T99&lt;&gt;0,J99-T99,""),"")</f>
        <v>23</v>
      </c>
      <c r="V99" s="25" t="str">
        <f>IF(U99&lt;&gt;"",IF(U99&gt;28,"Too early",IF(U99&lt;14,"Too late","")),"")</f>
        <v/>
      </c>
      <c r="W99" s="35"/>
      <c r="X99" s="26">
        <f ca="1">IF(OFFSET(X99,1,0)="",R99,OFFSET(X99,1,0))</f>
        <v>46496</v>
      </c>
      <c r="Y99" s="26">
        <f ca="1">IF(OFFSET(Y99,1,0)="",X99+'Shipping Program'!$F$9,OFFSET(Y99,1,0))</f>
        <v>46526</v>
      </c>
      <c r="Z99" s="26">
        <f ca="1">IF(OFFSET(Z99,1,0)="",Y99+'Shipping Program'!$H$9,OFFSET(Z99,1,0))</f>
        <v>46533</v>
      </c>
      <c r="AA99" s="27">
        <f ca="1">IFERROR(IF(J99*Z99&lt;&gt;0,J99-Z99,""),"")</f>
        <v>23</v>
      </c>
      <c r="AB99" s="27" t="str">
        <f ca="1">IF(AA99&lt;&gt;"",IF(AA99&gt;28,"Too early",IF(AA99&lt;14,"Too late","")),"")</f>
        <v/>
      </c>
      <c r="AC99" s="46"/>
      <c r="AE99" s="80" t="s">
        <v>43</v>
      </c>
      <c r="AF99" s="80" t="s">
        <v>41</v>
      </c>
      <c r="AG99" s="80" t="s">
        <v>42</v>
      </c>
      <c r="AH99" s="80" t="str">
        <f>IF(AI99="","",AI99*AJ99*AK99/1000/1000/1000)</f>
        <v/>
      </c>
      <c r="AI99" s="80"/>
      <c r="AJ99" s="80"/>
      <c r="AK99" s="80"/>
    </row>
    <row r="100" spans="1:37" ht="20.100000000000001" customHeight="1" outlineLevel="1">
      <c r="A100" s="33">
        <f ca="1">COUNTIF(J$3:OFFSET(J100,-1,0),"Subtotal:")+1</f>
        <v>8</v>
      </c>
      <c r="B100" s="23" t="str">
        <f ca="1">IF(OFFSET(B100,1,0)&lt;&gt;"",OFFSET(B100,1,0),"")</f>
        <v/>
      </c>
      <c r="C100" s="42"/>
      <c r="D100" s="59" t="s">
        <v>65</v>
      </c>
      <c r="E100" s="60" t="str">
        <f>LEFT(F100,3)</f>
        <v>#04</v>
      </c>
      <c r="F100" s="59" t="s">
        <v>209</v>
      </c>
      <c r="G100" s="59" t="s">
        <v>185</v>
      </c>
      <c r="H100" s="60"/>
      <c r="I100" s="24">
        <f>IF(J100&lt;&gt;"",J100 - ('Shipping Program'!$D$9 + 'Shipping Program'!$F$9 + 'Shipping Program'!$H$9), "")</f>
        <v>46509</v>
      </c>
      <c r="J100" s="43">
        <v>46556</v>
      </c>
      <c r="K100" s="44" t="str">
        <f>IF(SUM(M100:N100)=0,"",SUM(M100:N100))</f>
        <v/>
      </c>
      <c r="L100" s="44"/>
      <c r="M100" s="44"/>
      <c r="N100" s="54"/>
      <c r="O100" s="25">
        <f>VLOOKUP(I100,'Shipping Program'!$A$32:$B$78,2)-1</f>
        <v>8</v>
      </c>
      <c r="P100" s="44">
        <f>O100</f>
        <v>8</v>
      </c>
      <c r="Q100" s="24">
        <f>R100-7</f>
        <v>46489</v>
      </c>
      <c r="R100" s="24">
        <f>IFERROR(_xlfn.XLOOKUP(P100,'Shipping Program'!$B$32:$B$78,'Shipping Program'!$A$32:$A$78),IFERROR(INDEX(_V7Batches!$B:$B,MATCH(P100&amp;"",_V7Batches!$A:$A,0)),""))</f>
        <v>46496</v>
      </c>
      <c r="S100" s="24">
        <f>IFERROR(_xlfn.XLOOKUP(P100,'Shipping Program'!$B$32:$B$78,'Shipping Program'!$E$32:$E$78),IFERROR(INDEX(_V7Batches!$D:$D,MATCH(P100&amp;"",_V7Batches!$A:$A,0)),""))</f>
        <v>46526</v>
      </c>
      <c r="T100" s="24">
        <f>S100+'Shipping Program'!$H$9</f>
        <v>46533</v>
      </c>
      <c r="U100" s="25">
        <f>IFERROR(IF(J100*T100&lt;&gt;0,J100-T100,""),"")</f>
        <v>23</v>
      </c>
      <c r="V100" s="25" t="str">
        <f>IF(U100&lt;&gt;"",IF(U100&gt;28,"Too early",IF(U100&lt;14,"Too late","")),"")</f>
        <v/>
      </c>
      <c r="W100" s="35"/>
      <c r="X100" s="26">
        <f ca="1">IF(OFFSET(X100,1,0)="",R100,OFFSET(X100,1,0))</f>
        <v>46496</v>
      </c>
      <c r="Y100" s="26">
        <f ca="1">IF(OFFSET(Y100,1,0)="",X100+'Shipping Program'!$F$9,OFFSET(Y100,1,0))</f>
        <v>46526</v>
      </c>
      <c r="Z100" s="26">
        <f ca="1">IF(OFFSET(Z100,1,0)="",Y100+'Shipping Program'!$H$9,OFFSET(Z100,1,0))</f>
        <v>46533</v>
      </c>
      <c r="AA100" s="27">
        <f ca="1">IFERROR(IF(J100*Z100&lt;&gt;0,J100-Z100,""),"")</f>
        <v>23</v>
      </c>
      <c r="AB100" s="27" t="str">
        <f ca="1">IF(AA100&lt;&gt;"",IF(AA100&gt;28,"Too early",IF(AA100&lt;14,"Too late","")),"")</f>
        <v/>
      </c>
      <c r="AC100" s="46"/>
      <c r="AE100" s="80" t="s">
        <v>54</v>
      </c>
      <c r="AF100" s="80"/>
      <c r="AG100" s="80"/>
      <c r="AH100" s="80" t="str">
        <f>IF(AI100="","",AI100*AJ100*AK100/1000/1000/1000)</f>
        <v/>
      </c>
      <c r="AI100" s="80"/>
      <c r="AJ100" s="80"/>
      <c r="AK100" s="80"/>
    </row>
    <row r="101" spans="1:37" ht="20.100000000000001" customHeight="1" outlineLevel="1">
      <c r="A101" s="33">
        <f ca="1">COUNTIF(J$3:OFFSET(J101,-1,0),"Subtotal:")+1</f>
        <v>8</v>
      </c>
      <c r="B101" s="23" t="str">
        <f ca="1">IF(OFFSET(B101,1,0)&lt;&gt;"",OFFSET(B101,1,0),"")</f>
        <v/>
      </c>
      <c r="C101" s="42"/>
      <c r="D101" s="59" t="s">
        <v>62</v>
      </c>
      <c r="E101" s="60" t="str">
        <f>LEFT(F101,3)</f>
        <v>#04</v>
      </c>
      <c r="F101" s="59" t="s">
        <v>222</v>
      </c>
      <c r="G101" s="59" t="s">
        <v>216</v>
      </c>
      <c r="H101" s="60"/>
      <c r="I101" s="24">
        <f>IF(J101&lt;&gt;"",J101 - ('Shipping Program'!$D$9 + 'Shipping Program'!$F$9 + 'Shipping Program'!$H$9), "")</f>
        <v>46509</v>
      </c>
      <c r="J101" s="43">
        <v>46556</v>
      </c>
      <c r="K101" s="44" t="str">
        <f>IF(SUM(M101:N101)=0,"",SUM(M101:N101))</f>
        <v/>
      </c>
      <c r="L101" s="44"/>
      <c r="M101" s="44"/>
      <c r="N101" s="54"/>
      <c r="O101" s="25">
        <f>VLOOKUP(I101,'Shipping Program'!$A$32:$B$78,2)-1</f>
        <v>8</v>
      </c>
      <c r="P101" s="44">
        <f>O101</f>
        <v>8</v>
      </c>
      <c r="Q101" s="24">
        <f>R101-7</f>
        <v>46489</v>
      </c>
      <c r="R101" s="24">
        <f>IFERROR(_xlfn.XLOOKUP(P101,'Shipping Program'!$B$32:$B$78,'Shipping Program'!$A$32:$A$78),IFERROR(INDEX(_V7Batches!$B:$B,MATCH(P101&amp;"",_V7Batches!$A:$A,0)),""))</f>
        <v>46496</v>
      </c>
      <c r="S101" s="24">
        <f>IFERROR(_xlfn.XLOOKUP(P101,'Shipping Program'!$B$32:$B$78,'Shipping Program'!$E$32:$E$78),IFERROR(INDEX(_V7Batches!$D:$D,MATCH(P101&amp;"",_V7Batches!$A:$A,0)),""))</f>
        <v>46526</v>
      </c>
      <c r="T101" s="24">
        <f>S101+'Shipping Program'!$H$9</f>
        <v>46533</v>
      </c>
      <c r="U101" s="25">
        <f>IFERROR(IF(J101*T101&lt;&gt;0,J101-T101,""),"")</f>
        <v>23</v>
      </c>
      <c r="V101" s="25" t="str">
        <f>IF(U101&lt;&gt;"",IF(U101&gt;28,"Too early",IF(U101&lt;14,"Too late","")),"")</f>
        <v/>
      </c>
      <c r="W101" s="35"/>
      <c r="X101" s="26">
        <f ca="1">IF(OFFSET(X101,1,0)="",R101,OFFSET(X101,1,0))</f>
        <v>46496</v>
      </c>
      <c r="Y101" s="26">
        <f ca="1">IF(OFFSET(Y101,1,0)="",X101+'Shipping Program'!$F$9,OFFSET(Y101,1,0))</f>
        <v>46526</v>
      </c>
      <c r="Z101" s="26">
        <f ca="1">IF(OFFSET(Z101,1,0)="",Y101+'Shipping Program'!$H$9,OFFSET(Z101,1,0))</f>
        <v>46533</v>
      </c>
      <c r="AA101" s="27">
        <f ca="1">IFERROR(IF(J101*Z101&lt;&gt;0,J101-Z101,""),"")</f>
        <v>23</v>
      </c>
      <c r="AB101" s="27" t="str">
        <f ca="1">IF(AA101&lt;&gt;"",IF(AA101&gt;28,"Too early",IF(AA101&lt;14,"Too late","")),"")</f>
        <v/>
      </c>
      <c r="AC101" s="46"/>
      <c r="AE101" s="80" t="s">
        <v>43</v>
      </c>
      <c r="AF101" s="80" t="s">
        <v>41</v>
      </c>
      <c r="AG101" s="80" t="s">
        <v>63</v>
      </c>
      <c r="AH101" s="80" t="str">
        <f>IF(AI101="","",AI101*AJ101*AK101/1000/1000/1000)</f>
        <v/>
      </c>
      <c r="AI101" s="80"/>
      <c r="AJ101" s="80"/>
      <c r="AK101" s="80"/>
    </row>
    <row r="102" spans="1:37" ht="20.100000000000001" customHeight="1" outlineLevel="1">
      <c r="A102" s="33">
        <f ca="1">COUNTIF(J$3:OFFSET(J102,-1,0),"Subtotal:")+1</f>
        <v>8</v>
      </c>
      <c r="B102" s="23" t="str">
        <f ca="1">IF(OFFSET(B102,1,0)&lt;&gt;"",OFFSET(B102,1,0),"")</f>
        <v/>
      </c>
      <c r="C102" s="42"/>
      <c r="D102" s="59" t="s">
        <v>78</v>
      </c>
      <c r="E102" s="60" t="str">
        <f>LEFT(F102,3)</f>
        <v>#13</v>
      </c>
      <c r="F102" s="59" t="s">
        <v>238</v>
      </c>
      <c r="G102" s="59" t="s">
        <v>185</v>
      </c>
      <c r="H102" s="60" t="s">
        <v>2</v>
      </c>
      <c r="I102" s="24">
        <f>IF(J102&lt;&gt;"",J102 - ('Shipping Program'!$D$9 + 'Shipping Program'!$F$9 + 'Shipping Program'!$H$9), "")</f>
        <v>46505</v>
      </c>
      <c r="J102" s="43">
        <v>46552</v>
      </c>
      <c r="K102" s="44" t="str">
        <f>IF(SUM(M102:N102)=0,"",SUM(M102:N102))</f>
        <v/>
      </c>
      <c r="L102" s="44"/>
      <c r="M102" s="44"/>
      <c r="N102" s="54"/>
      <c r="O102" s="25">
        <f>VLOOKUP(I102,'Shipping Program'!$A$32:$B$78,2)-1</f>
        <v>8</v>
      </c>
      <c r="P102" s="44">
        <f>O102</f>
        <v>8</v>
      </c>
      <c r="Q102" s="24">
        <f>R102-7</f>
        <v>46489</v>
      </c>
      <c r="R102" s="24">
        <f>IFERROR(_xlfn.XLOOKUP(P102,'Shipping Program'!$B$32:$B$78,'Shipping Program'!$A$32:$A$78),IFERROR(INDEX(_V7Batches!$B:$B,MATCH(P102&amp;"",_V7Batches!$A:$A,0)),""))</f>
        <v>46496</v>
      </c>
      <c r="S102" s="24">
        <f>IFERROR(_xlfn.XLOOKUP(P102,'Shipping Program'!$B$32:$B$78,'Shipping Program'!$E$32:$E$78),IFERROR(INDEX(_V7Batches!$D:$D,MATCH(P102&amp;"",_V7Batches!$A:$A,0)),""))</f>
        <v>46526</v>
      </c>
      <c r="T102" s="24">
        <f>S102+'Shipping Program'!$H$9</f>
        <v>46533</v>
      </c>
      <c r="U102" s="25">
        <f>IFERROR(IF(J102*T102&lt;&gt;0,J102-T102,""),"")</f>
        <v>19</v>
      </c>
      <c r="V102" s="25" t="str">
        <f>IF(U102&lt;&gt;"",IF(U102&gt;28,"Too early",IF(U102&lt;14,"Too late","")),"")</f>
        <v/>
      </c>
      <c r="W102" s="35"/>
      <c r="X102" s="26">
        <f ca="1">IF(OFFSET(X102,1,0)="",R102,OFFSET(X102,1,0))</f>
        <v>46496</v>
      </c>
      <c r="Y102" s="26">
        <f ca="1">IF(OFFSET(Y102,1,0)="",X102+'Shipping Program'!$F$9,OFFSET(Y102,1,0))</f>
        <v>46526</v>
      </c>
      <c r="Z102" s="26">
        <f ca="1">IF(OFFSET(Z102,1,0)="",Y102+'Shipping Program'!$H$9,OFFSET(Z102,1,0))</f>
        <v>46533</v>
      </c>
      <c r="AA102" s="27">
        <f ca="1">IFERROR(IF(J102*Z102&lt;&gt;0,J102-Z102,""),"")</f>
        <v>19</v>
      </c>
      <c r="AB102" s="27" t="str">
        <f ca="1">IF(AA102&lt;&gt;"",IF(AA102&gt;28,"Too early",IF(AA102&lt;14,"Too late","")),"")</f>
        <v/>
      </c>
      <c r="AC102" s="46"/>
      <c r="AE102" s="80" t="s">
        <v>54</v>
      </c>
      <c r="AF102" s="80"/>
      <c r="AG102" s="80"/>
      <c r="AH102" s="80" t="str">
        <f>IF(AI102="","",AI102*AJ102*AK102/1000/1000/1000)</f>
        <v/>
      </c>
      <c r="AI102" s="80"/>
      <c r="AJ102" s="80"/>
      <c r="AK102" s="80"/>
    </row>
    <row r="103" spans="1:37" ht="20.100000000000001" customHeight="1">
      <c r="A103" s="33">
        <f ca="1">COUNTIF(J$3:OFFSET(J103,-1,0),"Subtotal:")+1</f>
        <v>8</v>
      </c>
      <c r="B103" s="62" t="str">
        <f ca="1">IF(OFFSET(B103,1,0)&lt;&gt;"",OFFSET(B103,1,0),"")</f>
        <v/>
      </c>
      <c r="C103" s="63"/>
      <c r="D103" s="59" t="s">
        <v>95</v>
      </c>
      <c r="E103" s="60" t="str">
        <f>LEFT(F103,3)</f>
        <v>#06</v>
      </c>
      <c r="F103" s="59" t="s">
        <v>223</v>
      </c>
      <c r="G103" s="59" t="s">
        <v>245</v>
      </c>
      <c r="H103" s="60"/>
      <c r="I103" s="24">
        <f>IF(J103&lt;&gt;"",J103 - ('Shipping Program'!$D$9 + 'Shipping Program'!$F$9 + 'Shipping Program'!$H$9), "")</f>
        <v>46505</v>
      </c>
      <c r="J103" s="43">
        <v>46552</v>
      </c>
      <c r="K103" s="44" t="str">
        <f>IF(SUM(M103:N103)=0,"",SUM(M103:N103))</f>
        <v/>
      </c>
      <c r="L103" s="64"/>
      <c r="M103" s="44"/>
      <c r="N103" s="54"/>
      <c r="O103" s="25">
        <f>VLOOKUP(I103,'Shipping Program'!$A$32:$B$78,2)-1</f>
        <v>8</v>
      </c>
      <c r="P103" s="44">
        <f>O103</f>
        <v>8</v>
      </c>
      <c r="Q103" s="24">
        <f>R103-7</f>
        <v>46489</v>
      </c>
      <c r="R103" s="24">
        <f>IFERROR(_xlfn.XLOOKUP(P103,'Shipping Program'!$B$32:$B$78,'Shipping Program'!$A$32:$A$78),IFERROR(INDEX(_V7Batches!$B:$B,MATCH(P103&amp;"",_V7Batches!$A:$A,0)),""))</f>
        <v>46496</v>
      </c>
      <c r="S103" s="24">
        <f>IFERROR(_xlfn.XLOOKUP(P103,'Shipping Program'!$B$32:$B$78,'Shipping Program'!$E$32:$E$78),IFERROR(INDEX(_V7Batches!$D:$D,MATCH(P103&amp;"",_V7Batches!$A:$A,0)),""))</f>
        <v>46526</v>
      </c>
      <c r="T103" s="24">
        <f>S103+'Shipping Program'!$H$9</f>
        <v>46533</v>
      </c>
      <c r="U103" s="25">
        <f>IFERROR(IF(J103*T103&lt;&gt;0,J103-T103,""),"")</f>
        <v>19</v>
      </c>
      <c r="V103" s="25" t="str">
        <f>IF(U103&lt;&gt;"",IF(U103&gt;28,"Too early",IF(U103&lt;14,"Too late","")),"")</f>
        <v/>
      </c>
      <c r="W103" s="35"/>
      <c r="X103" s="26">
        <f ca="1">IF(OFFSET(X103,1,0)="",R103,OFFSET(X103,1,0))</f>
        <v>46496</v>
      </c>
      <c r="Y103" s="26">
        <f ca="1">IF(OFFSET(Y103,1,0)="",X103+'Shipping Program'!$F$9,OFFSET(Y103,1,0))</f>
        <v>46526</v>
      </c>
      <c r="Z103" s="26">
        <f ca="1">IF(OFFSET(Z103,1,0)="",Y103+'Shipping Program'!$H$9,OFFSET(Z103,1,0))</f>
        <v>46533</v>
      </c>
      <c r="AA103" s="27">
        <f ca="1">IFERROR(IF(J103*Z103&lt;&gt;0,J103-Z103,""),"")</f>
        <v>19</v>
      </c>
      <c r="AB103" s="27" t="str">
        <f ca="1">IF(AA103&lt;&gt;"",IF(AA103&gt;28,"Too early",IF(AA103&lt;14,"Too late","")),"")</f>
        <v/>
      </c>
      <c r="AC103" s="46"/>
      <c r="AE103" s="80" t="s">
        <v>43</v>
      </c>
      <c r="AF103" s="80" t="s">
        <v>41</v>
      </c>
      <c r="AG103" s="80" t="s">
        <v>42</v>
      </c>
      <c r="AH103" s="80" t="str">
        <f>IF(AI103="","",AI103*AJ103*AK103/1000/1000/1000)</f>
        <v/>
      </c>
      <c r="AI103" s="80"/>
      <c r="AJ103" s="80"/>
      <c r="AK103" s="80"/>
    </row>
    <row r="104" spans="1:37" ht="20.100000000000001" customHeight="1" outlineLevel="1">
      <c r="A104" s="33">
        <f ca="1">COUNTIF(J$3:OFFSET(J104,-1,0),"Subtotal:")+1</f>
        <v>8</v>
      </c>
      <c r="B104" s="23" t="str">
        <f ca="1">IF(OFFSET(B104,1,0)&lt;&gt;"",OFFSET(B104,1,0),"")</f>
        <v/>
      </c>
      <c r="C104" s="42"/>
      <c r="D104" s="64" t="s">
        <v>97</v>
      </c>
      <c r="E104" s="60" t="str">
        <f>LEFT(F104,3)</f>
        <v>#10</v>
      </c>
      <c r="F104" s="59" t="s">
        <v>247</v>
      </c>
      <c r="G104" s="64" t="s">
        <v>259</v>
      </c>
      <c r="H104" s="64"/>
      <c r="I104" s="24">
        <f>IF(J104&lt;&gt;"",J104 - ('Shipping Program'!$D$9 + 'Shipping Program'!$F$9 + 'Shipping Program'!$H$9), "")</f>
        <v>46508</v>
      </c>
      <c r="J104" s="43">
        <v>46555</v>
      </c>
      <c r="K104" s="44" t="str">
        <f>IF(SUM(M104:N104)=0,"",SUM(M104:N104))</f>
        <v/>
      </c>
      <c r="L104" s="44"/>
      <c r="M104" s="44"/>
      <c r="N104" s="54"/>
      <c r="O104" s="25">
        <f>VLOOKUP(I104,'Shipping Program'!$A$32:$B$78,2)-1</f>
        <v>8</v>
      </c>
      <c r="P104" s="44">
        <f>O104</f>
        <v>8</v>
      </c>
      <c r="Q104" s="24">
        <f>R104-7</f>
        <v>46489</v>
      </c>
      <c r="R104" s="24">
        <f>IFERROR(_xlfn.XLOOKUP(P104,'Shipping Program'!$B$32:$B$78,'Shipping Program'!$A$32:$A$78),IFERROR(INDEX(_V7Batches!$B:$B,MATCH(P104&amp;"",_V7Batches!$A:$A,0)),""))</f>
        <v>46496</v>
      </c>
      <c r="S104" s="24">
        <f>IFERROR(_xlfn.XLOOKUP(P104,'Shipping Program'!$B$32:$B$78,'Shipping Program'!$E$32:$E$78),IFERROR(INDEX(_V7Batches!$D:$D,MATCH(P104&amp;"",_V7Batches!$A:$A,0)),""))</f>
        <v>46526</v>
      </c>
      <c r="T104" s="24">
        <f>S104+'Shipping Program'!$H$9</f>
        <v>46533</v>
      </c>
      <c r="U104" s="25">
        <f>IFERROR(IF(J104*T104&lt;&gt;0,J104-T104,""),"")</f>
        <v>22</v>
      </c>
      <c r="V104" s="25" t="str">
        <f>IF(U104&lt;&gt;"",IF(U104&gt;28,"Too early",IF(U104&lt;14,"Too late","")),"")</f>
        <v/>
      </c>
      <c r="W104" s="35"/>
      <c r="X104" s="26">
        <f ca="1">IF(OFFSET(X104,1,0)="",R104,OFFSET(X104,1,0))</f>
        <v>46496</v>
      </c>
      <c r="Y104" s="26">
        <f ca="1">IF(OFFSET(Y104,1,0)="",X104+'Shipping Program'!$F$9,OFFSET(Y104,1,0))</f>
        <v>46526</v>
      </c>
      <c r="Z104" s="26">
        <f ca="1">IF(OFFSET(Z104,1,0)="",Y104+'Shipping Program'!$H$9,OFFSET(Z104,1,0))</f>
        <v>46533</v>
      </c>
      <c r="AA104" s="27">
        <f ca="1">IFERROR(IF(J104*Z104&lt;&gt;0,J104-Z104,""),"")</f>
        <v>22</v>
      </c>
      <c r="AB104" s="27" t="str">
        <f ca="1">IF(AA104&lt;&gt;"",IF(AA104&gt;28,"Too early",IF(AA104&lt;14,"Too late","")),"")</f>
        <v/>
      </c>
      <c r="AC104" s="46"/>
      <c r="AE104" s="80" t="s">
        <v>43</v>
      </c>
      <c r="AF104" s="80" t="s">
        <v>41</v>
      </c>
      <c r="AG104" s="80" t="s">
        <v>42</v>
      </c>
      <c r="AH104" s="80" t="str">
        <f>IF(AI104="","",AI104*AJ104*AK104/1000/1000/1000)</f>
        <v/>
      </c>
      <c r="AI104" s="80"/>
      <c r="AJ104" s="80"/>
      <c r="AK104" s="80"/>
    </row>
    <row r="105" spans="1:37" ht="20.100000000000001" customHeight="1">
      <c r="A105" s="33">
        <f ca="1">COUNTIF(J$3:OFFSET(J105,-1,0),"Subtotal:")+1</f>
        <v>8</v>
      </c>
      <c r="B105" s="23" t="str">
        <f ca="1">IF(OFFSET(B105,1,0)&lt;&gt;"",OFFSET(B105,1,0),"")</f>
        <v/>
      </c>
      <c r="C105" s="42"/>
      <c r="D105" s="64" t="s">
        <v>97</v>
      </c>
      <c r="E105" s="60" t="str">
        <f>LEFT(F105,3)</f>
        <v>#10</v>
      </c>
      <c r="F105" s="59" t="s">
        <v>247</v>
      </c>
      <c r="G105" s="64" t="s">
        <v>261</v>
      </c>
      <c r="H105" s="64"/>
      <c r="I105" s="24">
        <f>IF(J105&lt;&gt;"",J105 - ('Shipping Program'!$D$9 + 'Shipping Program'!$F$9 + 'Shipping Program'!$H$9), "")</f>
        <v>46508</v>
      </c>
      <c r="J105" s="43">
        <v>46555</v>
      </c>
      <c r="K105" s="44" t="str">
        <f>IF(SUM(M105:N105)=0,"",SUM(M105:N105))</f>
        <v/>
      </c>
      <c r="L105" s="44"/>
      <c r="M105" s="44"/>
      <c r="N105" s="54"/>
      <c r="O105" s="25">
        <f>VLOOKUP(I105,'Shipping Program'!$A$32:$B$78,2)-1</f>
        <v>8</v>
      </c>
      <c r="P105" s="44">
        <f>O105</f>
        <v>8</v>
      </c>
      <c r="Q105" s="24">
        <f>R105-7</f>
        <v>46489</v>
      </c>
      <c r="R105" s="24">
        <f>IFERROR(_xlfn.XLOOKUP(P105,'Shipping Program'!$B$32:$B$78,'Shipping Program'!$A$32:$A$78),IFERROR(INDEX(_V7Batches!$B:$B,MATCH(P105&amp;"",_V7Batches!$A:$A,0)),""))</f>
        <v>46496</v>
      </c>
      <c r="S105" s="24">
        <f>IFERROR(_xlfn.XLOOKUP(P105,'Shipping Program'!$B$32:$B$78,'Shipping Program'!$E$32:$E$78),IFERROR(INDEX(_V7Batches!$D:$D,MATCH(P105&amp;"",_V7Batches!$A:$A,0)),""))</f>
        <v>46526</v>
      </c>
      <c r="T105" s="24">
        <f>S105+'Shipping Program'!$H$9</f>
        <v>46533</v>
      </c>
      <c r="U105" s="25">
        <f>IFERROR(IF(J105*T105&lt;&gt;0,J105-T105,""),"")</f>
        <v>22</v>
      </c>
      <c r="V105" s="25" t="str">
        <f>IF(U105&lt;&gt;"",IF(U105&gt;28,"Too early",IF(U105&lt;14,"Too late","")),"")</f>
        <v/>
      </c>
      <c r="W105" s="35"/>
      <c r="X105" s="26">
        <f ca="1">IF(OFFSET(X105,1,0)="",R105,OFFSET(X105,1,0))</f>
        <v>46496</v>
      </c>
      <c r="Y105" s="26">
        <f ca="1">IF(OFFSET(Y105,1,0)="",X105+'Shipping Program'!$F$9,OFFSET(Y105,1,0))</f>
        <v>46526</v>
      </c>
      <c r="Z105" s="26">
        <f ca="1">IF(OFFSET(Z105,1,0)="",Y105+'Shipping Program'!$H$9,OFFSET(Z105,1,0))</f>
        <v>46533</v>
      </c>
      <c r="AA105" s="27">
        <f ca="1">IFERROR(IF(J105*Z105&lt;&gt;0,J105-Z105,""),"")</f>
        <v>22</v>
      </c>
      <c r="AB105" s="27" t="str">
        <f ca="1">IF(AA105&lt;&gt;"",IF(AA105&gt;28,"Too early",IF(AA105&lt;14,"Too late","")),"")</f>
        <v/>
      </c>
      <c r="AC105" s="46"/>
      <c r="AE105" s="80" t="s">
        <v>43</v>
      </c>
      <c r="AF105" s="80" t="s">
        <v>41</v>
      </c>
      <c r="AG105" s="80" t="s">
        <v>42</v>
      </c>
      <c r="AH105" s="80" t="str">
        <f>IF(AI105="","",AI105*AJ105*AK105/1000/1000/1000)</f>
        <v/>
      </c>
      <c r="AI105" s="80"/>
      <c r="AJ105" s="80"/>
      <c r="AK105" s="80"/>
    </row>
    <row r="106" spans="1:37" ht="20.100000000000001" customHeight="1" outlineLevel="1">
      <c r="A106" s="33">
        <f ca="1">COUNTIF(J$3:OFFSET(J106,-1,0),"Subtotal:")+1</f>
        <v>8</v>
      </c>
      <c r="B106" s="23" t="str">
        <f ca="1">IF(OFFSET(B106,1,0)&lt;&gt;"",OFFSET(B106,1,0),"")</f>
        <v/>
      </c>
      <c r="C106" s="42"/>
      <c r="D106" s="64" t="s">
        <v>97</v>
      </c>
      <c r="E106" s="60" t="str">
        <f>LEFT(F106,3)</f>
        <v>#10</v>
      </c>
      <c r="F106" s="59" t="s">
        <v>247</v>
      </c>
      <c r="G106" s="64" t="s">
        <v>262</v>
      </c>
      <c r="H106" s="64"/>
      <c r="I106" s="24">
        <f>IF(J106&lt;&gt;"",J106 - ('Shipping Program'!$D$9 + 'Shipping Program'!$F$9 + 'Shipping Program'!$H$9), "")</f>
        <v>46508</v>
      </c>
      <c r="J106" s="43">
        <v>46555</v>
      </c>
      <c r="K106" s="44" t="str">
        <f>IF(SUM(M106:N106)=0,"",SUM(M106:N106))</f>
        <v/>
      </c>
      <c r="L106" s="44"/>
      <c r="M106" s="44"/>
      <c r="N106" s="54"/>
      <c r="O106" s="25">
        <f>VLOOKUP(I106,'Shipping Program'!$A$32:$B$78,2)-1</f>
        <v>8</v>
      </c>
      <c r="P106" s="44">
        <f>O106</f>
        <v>8</v>
      </c>
      <c r="Q106" s="24">
        <f>R106-7</f>
        <v>46489</v>
      </c>
      <c r="R106" s="24">
        <f>IFERROR(_xlfn.XLOOKUP(P106,'Shipping Program'!$B$32:$B$78,'Shipping Program'!$A$32:$A$78),IFERROR(INDEX(_V7Batches!$B:$B,MATCH(P106&amp;"",_V7Batches!$A:$A,0)),""))</f>
        <v>46496</v>
      </c>
      <c r="S106" s="24">
        <f>IFERROR(_xlfn.XLOOKUP(P106,'Shipping Program'!$B$32:$B$78,'Shipping Program'!$E$32:$E$78),IFERROR(INDEX(_V7Batches!$D:$D,MATCH(P106&amp;"",_V7Batches!$A:$A,0)),""))</f>
        <v>46526</v>
      </c>
      <c r="T106" s="24">
        <f>S106+'Shipping Program'!$H$9</f>
        <v>46533</v>
      </c>
      <c r="U106" s="25">
        <f>IFERROR(IF(J106*T106&lt;&gt;0,J106-T106,""),"")</f>
        <v>22</v>
      </c>
      <c r="V106" s="25" t="str">
        <f>IF(U106&lt;&gt;"",IF(U106&gt;28,"Too early",IF(U106&lt;14,"Too late","")),"")</f>
        <v/>
      </c>
      <c r="W106" s="35"/>
      <c r="X106" s="26">
        <f ca="1">IF(OFFSET(X106,1,0)="",R106,OFFSET(X106,1,0))</f>
        <v>46496</v>
      </c>
      <c r="Y106" s="26">
        <f ca="1">IF(OFFSET(Y106,1,0)="",X106+'Shipping Program'!$F$9,OFFSET(Y106,1,0))</f>
        <v>46526</v>
      </c>
      <c r="Z106" s="26">
        <f ca="1">IF(OFFSET(Z106,1,0)="",Y106+'Shipping Program'!$H$9,OFFSET(Z106,1,0))</f>
        <v>46533</v>
      </c>
      <c r="AA106" s="27">
        <f ca="1">IFERROR(IF(J106*Z106&lt;&gt;0,J106-Z106,""),"")</f>
        <v>22</v>
      </c>
      <c r="AB106" s="27" t="str">
        <f ca="1">IF(AA106&lt;&gt;"",IF(AA106&gt;28,"Too early",IF(AA106&lt;14,"Too late","")),"")</f>
        <v/>
      </c>
      <c r="AC106" s="46"/>
      <c r="AE106" s="80" t="s">
        <v>43</v>
      </c>
      <c r="AF106" s="80" t="s">
        <v>41</v>
      </c>
      <c r="AG106" s="80" t="s">
        <v>42</v>
      </c>
      <c r="AH106" s="80" t="str">
        <f>IF(AI106="","",AI106*AJ106*AK106/1000/1000/1000)</f>
        <v/>
      </c>
      <c r="AI106" s="80"/>
      <c r="AJ106" s="80"/>
      <c r="AK106" s="80"/>
    </row>
    <row r="107" spans="1:37" ht="20.100000000000001" customHeight="1" outlineLevel="1">
      <c r="A107" s="33">
        <f ca="1">COUNTIF(J$3:OFFSET(J107,-1,0),"Subtotal:")+1</f>
        <v>8</v>
      </c>
      <c r="B107" s="23" t="str">
        <f ca="1">IF(OFFSET(B107,1,0)&lt;&gt;"",OFFSET(B107,1,0),"")</f>
        <v/>
      </c>
      <c r="C107" s="42"/>
      <c r="D107" s="64" t="s">
        <v>97</v>
      </c>
      <c r="E107" s="60" t="str">
        <f>LEFT(F107,3)</f>
        <v>#10</v>
      </c>
      <c r="F107" s="59" t="s">
        <v>254</v>
      </c>
      <c r="G107" s="64" t="s">
        <v>273</v>
      </c>
      <c r="H107" s="64"/>
      <c r="I107" s="24">
        <f>IF(J107&lt;&gt;"",J107 - ('Shipping Program'!$D$9 + 'Shipping Program'!$F$9 + 'Shipping Program'!$H$9), "")</f>
        <v>46506</v>
      </c>
      <c r="J107" s="43">
        <v>46553</v>
      </c>
      <c r="K107" s="44" t="str">
        <f>IF(SUM(M107:N107)=0,"",SUM(M107:N107))</f>
        <v/>
      </c>
      <c r="L107" s="44"/>
      <c r="M107" s="44"/>
      <c r="N107" s="54"/>
      <c r="O107" s="25">
        <f>VLOOKUP(I107,'Shipping Program'!$A$32:$B$78,2)-1</f>
        <v>8</v>
      </c>
      <c r="P107" s="44">
        <f>O107</f>
        <v>8</v>
      </c>
      <c r="Q107" s="24">
        <f>R107-7</f>
        <v>46489</v>
      </c>
      <c r="R107" s="24">
        <f>IFERROR(_xlfn.XLOOKUP(P107,'Shipping Program'!$B$32:$B$78,'Shipping Program'!$A$32:$A$78),IFERROR(INDEX(_V7Batches!$B:$B,MATCH(P107&amp;"",_V7Batches!$A:$A,0)),""))</f>
        <v>46496</v>
      </c>
      <c r="S107" s="24">
        <f>IFERROR(_xlfn.XLOOKUP(P107,'Shipping Program'!$B$32:$B$78,'Shipping Program'!$E$32:$E$78),IFERROR(INDEX(_V7Batches!$D:$D,MATCH(P107&amp;"",_V7Batches!$A:$A,0)),""))</f>
        <v>46526</v>
      </c>
      <c r="T107" s="24">
        <f>S107+'Shipping Program'!$H$9</f>
        <v>46533</v>
      </c>
      <c r="U107" s="25">
        <f>IFERROR(IF(J107*T107&lt;&gt;0,J107-T107,""),"")</f>
        <v>20</v>
      </c>
      <c r="V107" s="25" t="str">
        <f>IF(U107&lt;&gt;"",IF(U107&gt;28,"Too early",IF(U107&lt;14,"Too late","")),"")</f>
        <v/>
      </c>
      <c r="W107" s="35"/>
      <c r="X107" s="26">
        <f ca="1">IF(OFFSET(X107,1,0)="",R107,OFFSET(X107,1,0))</f>
        <v>46496</v>
      </c>
      <c r="Y107" s="26">
        <f ca="1">IF(OFFSET(Y107,1,0)="",X107+'Shipping Program'!$F$9,OFFSET(Y107,1,0))</f>
        <v>46526</v>
      </c>
      <c r="Z107" s="26">
        <f ca="1">IF(OFFSET(Z107,1,0)="",Y107+'Shipping Program'!$H$9,OFFSET(Z107,1,0))</f>
        <v>46533</v>
      </c>
      <c r="AA107" s="27">
        <f ca="1">IFERROR(IF(J107*Z107&lt;&gt;0,J107-Z107,""),"")</f>
        <v>20</v>
      </c>
      <c r="AB107" s="27" t="str">
        <f ca="1">IF(AA107&lt;&gt;"",IF(AA107&gt;28,"Too early",IF(AA107&lt;14,"Too late","")),"")</f>
        <v/>
      </c>
      <c r="AC107" s="46"/>
      <c r="AE107" s="80" t="s">
        <v>43</v>
      </c>
      <c r="AF107" s="80" t="s">
        <v>41</v>
      </c>
      <c r="AG107" s="80" t="s">
        <v>42</v>
      </c>
      <c r="AH107" s="80" t="str">
        <f>IF(AI107="","",AI107*AJ107*AK107/1000/1000/1000)</f>
        <v/>
      </c>
      <c r="AI107" s="80"/>
      <c r="AJ107" s="80"/>
      <c r="AK107" s="80"/>
    </row>
    <row r="108" spans="1:37" ht="20.100000000000001" customHeight="1" outlineLevel="1">
      <c r="A108" s="33">
        <f ca="1">COUNTIF(J$3:OFFSET(J108,-1,0),"Subtotal:")+1</f>
        <v>8</v>
      </c>
      <c r="B108" s="23" t="str">
        <f ca="1">IF(OFFSET(B108,1,0)&lt;&gt;"",OFFSET(B108,1,0),"")</f>
        <v/>
      </c>
      <c r="C108" s="42"/>
      <c r="D108" s="64" t="s">
        <v>97</v>
      </c>
      <c r="E108" s="60" t="str">
        <f>LEFT(F108,3)</f>
        <v>#10</v>
      </c>
      <c r="F108" s="59" t="s">
        <v>249</v>
      </c>
      <c r="G108" s="64" t="s">
        <v>260</v>
      </c>
      <c r="H108" s="64"/>
      <c r="I108" s="24">
        <f>IF(J108&lt;&gt;"",J108 - ('Shipping Program'!$D$9 + 'Shipping Program'!$F$9 + 'Shipping Program'!$H$9), "")</f>
        <v>46504</v>
      </c>
      <c r="J108" s="43">
        <v>46551</v>
      </c>
      <c r="K108" s="44" t="str">
        <f>IF(SUM(M108:N108)=0,"",SUM(M108:N108))</f>
        <v/>
      </c>
      <c r="L108" s="44"/>
      <c r="M108" s="44"/>
      <c r="N108" s="54"/>
      <c r="O108" s="25">
        <f>VLOOKUP(I108,'Shipping Program'!$A$32:$B$78,2)-1</f>
        <v>8</v>
      </c>
      <c r="P108" s="44">
        <f>O108</f>
        <v>8</v>
      </c>
      <c r="Q108" s="24">
        <f>R108-7</f>
        <v>46489</v>
      </c>
      <c r="R108" s="24">
        <f>IFERROR(_xlfn.XLOOKUP(P108,'Shipping Program'!$B$32:$B$78,'Shipping Program'!$A$32:$A$78),IFERROR(INDEX(_V7Batches!$B:$B,MATCH(P108&amp;"",_V7Batches!$A:$A,0)),""))</f>
        <v>46496</v>
      </c>
      <c r="S108" s="24">
        <f>IFERROR(_xlfn.XLOOKUP(P108,'Shipping Program'!$B$32:$B$78,'Shipping Program'!$E$32:$E$78),IFERROR(INDEX(_V7Batches!$D:$D,MATCH(P108&amp;"",_V7Batches!$A:$A,0)),""))</f>
        <v>46526</v>
      </c>
      <c r="T108" s="24">
        <f>S108+'Shipping Program'!$H$9</f>
        <v>46533</v>
      </c>
      <c r="U108" s="25">
        <f>IFERROR(IF(J108*T108&lt;&gt;0,J108-T108,""),"")</f>
        <v>18</v>
      </c>
      <c r="V108" s="25" t="str">
        <f>IF(U108&lt;&gt;"",IF(U108&gt;28,"Too early",IF(U108&lt;14,"Too late","")),"")</f>
        <v/>
      </c>
      <c r="W108" s="35"/>
      <c r="X108" s="26">
        <f ca="1">IF(OFFSET(X108,1,0)="",R108,OFFSET(X108,1,0))</f>
        <v>46496</v>
      </c>
      <c r="Y108" s="26">
        <f ca="1">IF(OFFSET(Y108,1,0)="",X108+'Shipping Program'!$F$9,OFFSET(Y108,1,0))</f>
        <v>46526</v>
      </c>
      <c r="Z108" s="26">
        <f ca="1">IF(OFFSET(Z108,1,0)="",Y108+'Shipping Program'!$H$9,OFFSET(Z108,1,0))</f>
        <v>46533</v>
      </c>
      <c r="AA108" s="27">
        <f ca="1">IFERROR(IF(J108*Z108&lt;&gt;0,J108-Z108,""),"")</f>
        <v>18</v>
      </c>
      <c r="AB108" s="27" t="str">
        <f ca="1">IF(AA108&lt;&gt;"",IF(AA108&gt;28,"Too early",IF(AA108&lt;14,"Too late","")),"")</f>
        <v/>
      </c>
      <c r="AC108" s="46"/>
      <c r="AE108" s="80" t="s">
        <v>43</v>
      </c>
      <c r="AF108" s="80" t="s">
        <v>41</v>
      </c>
      <c r="AG108" s="80" t="s">
        <v>42</v>
      </c>
      <c r="AH108" s="80" t="str">
        <f>IF(AI108="","",AI108*AJ108*AK108/1000/1000/1000)</f>
        <v/>
      </c>
      <c r="AI108" s="80"/>
      <c r="AJ108" s="80"/>
      <c r="AK108" s="80"/>
    </row>
    <row r="109" spans="1:37" ht="20.100000000000001" customHeight="1" outlineLevel="1">
      <c r="A109" s="33">
        <f ca="1">COUNTIF(J$3:OFFSET(J109,-1,0),"Subtotal:")+1</f>
        <v>8</v>
      </c>
      <c r="B109" s="23" t="str">
        <f ca="1">IF(OFFSET(B109,1,0)&lt;&gt;"",OFFSET(B109,1,0),"")</f>
        <v/>
      </c>
      <c r="C109" s="42"/>
      <c r="D109" s="64" t="s">
        <v>97</v>
      </c>
      <c r="E109" s="60" t="str">
        <f>LEFT(F109,3)</f>
        <v>#10</v>
      </c>
      <c r="F109" s="59" t="s">
        <v>249</v>
      </c>
      <c r="G109" s="64" t="s">
        <v>278</v>
      </c>
      <c r="H109" s="64"/>
      <c r="I109" s="24">
        <f>IF(J109&lt;&gt;"",J109 - ('Shipping Program'!$D$9 + 'Shipping Program'!$F$9 + 'Shipping Program'!$H$9), "")</f>
        <v>46505</v>
      </c>
      <c r="J109" s="43">
        <v>46552</v>
      </c>
      <c r="K109" s="44" t="str">
        <f>IF(SUM(M109:N109)=0,"",SUM(M109:N109))</f>
        <v/>
      </c>
      <c r="L109" s="44"/>
      <c r="M109" s="44"/>
      <c r="N109" s="54"/>
      <c r="O109" s="25">
        <f>VLOOKUP(I109,'Shipping Program'!$A$32:$B$78,2)-1</f>
        <v>8</v>
      </c>
      <c r="P109" s="44">
        <f>O109</f>
        <v>8</v>
      </c>
      <c r="Q109" s="24">
        <f>R109-7</f>
        <v>46489</v>
      </c>
      <c r="R109" s="24">
        <f>IFERROR(_xlfn.XLOOKUP(P109,'Shipping Program'!$B$32:$B$78,'Shipping Program'!$A$32:$A$78),IFERROR(INDEX(_V7Batches!$B:$B,MATCH(P109&amp;"",_V7Batches!$A:$A,0)),""))</f>
        <v>46496</v>
      </c>
      <c r="S109" s="24">
        <f>IFERROR(_xlfn.XLOOKUP(P109,'Shipping Program'!$B$32:$B$78,'Shipping Program'!$E$32:$E$78),IFERROR(INDEX(_V7Batches!$D:$D,MATCH(P109&amp;"",_V7Batches!$A:$A,0)),""))</f>
        <v>46526</v>
      </c>
      <c r="T109" s="24">
        <f>S109+'Shipping Program'!$H$9</f>
        <v>46533</v>
      </c>
      <c r="U109" s="25">
        <f>IFERROR(IF(J109*T109&lt;&gt;0,J109-T109,""),"")</f>
        <v>19</v>
      </c>
      <c r="V109" s="25" t="str">
        <f>IF(U109&lt;&gt;"",IF(U109&gt;28,"Too early",IF(U109&lt;14,"Too late","")),"")</f>
        <v/>
      </c>
      <c r="W109" s="35"/>
      <c r="X109" s="26">
        <f ca="1">IF(OFFSET(X109,1,0)="",R109,OFFSET(X109,1,0))</f>
        <v>46496</v>
      </c>
      <c r="Y109" s="26">
        <f ca="1">IF(OFFSET(Y109,1,0)="",X109+'Shipping Program'!$F$9,OFFSET(Y109,1,0))</f>
        <v>46526</v>
      </c>
      <c r="Z109" s="26">
        <f ca="1">IF(OFFSET(Z109,1,0)="",Y109+'Shipping Program'!$H$9,OFFSET(Z109,1,0))</f>
        <v>46533</v>
      </c>
      <c r="AA109" s="27">
        <f ca="1">IFERROR(IF(J109*Z109&lt;&gt;0,J109-Z109,""),"")</f>
        <v>19</v>
      </c>
      <c r="AB109" s="27" t="str">
        <f ca="1">IF(AA109&lt;&gt;"",IF(AA109&gt;28,"Too early",IF(AA109&lt;14,"Too late","")),"")</f>
        <v/>
      </c>
      <c r="AC109" s="46"/>
      <c r="AE109" s="80" t="s">
        <v>43</v>
      </c>
      <c r="AF109" s="80" t="s">
        <v>41</v>
      </c>
      <c r="AG109" s="80" t="s">
        <v>42</v>
      </c>
      <c r="AH109" s="80" t="str">
        <f>IF(AI109="","",AI109*AJ109*AK109/1000/1000/1000)</f>
        <v/>
      </c>
      <c r="AI109" s="80"/>
      <c r="AJ109" s="80"/>
      <c r="AK109" s="80"/>
    </row>
    <row r="110" spans="1:37" ht="20.100000000000001" customHeight="1" outlineLevel="1">
      <c r="A110" s="33">
        <f ca="1">COUNTIF(J$3:OFFSET(J110,-1,0),"Subtotal:")+1</f>
        <v>8</v>
      </c>
      <c r="B110" s="23" t="str">
        <f ca="1">IF(OFFSET(B110,1,0)&lt;&gt;"",OFFSET(B110,1,0),"")</f>
        <v/>
      </c>
      <c r="C110" s="42"/>
      <c r="D110" s="64" t="s">
        <v>97</v>
      </c>
      <c r="E110" s="60" t="str">
        <f>LEFT(F110,3)</f>
        <v>#10</v>
      </c>
      <c r="F110" s="59" t="s">
        <v>249</v>
      </c>
      <c r="G110" s="64" t="s">
        <v>264</v>
      </c>
      <c r="H110" s="64"/>
      <c r="I110" s="24">
        <f>IF(J110&lt;&gt;"",J110 - ('Shipping Program'!$D$9 + 'Shipping Program'!$F$9 + 'Shipping Program'!$H$9), "")</f>
        <v>46505</v>
      </c>
      <c r="J110" s="43">
        <v>46552</v>
      </c>
      <c r="K110" s="44" t="str">
        <f>IF(SUM(M110:N110)=0,"",SUM(M110:N110))</f>
        <v/>
      </c>
      <c r="L110" s="44"/>
      <c r="M110" s="44"/>
      <c r="N110" s="54"/>
      <c r="O110" s="25">
        <f>VLOOKUP(I110,'Shipping Program'!$A$32:$B$78,2)-1</f>
        <v>8</v>
      </c>
      <c r="P110" s="44">
        <f>O110</f>
        <v>8</v>
      </c>
      <c r="Q110" s="24">
        <f>R110-7</f>
        <v>46489</v>
      </c>
      <c r="R110" s="24">
        <f>IFERROR(_xlfn.XLOOKUP(P110,'Shipping Program'!$B$32:$B$78,'Shipping Program'!$A$32:$A$78),IFERROR(INDEX(_V7Batches!$B:$B,MATCH(P110&amp;"",_V7Batches!$A:$A,0)),""))</f>
        <v>46496</v>
      </c>
      <c r="S110" s="24">
        <f>IFERROR(_xlfn.XLOOKUP(P110,'Shipping Program'!$B$32:$B$78,'Shipping Program'!$E$32:$E$78),IFERROR(INDEX(_V7Batches!$D:$D,MATCH(P110&amp;"",_V7Batches!$A:$A,0)),""))</f>
        <v>46526</v>
      </c>
      <c r="T110" s="24">
        <f>S110+'Shipping Program'!$H$9</f>
        <v>46533</v>
      </c>
      <c r="U110" s="25">
        <f>IFERROR(IF(J110*T110&lt;&gt;0,J110-T110,""),"")</f>
        <v>19</v>
      </c>
      <c r="V110" s="25" t="str">
        <f>IF(U110&lt;&gt;"",IF(U110&gt;28,"Too early",IF(U110&lt;14,"Too late","")),"")</f>
        <v/>
      </c>
      <c r="W110" s="35"/>
      <c r="X110" s="26">
        <f ca="1">IF(OFFSET(X110,1,0)="",R110,OFFSET(X110,1,0))</f>
        <v>46496</v>
      </c>
      <c r="Y110" s="26">
        <f ca="1">IF(OFFSET(Y110,1,0)="",X110+'Shipping Program'!$F$9,OFFSET(Y110,1,0))</f>
        <v>46526</v>
      </c>
      <c r="Z110" s="26">
        <f ca="1">IF(OFFSET(Z110,1,0)="",Y110+'Shipping Program'!$H$9,OFFSET(Z110,1,0))</f>
        <v>46533</v>
      </c>
      <c r="AA110" s="27">
        <f ca="1">IFERROR(IF(J110*Z110&lt;&gt;0,J110-Z110,""),"")</f>
        <v>19</v>
      </c>
      <c r="AB110" s="27" t="str">
        <f ca="1">IF(AA110&lt;&gt;"",IF(AA110&gt;28,"Too early",IF(AA110&lt;14,"Too late","")),"")</f>
        <v/>
      </c>
      <c r="AC110" s="46"/>
      <c r="AE110" s="80" t="s">
        <v>43</v>
      </c>
      <c r="AF110" s="80" t="s">
        <v>41</v>
      </c>
      <c r="AG110" s="80" t="s">
        <v>42</v>
      </c>
      <c r="AH110" s="80" t="str">
        <f>IF(AI110="","",AI110*AJ110*AK110/1000/1000/1000)</f>
        <v/>
      </c>
      <c r="AI110" s="80"/>
      <c r="AJ110" s="80"/>
      <c r="AK110" s="80"/>
    </row>
    <row r="111" spans="1:37" ht="20.100000000000001" customHeight="1" outlineLevel="1">
      <c r="A111" s="33">
        <f ca="1">COUNTIF(J$3:OFFSET(J111,-1,0),"Subtotal:")+1</f>
        <v>8</v>
      </c>
      <c r="B111" s="23" t="str">
        <f ca="1">IF(OFFSET(B111,1,0)&lt;&gt;"",OFFSET(B111,1,0),"")</f>
        <v/>
      </c>
      <c r="C111" s="42"/>
      <c r="D111" s="64" t="s">
        <v>97</v>
      </c>
      <c r="E111" s="60" t="str">
        <f>LEFT(F111,3)</f>
        <v>#10</v>
      </c>
      <c r="F111" s="59" t="s">
        <v>249</v>
      </c>
      <c r="G111" s="64" t="s">
        <v>279</v>
      </c>
      <c r="H111" s="64"/>
      <c r="I111" s="24">
        <f>IF(J111&lt;&gt;"",J111 - ('Shipping Program'!$D$9 + 'Shipping Program'!$F$9 + 'Shipping Program'!$H$9), "")</f>
        <v>46505</v>
      </c>
      <c r="J111" s="43">
        <v>46552</v>
      </c>
      <c r="K111" s="44" t="str">
        <f>IF(SUM(M111:N111)=0,"",SUM(M111:N111))</f>
        <v/>
      </c>
      <c r="L111" s="44"/>
      <c r="M111" s="44"/>
      <c r="N111" s="54"/>
      <c r="O111" s="25">
        <f>VLOOKUP(I111,'Shipping Program'!$A$32:$B$78,2)-1</f>
        <v>8</v>
      </c>
      <c r="P111" s="44">
        <f>O111</f>
        <v>8</v>
      </c>
      <c r="Q111" s="24">
        <f>R111-7</f>
        <v>46489</v>
      </c>
      <c r="R111" s="24">
        <f>IFERROR(_xlfn.XLOOKUP(P111,'Shipping Program'!$B$32:$B$78,'Shipping Program'!$A$32:$A$78),IFERROR(INDEX(_V7Batches!$B:$B,MATCH(P111&amp;"",_V7Batches!$A:$A,0)),""))</f>
        <v>46496</v>
      </c>
      <c r="S111" s="24">
        <f>IFERROR(_xlfn.XLOOKUP(P111,'Shipping Program'!$B$32:$B$78,'Shipping Program'!$E$32:$E$78),IFERROR(INDEX(_V7Batches!$D:$D,MATCH(P111&amp;"",_V7Batches!$A:$A,0)),""))</f>
        <v>46526</v>
      </c>
      <c r="T111" s="24">
        <f>S111+'Shipping Program'!$H$9</f>
        <v>46533</v>
      </c>
      <c r="U111" s="25">
        <f>IFERROR(IF(J111*T111&lt;&gt;0,J111-T111,""),"")</f>
        <v>19</v>
      </c>
      <c r="V111" s="25" t="str">
        <f>IF(U111&lt;&gt;"",IF(U111&gt;28,"Too early",IF(U111&lt;14,"Too late","")),"")</f>
        <v/>
      </c>
      <c r="W111" s="35"/>
      <c r="X111" s="26">
        <f ca="1">IF(OFFSET(X111,1,0)="",R111,OFFSET(X111,1,0))</f>
        <v>46496</v>
      </c>
      <c r="Y111" s="26">
        <f ca="1">IF(OFFSET(Y111,1,0)="",X111+'Shipping Program'!$F$9,OFFSET(Y111,1,0))</f>
        <v>46526</v>
      </c>
      <c r="Z111" s="26">
        <f ca="1">IF(OFFSET(Z111,1,0)="",Y111+'Shipping Program'!$H$9,OFFSET(Z111,1,0))</f>
        <v>46533</v>
      </c>
      <c r="AA111" s="27">
        <f ca="1">IFERROR(IF(J111*Z111&lt;&gt;0,J111-Z111,""),"")</f>
        <v>19</v>
      </c>
      <c r="AB111" s="27" t="str">
        <f ca="1">IF(AA111&lt;&gt;"",IF(AA111&gt;28,"Too early",IF(AA111&lt;14,"Too late","")),"")</f>
        <v/>
      </c>
      <c r="AC111" s="46"/>
      <c r="AE111" s="80" t="s">
        <v>43</v>
      </c>
      <c r="AF111" s="80" t="s">
        <v>41</v>
      </c>
      <c r="AG111" s="80" t="s">
        <v>42</v>
      </c>
      <c r="AH111" s="80" t="str">
        <f>IF(AI111="","",AI111*AJ111*AK111/1000/1000/1000)</f>
        <v/>
      </c>
      <c r="AI111" s="80"/>
      <c r="AJ111" s="80"/>
      <c r="AK111" s="80"/>
    </row>
    <row r="112" spans="1:37" ht="20.100000000000001" customHeight="1" outlineLevel="1">
      <c r="A112" s="33">
        <f ca="1">COUNTIF(J$3:OFFSET(J112,-1,0),"Subtotal:")+1</f>
        <v>8</v>
      </c>
      <c r="B112" s="23" t="str">
        <f ca="1">IF(OFFSET(B112,1,0)&lt;&gt;"",OFFSET(B112,1,0),"")</f>
        <v/>
      </c>
      <c r="C112" s="43"/>
      <c r="D112" s="64" t="s">
        <v>97</v>
      </c>
      <c r="E112" s="60" t="str">
        <f>LEFT(F112,3)</f>
        <v>#10</v>
      </c>
      <c r="F112" s="59" t="s">
        <v>249</v>
      </c>
      <c r="G112" s="64" t="s">
        <v>280</v>
      </c>
      <c r="H112" s="64"/>
      <c r="I112" s="24">
        <f>IF(J112&lt;&gt;"",J112 - ('Shipping Program'!$D$9 + 'Shipping Program'!$F$9 + 'Shipping Program'!$H$9), "")</f>
        <v>46505</v>
      </c>
      <c r="J112" s="43">
        <v>46552</v>
      </c>
      <c r="K112" s="44" t="str">
        <f>IF(SUM(M112:N112)=0,"",SUM(M112:N112))</f>
        <v/>
      </c>
      <c r="L112" s="44"/>
      <c r="M112" s="44"/>
      <c r="N112" s="54"/>
      <c r="O112" s="25">
        <f>VLOOKUP(I112,'Shipping Program'!$A$32:$B$78,2)-1</f>
        <v>8</v>
      </c>
      <c r="P112" s="44">
        <f>O112</f>
        <v>8</v>
      </c>
      <c r="Q112" s="24">
        <f>R112-7</f>
        <v>46489</v>
      </c>
      <c r="R112" s="24">
        <f>IFERROR(_xlfn.XLOOKUP(P112,'Shipping Program'!$B$32:$B$78,'Shipping Program'!$A$32:$A$78),IFERROR(INDEX(_V7Batches!$B:$B,MATCH(P112&amp;"",_V7Batches!$A:$A,0)),""))</f>
        <v>46496</v>
      </c>
      <c r="S112" s="24">
        <f>IFERROR(_xlfn.XLOOKUP(P112,'Shipping Program'!$B$32:$B$78,'Shipping Program'!$E$32:$E$78),IFERROR(INDEX(_V7Batches!$D:$D,MATCH(P112&amp;"",_V7Batches!$A:$A,0)),""))</f>
        <v>46526</v>
      </c>
      <c r="T112" s="24">
        <f>S112+'Shipping Program'!$H$9</f>
        <v>46533</v>
      </c>
      <c r="U112" s="25">
        <f>IFERROR(IF(J112*T112&lt;&gt;0,J112-T112,""),"")</f>
        <v>19</v>
      </c>
      <c r="V112" s="25" t="str">
        <f>IF(U112&lt;&gt;"",IF(U112&gt;28,"Too early",IF(U112&lt;14,"Too late","")),"")</f>
        <v/>
      </c>
      <c r="W112" s="35"/>
      <c r="X112" s="26">
        <f ca="1">IF(OFFSET(X112,1,0)="",R112,OFFSET(X112,1,0))</f>
        <v>46496</v>
      </c>
      <c r="Y112" s="26">
        <f ca="1">IF(OFFSET(Y112,1,0)="",X112+'Shipping Program'!$F$9,OFFSET(Y112,1,0))</f>
        <v>46526</v>
      </c>
      <c r="Z112" s="26">
        <f ca="1">IF(OFFSET(Z112,1,0)="",Y112+'Shipping Program'!$H$9,OFFSET(Z112,1,0))</f>
        <v>46533</v>
      </c>
      <c r="AA112" s="27">
        <f ca="1">IFERROR(IF(J112*Z112&lt;&gt;0,J112-Z112,""),"")</f>
        <v>19</v>
      </c>
      <c r="AB112" s="27" t="str">
        <f ca="1">IF(AA112&lt;&gt;"",IF(AA112&gt;28,"Too early",IF(AA112&lt;14,"Too late","")),"")</f>
        <v/>
      </c>
      <c r="AC112" s="46"/>
      <c r="AE112" s="80" t="s">
        <v>43</v>
      </c>
      <c r="AF112" s="80" t="s">
        <v>41</v>
      </c>
      <c r="AG112" s="80" t="s">
        <v>42</v>
      </c>
      <c r="AH112" s="80" t="str">
        <f>IF(AI112="","",AI112*AJ112*AK112/1000/1000/1000)</f>
        <v/>
      </c>
      <c r="AI112" s="80"/>
      <c r="AJ112" s="80"/>
      <c r="AK112" s="80"/>
    </row>
    <row r="113" spans="1:37" ht="20.100000000000001" customHeight="1" outlineLevel="1">
      <c r="A113" s="33">
        <f ca="1">COUNTIF(J$3:OFFSET(J113,-1,0),"Subtotal:")+1</f>
        <v>8</v>
      </c>
      <c r="B113" s="23" t="str">
        <f ca="1">IF(OFFSET(B113,1,0)&lt;&gt;"",OFFSET(B113,1,0),"")</f>
        <v/>
      </c>
      <c r="C113" s="42"/>
      <c r="D113" s="64" t="s">
        <v>97</v>
      </c>
      <c r="E113" s="60" t="str">
        <f>LEFT(F113,3)</f>
        <v>#10</v>
      </c>
      <c r="F113" s="59" t="s">
        <v>249</v>
      </c>
      <c r="G113" s="64" t="s">
        <v>267</v>
      </c>
      <c r="H113" s="64"/>
      <c r="I113" s="24">
        <f>IF(J113&lt;&gt;"",J113 - ('Shipping Program'!$D$9 + 'Shipping Program'!$F$9 + 'Shipping Program'!$H$9), "")</f>
        <v>46505</v>
      </c>
      <c r="J113" s="43">
        <v>46552</v>
      </c>
      <c r="K113" s="44" t="str">
        <f>IF(SUM(M113:N113)=0,"",SUM(M113:N113))</f>
        <v/>
      </c>
      <c r="L113" s="44"/>
      <c r="M113" s="44"/>
      <c r="N113" s="54"/>
      <c r="O113" s="25">
        <f>VLOOKUP(I113,'Shipping Program'!$A$32:$B$78,2)-1</f>
        <v>8</v>
      </c>
      <c r="P113" s="44">
        <f>O113</f>
        <v>8</v>
      </c>
      <c r="Q113" s="24">
        <f>R113-7</f>
        <v>46489</v>
      </c>
      <c r="R113" s="24">
        <f>IFERROR(_xlfn.XLOOKUP(P113,'Shipping Program'!$B$32:$B$78,'Shipping Program'!$A$32:$A$78),IFERROR(INDEX(_V7Batches!$B:$B,MATCH(P113&amp;"",_V7Batches!$A:$A,0)),""))</f>
        <v>46496</v>
      </c>
      <c r="S113" s="24">
        <f>IFERROR(_xlfn.XLOOKUP(P113,'Shipping Program'!$B$32:$B$78,'Shipping Program'!$E$32:$E$78),IFERROR(INDEX(_V7Batches!$D:$D,MATCH(P113&amp;"",_V7Batches!$A:$A,0)),""))</f>
        <v>46526</v>
      </c>
      <c r="T113" s="24">
        <f>S113+'Shipping Program'!$H$9</f>
        <v>46533</v>
      </c>
      <c r="U113" s="25">
        <f>IFERROR(IF(J113*T113&lt;&gt;0,J113-T113,""),"")</f>
        <v>19</v>
      </c>
      <c r="V113" s="25" t="str">
        <f>IF(U113&lt;&gt;"",IF(U113&gt;28,"Too early",IF(U113&lt;14,"Too late","")),"")</f>
        <v/>
      </c>
      <c r="W113" s="35"/>
      <c r="X113" s="26">
        <f ca="1">IF(OFFSET(X113,1,0)="",R113,OFFSET(X113,1,0))</f>
        <v>46496</v>
      </c>
      <c r="Y113" s="26">
        <f ca="1">IF(OFFSET(Y113,1,0)="",X113+'Shipping Program'!$F$9,OFFSET(Y113,1,0))</f>
        <v>46526</v>
      </c>
      <c r="Z113" s="26">
        <f ca="1">IF(OFFSET(Z113,1,0)="",Y113+'Shipping Program'!$H$9,OFFSET(Z113,1,0))</f>
        <v>46533</v>
      </c>
      <c r="AA113" s="27">
        <f ca="1">IFERROR(IF(J113*Z113&lt;&gt;0,J113-Z113,""),"")</f>
        <v>19</v>
      </c>
      <c r="AB113" s="27" t="str">
        <f ca="1">IF(AA113&lt;&gt;"",IF(AA113&gt;28,"Too early",IF(AA113&lt;14,"Too late","")),"")</f>
        <v/>
      </c>
      <c r="AC113" s="46"/>
      <c r="AE113" s="80" t="s">
        <v>43</v>
      </c>
      <c r="AF113" s="80" t="s">
        <v>41</v>
      </c>
      <c r="AG113" s="80" t="s">
        <v>42</v>
      </c>
      <c r="AH113" s="80" t="str">
        <f>IF(AI113="","",AI113*AJ113*AK113/1000/1000/1000)</f>
        <v/>
      </c>
      <c r="AI113" s="80"/>
      <c r="AJ113" s="80"/>
      <c r="AK113" s="80"/>
    </row>
    <row r="114" spans="1:37" ht="20.100000000000001" customHeight="1" outlineLevel="1">
      <c r="A114" s="33">
        <f ca="1">COUNTIF(J$3:OFFSET(J114,-1,0),"Subtotal:")+1</f>
        <v>8</v>
      </c>
      <c r="B114" s="23" t="str">
        <f ca="1">IF(OFFSET(B114,1,0)&lt;&gt;"",OFFSET(B114,1,0),"")</f>
        <v/>
      </c>
      <c r="C114" s="42"/>
      <c r="D114" s="64" t="s">
        <v>97</v>
      </c>
      <c r="E114" s="60" t="str">
        <f>LEFT(F114,3)</f>
        <v>#10</v>
      </c>
      <c r="F114" s="59" t="s">
        <v>251</v>
      </c>
      <c r="G114" s="64" t="s">
        <v>285</v>
      </c>
      <c r="H114" s="64"/>
      <c r="I114" s="24">
        <f>IF(J114&lt;&gt;"",J114 - ('Shipping Program'!$D$9 + 'Shipping Program'!$F$9 + 'Shipping Program'!$H$9), "")</f>
        <v>46504</v>
      </c>
      <c r="J114" s="43">
        <v>46551</v>
      </c>
      <c r="K114" s="44" t="str">
        <f>IF(SUM(M114:N114)=0,"",SUM(M114:N114))</f>
        <v/>
      </c>
      <c r="L114" s="44"/>
      <c r="M114" s="44"/>
      <c r="N114" s="54"/>
      <c r="O114" s="25">
        <f>VLOOKUP(I114,'Shipping Program'!$A$32:$B$78,2)-1</f>
        <v>8</v>
      </c>
      <c r="P114" s="44">
        <f>O114</f>
        <v>8</v>
      </c>
      <c r="Q114" s="24">
        <f>R114-7</f>
        <v>46489</v>
      </c>
      <c r="R114" s="24">
        <f>IFERROR(_xlfn.XLOOKUP(P114,'Shipping Program'!$B$32:$B$78,'Shipping Program'!$A$32:$A$78),IFERROR(INDEX(_V7Batches!$B:$B,MATCH(P114&amp;"",_V7Batches!$A:$A,0)),""))</f>
        <v>46496</v>
      </c>
      <c r="S114" s="24">
        <f>IFERROR(_xlfn.XLOOKUP(P114,'Shipping Program'!$B$32:$B$78,'Shipping Program'!$E$32:$E$78),IFERROR(INDEX(_V7Batches!$D:$D,MATCH(P114&amp;"",_V7Batches!$A:$A,0)),""))</f>
        <v>46526</v>
      </c>
      <c r="T114" s="24">
        <f>S114+'Shipping Program'!$H$9</f>
        <v>46533</v>
      </c>
      <c r="U114" s="25">
        <f>IFERROR(IF(J114*T114&lt;&gt;0,J114-T114,""),"")</f>
        <v>18</v>
      </c>
      <c r="V114" s="25" t="str">
        <f>IF(U114&lt;&gt;"",IF(U114&gt;28,"Too early",IF(U114&lt;14,"Too late","")),"")</f>
        <v/>
      </c>
      <c r="W114" s="35"/>
      <c r="X114" s="26">
        <f ca="1">IF(OFFSET(X114,1,0)="",R114,OFFSET(X114,1,0))</f>
        <v>46496</v>
      </c>
      <c r="Y114" s="26">
        <f ca="1">IF(OFFSET(Y114,1,0)="",X114+'Shipping Program'!$F$9,OFFSET(Y114,1,0))</f>
        <v>46526</v>
      </c>
      <c r="Z114" s="26">
        <f ca="1">IF(OFFSET(Z114,1,0)="",Y114+'Shipping Program'!$H$9,OFFSET(Z114,1,0))</f>
        <v>46533</v>
      </c>
      <c r="AA114" s="27">
        <f ca="1">IFERROR(IF(J114*Z114&lt;&gt;0,J114-Z114,""),"")</f>
        <v>18</v>
      </c>
      <c r="AB114" s="27" t="str">
        <f ca="1">IF(AA114&lt;&gt;"",IF(AA114&gt;28,"Too early",IF(AA114&lt;14,"Too late","")),"")</f>
        <v/>
      </c>
      <c r="AC114" s="46"/>
      <c r="AE114" s="80" t="s">
        <v>43</v>
      </c>
      <c r="AF114" s="80" t="s">
        <v>41</v>
      </c>
      <c r="AG114" s="80" t="s">
        <v>42</v>
      </c>
      <c r="AH114" s="80" t="str">
        <f>IF(AI114="","",AI114*AJ114*AK114/1000/1000/1000)</f>
        <v/>
      </c>
      <c r="AI114" s="80"/>
      <c r="AJ114" s="80"/>
      <c r="AK114" s="80"/>
    </row>
    <row r="115" spans="1:37" ht="20.100000000000001" customHeight="1" outlineLevel="1">
      <c r="A115" s="33">
        <f ca="1">COUNTIF(J$3:OFFSET(J115,-1,0),"Subtotal:")+1</f>
        <v>8</v>
      </c>
      <c r="B115" s="23" t="str">
        <f ca="1">IF(OFFSET(B115,1,0)&lt;&gt;"",OFFSET(B115,1,0),"")</f>
        <v/>
      </c>
      <c r="C115" s="42"/>
      <c r="D115" s="64" t="s">
        <v>97</v>
      </c>
      <c r="E115" s="60" t="str">
        <f>LEFT(F115,3)</f>
        <v>#10</v>
      </c>
      <c r="F115" s="59" t="s">
        <v>251</v>
      </c>
      <c r="G115" s="64" t="s">
        <v>284</v>
      </c>
      <c r="H115" s="64"/>
      <c r="I115" s="24">
        <f>IF(J115&lt;&gt;"",J115 - ('Shipping Program'!$D$9 + 'Shipping Program'!$F$9 + 'Shipping Program'!$H$9), "")</f>
        <v>46504</v>
      </c>
      <c r="J115" s="43">
        <v>46551</v>
      </c>
      <c r="K115" s="44" t="str">
        <f>IF(SUM(M115:N115)=0,"",SUM(M115:N115))</f>
        <v/>
      </c>
      <c r="L115" s="44"/>
      <c r="M115" s="44"/>
      <c r="N115" s="54"/>
      <c r="O115" s="25">
        <f>VLOOKUP(I115,'Shipping Program'!$A$32:$B$78,2)-1</f>
        <v>8</v>
      </c>
      <c r="P115" s="44">
        <f>O115</f>
        <v>8</v>
      </c>
      <c r="Q115" s="24">
        <f>R115-7</f>
        <v>46489</v>
      </c>
      <c r="R115" s="24">
        <f>IFERROR(_xlfn.XLOOKUP(P115,'Shipping Program'!$B$32:$B$78,'Shipping Program'!$A$32:$A$78),IFERROR(INDEX(_V7Batches!$B:$B,MATCH(P115&amp;"",_V7Batches!$A:$A,0)),""))</f>
        <v>46496</v>
      </c>
      <c r="S115" s="24">
        <f>IFERROR(_xlfn.XLOOKUP(P115,'Shipping Program'!$B$32:$B$78,'Shipping Program'!$E$32:$E$78),IFERROR(INDEX(_V7Batches!$D:$D,MATCH(P115&amp;"",_V7Batches!$A:$A,0)),""))</f>
        <v>46526</v>
      </c>
      <c r="T115" s="24">
        <f>S115+'Shipping Program'!$H$9</f>
        <v>46533</v>
      </c>
      <c r="U115" s="25">
        <f>IFERROR(IF(J115*T115&lt;&gt;0,J115-T115,""),"")</f>
        <v>18</v>
      </c>
      <c r="V115" s="25" t="str">
        <f>IF(U115&lt;&gt;"",IF(U115&gt;28,"Too early",IF(U115&lt;14,"Too late","")),"")</f>
        <v/>
      </c>
      <c r="W115" s="35"/>
      <c r="X115" s="26">
        <f ca="1">IF(OFFSET(X115,1,0)="",R115,OFFSET(X115,1,0))</f>
        <v>46496</v>
      </c>
      <c r="Y115" s="26">
        <f ca="1">IF(OFFSET(Y115,1,0)="",X115+'Shipping Program'!$F$9,OFFSET(Y115,1,0))</f>
        <v>46526</v>
      </c>
      <c r="Z115" s="26">
        <f ca="1">IF(OFFSET(Z115,1,0)="",Y115+'Shipping Program'!$H$9,OFFSET(Z115,1,0))</f>
        <v>46533</v>
      </c>
      <c r="AA115" s="27">
        <f ca="1">IFERROR(IF(J115*Z115&lt;&gt;0,J115-Z115,""),"")</f>
        <v>18</v>
      </c>
      <c r="AB115" s="27" t="str">
        <f ca="1">IF(AA115&lt;&gt;"",IF(AA115&gt;28,"Too early",IF(AA115&lt;14,"Too late","")),"")</f>
        <v/>
      </c>
      <c r="AC115" s="46"/>
      <c r="AE115" s="80" t="s">
        <v>43</v>
      </c>
      <c r="AF115" s="80" t="s">
        <v>41</v>
      </c>
      <c r="AG115" s="80" t="s">
        <v>42</v>
      </c>
      <c r="AH115" s="80" t="str">
        <f>IF(AI115="","",AI115*AJ115*AK115/1000/1000/1000)</f>
        <v/>
      </c>
      <c r="AI115" s="80"/>
      <c r="AJ115" s="80"/>
      <c r="AK115" s="80"/>
    </row>
    <row r="116" spans="1:37" ht="20.100000000000001" customHeight="1" outlineLevel="1">
      <c r="A116" s="33">
        <f ca="1">COUNTIF(J$3:OFFSET(J116,-1,0),"Subtotal:")+1</f>
        <v>8</v>
      </c>
      <c r="B116" s="23" t="str">
        <f ca="1">IF(OFFSET(B116,1,0)&lt;&gt;"",OFFSET(B116,1,0),"")</f>
        <v/>
      </c>
      <c r="C116" s="42"/>
      <c r="D116" s="64" t="s">
        <v>97</v>
      </c>
      <c r="E116" s="60" t="str">
        <f>LEFT(F116,3)</f>
        <v>#10</v>
      </c>
      <c r="F116" s="59" t="s">
        <v>252</v>
      </c>
      <c r="G116" s="64" t="s">
        <v>278</v>
      </c>
      <c r="H116" s="64"/>
      <c r="I116" s="24">
        <f>IF(J116&lt;&gt;"",J116 - ('Shipping Program'!$D$9 + 'Shipping Program'!$F$9 + 'Shipping Program'!$H$9), "")</f>
        <v>46505</v>
      </c>
      <c r="J116" s="43">
        <v>46552</v>
      </c>
      <c r="K116" s="44" t="str">
        <f>IF(SUM(M116:N116)=0,"",SUM(M116:N116))</f>
        <v/>
      </c>
      <c r="L116" s="44"/>
      <c r="M116" s="44"/>
      <c r="N116" s="54"/>
      <c r="O116" s="25">
        <f>VLOOKUP(I116,'Shipping Program'!$A$32:$B$78,2)-1</f>
        <v>8</v>
      </c>
      <c r="P116" s="44">
        <f>O116</f>
        <v>8</v>
      </c>
      <c r="Q116" s="24">
        <f>R116-7</f>
        <v>46489</v>
      </c>
      <c r="R116" s="24">
        <f>IFERROR(_xlfn.XLOOKUP(P116,'Shipping Program'!$B$32:$B$78,'Shipping Program'!$A$32:$A$78),IFERROR(INDEX(_V7Batches!$B:$B,MATCH(P116&amp;"",_V7Batches!$A:$A,0)),""))</f>
        <v>46496</v>
      </c>
      <c r="S116" s="24">
        <f>IFERROR(_xlfn.XLOOKUP(P116,'Shipping Program'!$B$32:$B$78,'Shipping Program'!$E$32:$E$78),IFERROR(INDEX(_V7Batches!$D:$D,MATCH(P116&amp;"",_V7Batches!$A:$A,0)),""))</f>
        <v>46526</v>
      </c>
      <c r="T116" s="24">
        <f>S116+'Shipping Program'!$H$9</f>
        <v>46533</v>
      </c>
      <c r="U116" s="25">
        <f>IFERROR(IF(J116*T116&lt;&gt;0,J116-T116,""),"")</f>
        <v>19</v>
      </c>
      <c r="V116" s="25" t="str">
        <f>IF(U116&lt;&gt;"",IF(U116&gt;28,"Too early",IF(U116&lt;14,"Too late","")),"")</f>
        <v/>
      </c>
      <c r="W116" s="35"/>
      <c r="X116" s="26">
        <f ca="1">IF(OFFSET(X116,1,0)="",R116,OFFSET(X116,1,0))</f>
        <v>46496</v>
      </c>
      <c r="Y116" s="26">
        <f ca="1">IF(OFFSET(Y116,1,0)="",X116+'Shipping Program'!$F$9,OFFSET(Y116,1,0))</f>
        <v>46526</v>
      </c>
      <c r="Z116" s="26">
        <f ca="1">IF(OFFSET(Z116,1,0)="",Y116+'Shipping Program'!$H$9,OFFSET(Z116,1,0))</f>
        <v>46533</v>
      </c>
      <c r="AA116" s="27">
        <f ca="1">IFERROR(IF(J116*Z116&lt;&gt;0,J116-Z116,""),"")</f>
        <v>19</v>
      </c>
      <c r="AB116" s="27" t="str">
        <f ca="1">IF(AA116&lt;&gt;"",IF(AA116&gt;28,"Too early",IF(AA116&lt;14,"Too late","")),"")</f>
        <v/>
      </c>
      <c r="AC116" s="46"/>
      <c r="AE116" s="80" t="s">
        <v>43</v>
      </c>
      <c r="AF116" s="80" t="s">
        <v>41</v>
      </c>
      <c r="AG116" s="80" t="s">
        <v>42</v>
      </c>
      <c r="AH116" s="80" t="str">
        <f>IF(AI116="","",AI116*AJ116*AK116/1000/1000/1000)</f>
        <v/>
      </c>
      <c r="AI116" s="80"/>
      <c r="AJ116" s="80"/>
      <c r="AK116" s="80"/>
    </row>
    <row r="117" spans="1:37" ht="20.100000000000001" customHeight="1" outlineLevel="1">
      <c r="A117" s="33">
        <f ca="1">COUNTIF(J$3:OFFSET(J117,-1,0),"Subtotal:")+1</f>
        <v>8</v>
      </c>
      <c r="B117" s="23" t="str">
        <f ca="1">IF(OFFSET(B117,1,0)&lt;&gt;"",OFFSET(B117,1,0),"")</f>
        <v/>
      </c>
      <c r="C117" s="42"/>
      <c r="D117" s="64" t="s">
        <v>97</v>
      </c>
      <c r="E117" s="60" t="str">
        <f>LEFT(F117,3)</f>
        <v>#10</v>
      </c>
      <c r="F117" s="59" t="s">
        <v>252</v>
      </c>
      <c r="G117" s="64" t="s">
        <v>264</v>
      </c>
      <c r="H117" s="64"/>
      <c r="I117" s="24">
        <f>IF(J117&lt;&gt;"",J117 - ('Shipping Program'!$D$9 + 'Shipping Program'!$F$9 + 'Shipping Program'!$H$9), "")</f>
        <v>46505</v>
      </c>
      <c r="J117" s="43">
        <v>46552</v>
      </c>
      <c r="K117" s="44" t="str">
        <f>IF(SUM(M117:N117)=0,"",SUM(M117:N117))</f>
        <v/>
      </c>
      <c r="L117" s="44"/>
      <c r="M117" s="44"/>
      <c r="N117" s="54"/>
      <c r="O117" s="25">
        <f>VLOOKUP(I117,'Shipping Program'!$A$32:$B$78,2)-1</f>
        <v>8</v>
      </c>
      <c r="P117" s="44">
        <f>O117</f>
        <v>8</v>
      </c>
      <c r="Q117" s="24">
        <f>R117-7</f>
        <v>46489</v>
      </c>
      <c r="R117" s="24">
        <f>IFERROR(_xlfn.XLOOKUP(P117,'Shipping Program'!$B$32:$B$78,'Shipping Program'!$A$32:$A$78),IFERROR(INDEX(_V7Batches!$B:$B,MATCH(P117&amp;"",_V7Batches!$A:$A,0)),""))</f>
        <v>46496</v>
      </c>
      <c r="S117" s="24">
        <f>IFERROR(_xlfn.XLOOKUP(P117,'Shipping Program'!$B$32:$B$78,'Shipping Program'!$E$32:$E$78),IFERROR(INDEX(_V7Batches!$D:$D,MATCH(P117&amp;"",_V7Batches!$A:$A,0)),""))</f>
        <v>46526</v>
      </c>
      <c r="T117" s="24">
        <f>S117+'Shipping Program'!$H$9</f>
        <v>46533</v>
      </c>
      <c r="U117" s="25">
        <f>IFERROR(IF(J117*T117&lt;&gt;0,J117-T117,""),"")</f>
        <v>19</v>
      </c>
      <c r="V117" s="25" t="str">
        <f>IF(U117&lt;&gt;"",IF(U117&gt;28,"Too early",IF(U117&lt;14,"Too late","")),"")</f>
        <v/>
      </c>
      <c r="W117" s="35"/>
      <c r="X117" s="26">
        <f ca="1">IF(OFFSET(X117,1,0)="",R117,OFFSET(X117,1,0))</f>
        <v>46496</v>
      </c>
      <c r="Y117" s="26">
        <f ca="1">IF(OFFSET(Y117,1,0)="",X117+'Shipping Program'!$F$9,OFFSET(Y117,1,0))</f>
        <v>46526</v>
      </c>
      <c r="Z117" s="26">
        <f ca="1">IF(OFFSET(Z117,1,0)="",Y117+'Shipping Program'!$H$9,OFFSET(Z117,1,0))</f>
        <v>46533</v>
      </c>
      <c r="AA117" s="27">
        <f ca="1">IFERROR(IF(J117*Z117&lt;&gt;0,J117-Z117,""),"")</f>
        <v>19</v>
      </c>
      <c r="AB117" s="27" t="str">
        <f ca="1">IF(AA117&lt;&gt;"",IF(AA117&gt;28,"Too early",IF(AA117&lt;14,"Too late","")),"")</f>
        <v/>
      </c>
      <c r="AC117" s="46"/>
      <c r="AE117" s="80" t="s">
        <v>43</v>
      </c>
      <c r="AF117" s="80" t="s">
        <v>41</v>
      </c>
      <c r="AG117" s="80" t="s">
        <v>42</v>
      </c>
      <c r="AH117" s="80" t="str">
        <f>IF(AI117="","",AI117*AJ117*AK117/1000/1000/1000)</f>
        <v/>
      </c>
      <c r="AI117" s="80"/>
      <c r="AJ117" s="80"/>
      <c r="AK117" s="80"/>
    </row>
    <row r="118" spans="1:37" ht="20.100000000000001" customHeight="1" outlineLevel="1">
      <c r="A118" s="33">
        <f ca="1">COUNTIF(J$3:OFFSET(J118,-1,0),"Subtotal:")+1</f>
        <v>8</v>
      </c>
      <c r="B118" s="23" t="str">
        <f ca="1">IF(OFFSET(B118,1,0)&lt;&gt;"",OFFSET(B118,1,0),"")</f>
        <v/>
      </c>
      <c r="C118" s="42"/>
      <c r="D118" s="64" t="s">
        <v>97</v>
      </c>
      <c r="E118" s="60" t="str">
        <f>LEFT(F118,3)</f>
        <v>#10</v>
      </c>
      <c r="F118" s="59" t="s">
        <v>252</v>
      </c>
      <c r="G118" s="64" t="s">
        <v>290</v>
      </c>
      <c r="H118" s="64"/>
      <c r="I118" s="24">
        <f>IF(J118&lt;&gt;"",J118 - ('Shipping Program'!$D$9 + 'Shipping Program'!$F$9 + 'Shipping Program'!$H$9), "")</f>
        <v>46505</v>
      </c>
      <c r="J118" s="43">
        <v>46552</v>
      </c>
      <c r="K118" s="44" t="str">
        <f>IF(SUM(M118:N118)=0,"",SUM(M118:N118))</f>
        <v/>
      </c>
      <c r="L118" s="44"/>
      <c r="M118" s="44"/>
      <c r="N118" s="54"/>
      <c r="O118" s="25">
        <f>VLOOKUP(I118,'Shipping Program'!$A$32:$B$78,2)-1</f>
        <v>8</v>
      </c>
      <c r="P118" s="44">
        <f>O118</f>
        <v>8</v>
      </c>
      <c r="Q118" s="24">
        <f>R118-7</f>
        <v>46489</v>
      </c>
      <c r="R118" s="24">
        <f>IFERROR(_xlfn.XLOOKUP(P118,'Shipping Program'!$B$32:$B$78,'Shipping Program'!$A$32:$A$78),IFERROR(INDEX(_V7Batches!$B:$B,MATCH(P118&amp;"",_V7Batches!$A:$A,0)),""))</f>
        <v>46496</v>
      </c>
      <c r="S118" s="24">
        <f>IFERROR(_xlfn.XLOOKUP(P118,'Shipping Program'!$B$32:$B$78,'Shipping Program'!$E$32:$E$78),IFERROR(INDEX(_V7Batches!$D:$D,MATCH(P118&amp;"",_V7Batches!$A:$A,0)),""))</f>
        <v>46526</v>
      </c>
      <c r="T118" s="24">
        <f>S118+'Shipping Program'!$H$9</f>
        <v>46533</v>
      </c>
      <c r="U118" s="25">
        <f>IFERROR(IF(J118*T118&lt;&gt;0,J118-T118,""),"")</f>
        <v>19</v>
      </c>
      <c r="V118" s="25" t="str">
        <f>IF(U118&lt;&gt;"",IF(U118&gt;28,"Too early",IF(U118&lt;14,"Too late","")),"")</f>
        <v/>
      </c>
      <c r="W118" s="35"/>
      <c r="X118" s="26">
        <f ca="1">IF(OFFSET(X118,1,0)="",R118,OFFSET(X118,1,0))</f>
        <v>46496</v>
      </c>
      <c r="Y118" s="26">
        <f ca="1">IF(OFFSET(Y118,1,0)="",X118+'Shipping Program'!$F$9,OFFSET(Y118,1,0))</f>
        <v>46526</v>
      </c>
      <c r="Z118" s="26">
        <f ca="1">IF(OFFSET(Z118,1,0)="",Y118+'Shipping Program'!$H$9,OFFSET(Z118,1,0))</f>
        <v>46533</v>
      </c>
      <c r="AA118" s="27">
        <f ca="1">IFERROR(IF(J118*Z118&lt;&gt;0,J118-Z118,""),"")</f>
        <v>19</v>
      </c>
      <c r="AB118" s="27" t="str">
        <f ca="1">IF(AA118&lt;&gt;"",IF(AA118&gt;28,"Too early",IF(AA118&lt;14,"Too late","")),"")</f>
        <v/>
      </c>
      <c r="AC118" s="46"/>
      <c r="AE118" s="80" t="s">
        <v>43</v>
      </c>
      <c r="AF118" s="80" t="s">
        <v>41</v>
      </c>
      <c r="AG118" s="80" t="s">
        <v>42</v>
      </c>
      <c r="AH118" s="80" t="str">
        <f>IF(AI118="","",AI118*AJ118*AK118/1000/1000/1000)</f>
        <v/>
      </c>
      <c r="AI118" s="80"/>
      <c r="AJ118" s="80"/>
      <c r="AK118" s="80"/>
    </row>
    <row r="119" spans="1:37" ht="20.100000000000001" customHeight="1" outlineLevel="1">
      <c r="A119" s="33">
        <f ca="1">COUNTIF(J$3:OFFSET(J119,-1,0),"Subtotal:")+1</f>
        <v>8</v>
      </c>
      <c r="B119" s="23" t="str">
        <f ca="1">IF(OFFSET(B119,1,0)&lt;&gt;"",OFFSET(B119,1,0),"")</f>
        <v/>
      </c>
      <c r="C119" s="42"/>
      <c r="D119" s="64" t="s">
        <v>97</v>
      </c>
      <c r="E119" s="60" t="str">
        <f>LEFT(F119,3)</f>
        <v>#10</v>
      </c>
      <c r="F119" s="59" t="s">
        <v>252</v>
      </c>
      <c r="G119" s="64" t="s">
        <v>267</v>
      </c>
      <c r="H119" s="64"/>
      <c r="I119" s="24">
        <f>IF(J119&lt;&gt;"",J119 - ('Shipping Program'!$D$9 + 'Shipping Program'!$F$9 + 'Shipping Program'!$H$9), "")</f>
        <v>46505</v>
      </c>
      <c r="J119" s="43">
        <v>46552</v>
      </c>
      <c r="K119" s="44" t="str">
        <f>IF(SUM(M119:N119)=0,"",SUM(M119:N119))</f>
        <v/>
      </c>
      <c r="L119" s="44"/>
      <c r="M119" s="44"/>
      <c r="N119" s="54"/>
      <c r="O119" s="25">
        <f>VLOOKUP(I119,'Shipping Program'!$A$32:$B$78,2)-1</f>
        <v>8</v>
      </c>
      <c r="P119" s="44">
        <f>O119</f>
        <v>8</v>
      </c>
      <c r="Q119" s="24">
        <f>R119-7</f>
        <v>46489</v>
      </c>
      <c r="R119" s="24">
        <f>IFERROR(_xlfn.XLOOKUP(P119,'Shipping Program'!$B$32:$B$78,'Shipping Program'!$A$32:$A$78),IFERROR(INDEX(_V7Batches!$B:$B,MATCH(P119&amp;"",_V7Batches!$A:$A,0)),""))</f>
        <v>46496</v>
      </c>
      <c r="S119" s="24">
        <f>IFERROR(_xlfn.XLOOKUP(P119,'Shipping Program'!$B$32:$B$78,'Shipping Program'!$E$32:$E$78),IFERROR(INDEX(_V7Batches!$D:$D,MATCH(P119&amp;"",_V7Batches!$A:$A,0)),""))</f>
        <v>46526</v>
      </c>
      <c r="T119" s="24">
        <f>S119+'Shipping Program'!$H$9</f>
        <v>46533</v>
      </c>
      <c r="U119" s="25">
        <f>IFERROR(IF(J119*T119&lt;&gt;0,J119-T119,""),"")</f>
        <v>19</v>
      </c>
      <c r="V119" s="25" t="str">
        <f>IF(U119&lt;&gt;"",IF(U119&gt;28,"Too early",IF(U119&lt;14,"Too late","")),"")</f>
        <v/>
      </c>
      <c r="W119" s="35"/>
      <c r="X119" s="26">
        <f ca="1">IF(OFFSET(X119,1,0)="",R119,OFFSET(X119,1,0))</f>
        <v>46496</v>
      </c>
      <c r="Y119" s="26">
        <f ca="1">IF(OFFSET(Y119,1,0)="",X119+'Shipping Program'!$F$9,OFFSET(Y119,1,0))</f>
        <v>46526</v>
      </c>
      <c r="Z119" s="26">
        <f ca="1">IF(OFFSET(Z119,1,0)="",Y119+'Shipping Program'!$H$9,OFFSET(Z119,1,0))</f>
        <v>46533</v>
      </c>
      <c r="AA119" s="27">
        <f ca="1">IFERROR(IF(J119*Z119&lt;&gt;0,J119-Z119,""),"")</f>
        <v>19</v>
      </c>
      <c r="AB119" s="27" t="str">
        <f ca="1">IF(AA119&lt;&gt;"",IF(AA119&gt;28,"Too early",IF(AA119&lt;14,"Too late","")),"")</f>
        <v/>
      </c>
      <c r="AC119" s="46"/>
      <c r="AE119" s="80" t="s">
        <v>43</v>
      </c>
      <c r="AF119" s="80" t="s">
        <v>41</v>
      </c>
      <c r="AG119" s="80" t="s">
        <v>42</v>
      </c>
      <c r="AH119" s="80" t="str">
        <f>IF(AI119="","",AI119*AJ119*AK119/1000/1000/1000)</f>
        <v/>
      </c>
      <c r="AI119" s="80"/>
      <c r="AJ119" s="80"/>
      <c r="AK119" s="80"/>
    </row>
    <row r="120" spans="1:37" ht="20.100000000000001" customHeight="1" outlineLevel="1">
      <c r="A120" s="33">
        <f ca="1">COUNTIF(J$3:OFFSET(J120,-1,0),"Subtotal:")+1</f>
        <v>8</v>
      </c>
      <c r="B120" s="23" t="str">
        <f ca="1">IF(OFFSET(B120,1,0)&lt;&gt;"",OFFSET(B120,1,0),"")</f>
        <v/>
      </c>
      <c r="C120" s="42"/>
      <c r="D120" s="64" t="s">
        <v>97</v>
      </c>
      <c r="E120" s="60" t="str">
        <f>LEFT(F120,3)</f>
        <v>#10</v>
      </c>
      <c r="F120" s="59" t="s">
        <v>252</v>
      </c>
      <c r="G120" s="64" t="s">
        <v>291</v>
      </c>
      <c r="H120" s="64"/>
      <c r="I120" s="24">
        <f>IF(J120&lt;&gt;"",J120 - ('Shipping Program'!$D$9 + 'Shipping Program'!$F$9 + 'Shipping Program'!$H$9), "")</f>
        <v>46505</v>
      </c>
      <c r="J120" s="43">
        <v>46552</v>
      </c>
      <c r="K120" s="44" t="str">
        <f>IF(SUM(M120:N120)=0,"",SUM(M120:N120))</f>
        <v/>
      </c>
      <c r="L120" s="44"/>
      <c r="M120" s="44"/>
      <c r="N120" s="54"/>
      <c r="O120" s="25">
        <f>VLOOKUP(I120,'Shipping Program'!$A$32:$B$78,2)-1</f>
        <v>8</v>
      </c>
      <c r="P120" s="44">
        <f>O120</f>
        <v>8</v>
      </c>
      <c r="Q120" s="24">
        <f>R120-7</f>
        <v>46489</v>
      </c>
      <c r="R120" s="24">
        <f>IFERROR(_xlfn.XLOOKUP(P120,'Shipping Program'!$B$32:$B$78,'Shipping Program'!$A$32:$A$78),IFERROR(INDEX(_V7Batches!$B:$B,MATCH(P120&amp;"",_V7Batches!$A:$A,0)),""))</f>
        <v>46496</v>
      </c>
      <c r="S120" s="24">
        <f>IFERROR(_xlfn.XLOOKUP(P120,'Shipping Program'!$B$32:$B$78,'Shipping Program'!$E$32:$E$78),IFERROR(INDEX(_V7Batches!$D:$D,MATCH(P120&amp;"",_V7Batches!$A:$A,0)),""))</f>
        <v>46526</v>
      </c>
      <c r="T120" s="24">
        <f>S120+'Shipping Program'!$H$9</f>
        <v>46533</v>
      </c>
      <c r="U120" s="25">
        <f>IFERROR(IF(J120*T120&lt;&gt;0,J120-T120,""),"")</f>
        <v>19</v>
      </c>
      <c r="V120" s="25" t="str">
        <f>IF(U120&lt;&gt;"",IF(U120&gt;28,"Too early",IF(U120&lt;14,"Too late","")),"")</f>
        <v/>
      </c>
      <c r="W120" s="35"/>
      <c r="X120" s="26">
        <f ca="1">IF(OFFSET(X120,1,0)="",R120,OFFSET(X120,1,0))</f>
        <v>46496</v>
      </c>
      <c r="Y120" s="26">
        <f ca="1">IF(OFFSET(Y120,1,0)="",X120+'Shipping Program'!$F$9,OFFSET(Y120,1,0))</f>
        <v>46526</v>
      </c>
      <c r="Z120" s="26">
        <f ca="1">IF(OFFSET(Z120,1,0)="",Y120+'Shipping Program'!$H$9,OFFSET(Z120,1,0))</f>
        <v>46533</v>
      </c>
      <c r="AA120" s="27">
        <f ca="1">IFERROR(IF(J120*Z120&lt;&gt;0,J120-Z120,""),"")</f>
        <v>19</v>
      </c>
      <c r="AB120" s="27" t="str">
        <f ca="1">IF(AA120&lt;&gt;"",IF(AA120&gt;28,"Too early",IF(AA120&lt;14,"Too late","")),"")</f>
        <v/>
      </c>
      <c r="AC120" s="46"/>
      <c r="AE120" s="80" t="s">
        <v>43</v>
      </c>
      <c r="AF120" s="80" t="s">
        <v>41</v>
      </c>
      <c r="AG120" s="80" t="s">
        <v>42</v>
      </c>
      <c r="AH120" s="80" t="str">
        <f>IF(AI120="","",AI120*AJ120*AK120/1000/1000/1000)</f>
        <v/>
      </c>
      <c r="AI120" s="80"/>
      <c r="AJ120" s="80"/>
      <c r="AK120" s="80"/>
    </row>
    <row r="121" spans="1:37" ht="20.100000000000001" customHeight="1">
      <c r="A121" s="33">
        <f ca="1">COUNTIF(J$3:OFFSET(J121,-1,0),"Subtotal:")+1</f>
        <v>8</v>
      </c>
      <c r="B121" s="23" t="str">
        <f ca="1">IF(OFFSET(B121,1,0)&lt;&gt;"",OFFSET(B121,1,0),"")</f>
        <v/>
      </c>
      <c r="C121" s="42"/>
      <c r="D121" s="59" t="s">
        <v>106</v>
      </c>
      <c r="E121" s="60" t="str">
        <f>LEFT(F121,3)</f>
        <v>#20</v>
      </c>
      <c r="F121" s="59" t="s">
        <v>314</v>
      </c>
      <c r="G121" s="59" t="s">
        <v>320</v>
      </c>
      <c r="H121" s="60"/>
      <c r="I121" s="24">
        <f>IF(J121&lt;&gt;"",J121 - ('Shipping Program'!$D$9 + 'Shipping Program'!$F$9 + 'Shipping Program'!$H$9), "")</f>
        <v>46508</v>
      </c>
      <c r="J121" s="43">
        <v>46555</v>
      </c>
      <c r="K121" s="44" t="str">
        <f>IF(SUM(M121:N121)=0,"",SUM(M121:N121))</f>
        <v/>
      </c>
      <c r="L121" s="44"/>
      <c r="M121" s="44"/>
      <c r="N121" s="54"/>
      <c r="O121" s="25">
        <f>VLOOKUP(I121,'Shipping Program'!$A$32:$B$78,2)-1</f>
        <v>8</v>
      </c>
      <c r="P121" s="44">
        <f>O121</f>
        <v>8</v>
      </c>
      <c r="Q121" s="24">
        <f>R121-7</f>
        <v>46489</v>
      </c>
      <c r="R121" s="24">
        <f>IFERROR(_xlfn.XLOOKUP(P121,'Shipping Program'!$B$32:$B$78,'Shipping Program'!$A$32:$A$78),IFERROR(INDEX(_V7Batches!$B:$B,MATCH(P121&amp;"",_V7Batches!$A:$A,0)),""))</f>
        <v>46496</v>
      </c>
      <c r="S121" s="24">
        <f>IFERROR(_xlfn.XLOOKUP(P121,'Shipping Program'!$B$32:$B$78,'Shipping Program'!$E$32:$E$78),IFERROR(INDEX(_V7Batches!$D:$D,MATCH(P121&amp;"",_V7Batches!$A:$A,0)),""))</f>
        <v>46526</v>
      </c>
      <c r="T121" s="24">
        <f>S121+'Shipping Program'!$H$9</f>
        <v>46533</v>
      </c>
      <c r="U121" s="25">
        <f>IFERROR(IF(J121*T121&lt;&gt;0,J121-T121,""),"")</f>
        <v>22</v>
      </c>
      <c r="V121" s="25" t="str">
        <f>IF(U121&lt;&gt;"",IF(U121&gt;28,"Too early",IF(U121&lt;14,"Too late","")),"")</f>
        <v/>
      </c>
      <c r="W121" s="35"/>
      <c r="X121" s="26">
        <f ca="1">IF(OFFSET(X121,1,0)="",R121,OFFSET(X121,1,0))</f>
        <v>46496</v>
      </c>
      <c r="Y121" s="26">
        <f ca="1">IF(OFFSET(Y121,1,0)="",X121+'Shipping Program'!$F$9,OFFSET(Y121,1,0))</f>
        <v>46526</v>
      </c>
      <c r="Z121" s="26">
        <f ca="1">IF(OFFSET(Z121,1,0)="",Y121+'Shipping Program'!$H$9,OFFSET(Z121,1,0))</f>
        <v>46533</v>
      </c>
      <c r="AA121" s="27">
        <f ca="1">IFERROR(IF(J121*Z121&lt;&gt;0,J121-Z121,""),"")</f>
        <v>22</v>
      </c>
      <c r="AB121" s="27" t="str">
        <f ca="1">IF(AA121&lt;&gt;"",IF(AA121&gt;28,"Too early",IF(AA121&lt;14,"Too late","")),"")</f>
        <v/>
      </c>
      <c r="AC121" s="46"/>
      <c r="AE121" s="80" t="s">
        <v>43</v>
      </c>
      <c r="AF121" s="80" t="s">
        <v>46</v>
      </c>
      <c r="AG121" s="80" t="s">
        <v>42</v>
      </c>
      <c r="AH121" s="80" t="str">
        <f>IF(AI121="","",AI121*AJ121*AK121/1000/1000/1000)</f>
        <v/>
      </c>
      <c r="AI121" s="80"/>
      <c r="AJ121" s="80"/>
      <c r="AK121" s="80"/>
    </row>
    <row r="122" spans="1:37" ht="20.100000000000001" customHeight="1">
      <c r="A122" s="34">
        <f ca="1">COUNTIF(J$3:OFFSET(J122,-1,0),"Subtotal:")+1</f>
        <v>8</v>
      </c>
      <c r="B122" s="47"/>
      <c r="C122" s="48"/>
      <c r="D122" s="73"/>
      <c r="E122" s="49"/>
      <c r="F122" s="74"/>
      <c r="G122" s="74"/>
      <c r="H122" s="49"/>
      <c r="I122" s="49"/>
      <c r="J122" s="49" t="s">
        <v>6424</v>
      </c>
      <c r="K122" s="28">
        <f ca="1">SUMIF(A$3:OFFSET(A122,-1,0),A122,K$3:OFFSET(K122,-1,0))</f>
        <v>0</v>
      </c>
      <c r="L122" s="28">
        <f ca="1">SUMIF(A$3:OFFSET(A122,-1,0),A122,L$3:OFFSET(L122,-1,0))</f>
        <v>0</v>
      </c>
      <c r="M122" s="28"/>
      <c r="N122" s="55"/>
      <c r="O122" s="49"/>
      <c r="P122" s="49"/>
      <c r="Q122" s="29">
        <f ca="1">R122-7</f>
        <v>46489</v>
      </c>
      <c r="R122" s="29">
        <f ca="1">IF(J122="Subtotal:",OFFSET(R122,-1,0),"")</f>
        <v>46496</v>
      </c>
      <c r="S122" s="29">
        <f ca="1">IF(J122="Subtotal:",OFFSET(S122,-1,0),"")</f>
        <v>46526</v>
      </c>
      <c r="T122" s="29">
        <f ca="1">IF(J122="Subtotal:",OFFSET(T122,-1,0),"")</f>
        <v>46533</v>
      </c>
      <c r="U122" s="30" t="str">
        <f ca="1">IFERROR(IF(J122*T122&lt;&gt;0,J122-T122,""),"")</f>
        <v/>
      </c>
      <c r="V122" s="31" t="str">
        <f ca="1">IF(U122&lt;&gt;"",IF(U122&gt;28,"Too early",IF(U122&lt;14,"Too late","")),"")</f>
        <v/>
      </c>
      <c r="W122" s="28">
        <f ca="1">(SUMIFS($K:$K,$J:$J,"&lt;&gt;Subtotal:",$J:$J,"&gt;"&amp;S122,$S:$S,"&lt;="&amp;S122))*24*1.3+(SUMIFS($L:$L,$J:$J,"&lt;&gt;Subtotal:",$J:$J,"&gt;"&amp;S122,$S:$S,"&lt;="&amp;S122))/3*1.3</f>
        <v>0</v>
      </c>
      <c r="X122" s="50"/>
      <c r="Y122" s="50"/>
      <c r="Z122" s="50"/>
      <c r="AA122" s="30" t="str">
        <f>IFERROR(IF(J122*Z122&lt;&gt;0,J122-Z122,""),"")</f>
        <v/>
      </c>
      <c r="AB122" s="31" t="str">
        <f>IF(AA122&lt;&gt;"",IF(AA122&gt;28,"Too early",IF(AA122&lt;14,"Too late","")),"")</f>
        <v/>
      </c>
      <c r="AC122" s="32">
        <f>(SUMIFS($K:$K,$J:$J,"&lt;&gt;Subtotal:",$J:$J,"&gt;"&amp;Y122,$Y:$Y,"&lt;="&amp;Y122))*24*1.3+(SUMIFS($L:$L,$J:$J,"&lt;&gt;Subtotal:",$J:$J,"&gt;"&amp;Y122,$Y:$Y,"&lt;="&amp;Y122))/3*1.3</f>
        <v>0</v>
      </c>
      <c r="AD122" s="58"/>
      <c r="AE122" s="78"/>
      <c r="AF122" s="78"/>
      <c r="AG122" s="78"/>
      <c r="AH122" s="78"/>
      <c r="AI122" s="78"/>
      <c r="AJ122" s="78"/>
      <c r="AK122" s="78"/>
    </row>
    <row r="123" spans="1:37" ht="20.100000000000001" customHeight="1" outlineLevel="1">
      <c r="A123" s="33">
        <f ca="1">COUNTIF(J$3:OFFSET(J123,-1,0),"Subtotal:")+1</f>
        <v>9</v>
      </c>
      <c r="B123" s="23" t="str">
        <f ca="1">IF(OFFSET(B123,1,0)&lt;&gt;"",OFFSET(B123,1,0),"")</f>
        <v/>
      </c>
      <c r="C123" s="42"/>
      <c r="D123" s="59" t="s">
        <v>49</v>
      </c>
      <c r="E123" s="60" t="str">
        <f>LEFT(F123,3)</f>
        <v>#02</v>
      </c>
      <c r="F123" s="59" t="s">
        <v>179</v>
      </c>
      <c r="G123" s="59" t="s">
        <v>198</v>
      </c>
      <c r="H123" s="60"/>
      <c r="I123" s="24">
        <f>IF(J123&lt;&gt;"",J123 - ('Shipping Program'!$D$9 + 'Shipping Program'!$F$9 + 'Shipping Program'!$H$9), "")</f>
        <v>46515</v>
      </c>
      <c r="J123" s="43">
        <v>46562</v>
      </c>
      <c r="K123" s="44" t="str">
        <f>IF(SUM(M123:N123)=0,"",SUM(M123:N123))</f>
        <v/>
      </c>
      <c r="L123" s="44"/>
      <c r="M123" s="44"/>
      <c r="N123" s="54"/>
      <c r="O123" s="25">
        <f>VLOOKUP(I123,'Shipping Program'!$A$32:$B$78,2)-1</f>
        <v>9</v>
      </c>
      <c r="P123" s="44">
        <f>O123</f>
        <v>9</v>
      </c>
      <c r="Q123" s="24">
        <f>R123-7</f>
        <v>46496</v>
      </c>
      <c r="R123" s="24">
        <f>IFERROR(_xlfn.XLOOKUP(P123,'Shipping Program'!$B$32:$B$78,'Shipping Program'!$A$32:$A$78),IFERROR(INDEX(_V7Batches!$B:$B,MATCH(P123&amp;"",_V7Batches!$A:$A,0)),""))</f>
        <v>46503</v>
      </c>
      <c r="S123" s="24">
        <f>IFERROR(_xlfn.XLOOKUP(P123,'Shipping Program'!$B$32:$B$78,'Shipping Program'!$E$32:$E$78),IFERROR(INDEX(_V7Batches!$D:$D,MATCH(P123&amp;"",_V7Batches!$A:$A,0)),""))</f>
        <v>46533</v>
      </c>
      <c r="T123" s="24">
        <f>S123+'Shipping Program'!$H$9</f>
        <v>46540</v>
      </c>
      <c r="U123" s="25">
        <f>IFERROR(IF(J123*T123&lt;&gt;0,J123-T123,""),"")</f>
        <v>22</v>
      </c>
      <c r="V123" s="25" t="str">
        <f>IF(U123&lt;&gt;"",IF(U123&gt;28,"Too early",IF(U123&lt;14,"Too late","")),"")</f>
        <v/>
      </c>
      <c r="W123" s="35"/>
      <c r="X123" s="26">
        <f ca="1">IF(OFFSET(X123,1,0)="",R123,OFFSET(X123,1,0))</f>
        <v>46503</v>
      </c>
      <c r="Y123" s="26">
        <f ca="1">IF(OFFSET(Y123,1,0)="",X123+'Shipping Program'!$F$9,OFFSET(Y123,1,0))</f>
        <v>46533</v>
      </c>
      <c r="Z123" s="26">
        <f ca="1">IF(OFFSET(Z123,1,0)="",Y123+'Shipping Program'!$H$9,OFFSET(Z123,1,0))</f>
        <v>46540</v>
      </c>
      <c r="AA123" s="27">
        <f ca="1">IFERROR(IF(J123*Z123&lt;&gt;0,J123-Z123,""),"")</f>
        <v>22</v>
      </c>
      <c r="AB123" s="27" t="str">
        <f ca="1">IF(AA123&lt;&gt;"",IF(AA123&gt;28,"Too early",IF(AA123&lt;14,"Too late","")),"")</f>
        <v/>
      </c>
      <c r="AC123" s="46"/>
      <c r="AE123" s="80" t="s">
        <v>43</v>
      </c>
      <c r="AF123" s="80" t="s">
        <v>41</v>
      </c>
      <c r="AG123" s="80" t="s">
        <v>42</v>
      </c>
      <c r="AH123" s="80" t="str">
        <f>IF(AI123="","",AI123*AJ123*AK123/1000/1000/1000)</f>
        <v/>
      </c>
      <c r="AI123" s="80"/>
      <c r="AJ123" s="80"/>
      <c r="AK123" s="80"/>
    </row>
    <row r="124" spans="1:37" ht="20.100000000000001" customHeight="1" outlineLevel="1">
      <c r="A124" s="33">
        <f ca="1">COUNTIF(J$3:OFFSET(J124,-1,0),"Subtotal:")+1</f>
        <v>9</v>
      </c>
      <c r="B124" s="23" t="str">
        <f ca="1">IF(OFFSET(B124,1,0)&lt;&gt;"",OFFSET(B124,1,0),"")</f>
        <v/>
      </c>
      <c r="C124" s="42"/>
      <c r="D124" s="59" t="s">
        <v>49</v>
      </c>
      <c r="E124" s="60" t="str">
        <f>LEFT(F124,3)</f>
        <v>#02</v>
      </c>
      <c r="F124" s="59" t="s">
        <v>178</v>
      </c>
      <c r="G124" s="59" t="s">
        <v>198</v>
      </c>
      <c r="H124" s="60"/>
      <c r="I124" s="24">
        <f>IF(J124&lt;&gt;"",J124 - ('Shipping Program'!$D$9 + 'Shipping Program'!$F$9 + 'Shipping Program'!$H$9), "")</f>
        <v>46516</v>
      </c>
      <c r="J124" s="43">
        <v>46563</v>
      </c>
      <c r="K124" s="44" t="str">
        <f>IF(SUM(M124:N124)=0,"",SUM(M124:N124))</f>
        <v/>
      </c>
      <c r="L124" s="44"/>
      <c r="M124" s="44"/>
      <c r="N124" s="54"/>
      <c r="O124" s="25">
        <f>VLOOKUP(I124,'Shipping Program'!$A$32:$B$78,2)-1</f>
        <v>9</v>
      </c>
      <c r="P124" s="44">
        <f>O124</f>
        <v>9</v>
      </c>
      <c r="Q124" s="24">
        <f>R124-7</f>
        <v>46496</v>
      </c>
      <c r="R124" s="24">
        <f>IFERROR(_xlfn.XLOOKUP(P124,'Shipping Program'!$B$32:$B$78,'Shipping Program'!$A$32:$A$78),IFERROR(INDEX(_V7Batches!$B:$B,MATCH(P124&amp;"",_V7Batches!$A:$A,0)),""))</f>
        <v>46503</v>
      </c>
      <c r="S124" s="24">
        <f>IFERROR(_xlfn.XLOOKUP(P124,'Shipping Program'!$B$32:$B$78,'Shipping Program'!$E$32:$E$78),IFERROR(INDEX(_V7Batches!$D:$D,MATCH(P124&amp;"",_V7Batches!$A:$A,0)),""))</f>
        <v>46533</v>
      </c>
      <c r="T124" s="24">
        <f>S124+'Shipping Program'!$H$9</f>
        <v>46540</v>
      </c>
      <c r="U124" s="25">
        <f>IFERROR(IF(J124*T124&lt;&gt;0,J124-T124,""),"")</f>
        <v>23</v>
      </c>
      <c r="V124" s="25" t="str">
        <f>IF(U124&lt;&gt;"",IF(U124&gt;28,"Too early",IF(U124&lt;14,"Too late","")),"")</f>
        <v/>
      </c>
      <c r="W124" s="35"/>
      <c r="X124" s="26">
        <f ca="1">IF(OFFSET(X124,1,0)="",R124,OFFSET(X124,1,0))</f>
        <v>46503</v>
      </c>
      <c r="Y124" s="26">
        <f ca="1">IF(OFFSET(Y124,1,0)="",X124+'Shipping Program'!$F$9,OFFSET(Y124,1,0))</f>
        <v>46533</v>
      </c>
      <c r="Z124" s="26">
        <f ca="1">IF(OFFSET(Z124,1,0)="",Y124+'Shipping Program'!$H$9,OFFSET(Z124,1,0))</f>
        <v>46540</v>
      </c>
      <c r="AA124" s="27">
        <f ca="1">IFERROR(IF(J124*Z124&lt;&gt;0,J124-Z124,""),"")</f>
        <v>23</v>
      </c>
      <c r="AB124" s="27" t="str">
        <f ca="1">IF(AA124&lt;&gt;"",IF(AA124&gt;28,"Too early",IF(AA124&lt;14,"Too late","")),"")</f>
        <v/>
      </c>
      <c r="AC124" s="46"/>
      <c r="AE124" s="80" t="s">
        <v>43</v>
      </c>
      <c r="AF124" s="80" t="s">
        <v>41</v>
      </c>
      <c r="AG124" s="80" t="s">
        <v>42</v>
      </c>
      <c r="AH124" s="80" t="str">
        <f>IF(AI124="","",AI124*AJ124*AK124/1000/1000/1000)</f>
        <v/>
      </c>
      <c r="AI124" s="80"/>
      <c r="AJ124" s="80"/>
      <c r="AK124" s="80"/>
    </row>
    <row r="125" spans="1:37" ht="20.100000000000001" customHeight="1" outlineLevel="1">
      <c r="A125" s="33">
        <f ca="1">COUNTIF(J$3:OFFSET(J125,-1,0),"Subtotal:")+1</f>
        <v>9</v>
      </c>
      <c r="B125" s="23" t="str">
        <f ca="1">IF(OFFSET(B125,1,0)&lt;&gt;"",OFFSET(B125,1,0),"")</f>
        <v/>
      </c>
      <c r="C125" s="42"/>
      <c r="D125" s="59" t="s">
        <v>62</v>
      </c>
      <c r="E125" s="60" t="str">
        <f>LEFT(F125,3)</f>
        <v>#04</v>
      </c>
      <c r="F125" s="59" t="s">
        <v>222</v>
      </c>
      <c r="G125" s="59" t="s">
        <v>218</v>
      </c>
      <c r="H125" s="60"/>
      <c r="I125" s="24">
        <f>IF(J125&lt;&gt;"",J125 - ('Shipping Program'!$D$9 + 'Shipping Program'!$F$9 + 'Shipping Program'!$H$9), "")</f>
        <v>46510</v>
      </c>
      <c r="J125" s="43">
        <v>46557</v>
      </c>
      <c r="K125" s="44" t="str">
        <f>IF(SUM(M125:N125)=0,"",SUM(M125:N125))</f>
        <v/>
      </c>
      <c r="L125" s="44"/>
      <c r="M125" s="44"/>
      <c r="N125" s="54"/>
      <c r="O125" s="25">
        <f>VLOOKUP(I125,'Shipping Program'!$A$32:$B$78,2)-1</f>
        <v>9</v>
      </c>
      <c r="P125" s="44">
        <f>O125</f>
        <v>9</v>
      </c>
      <c r="Q125" s="24">
        <f>R125-7</f>
        <v>46496</v>
      </c>
      <c r="R125" s="24">
        <f>IFERROR(_xlfn.XLOOKUP(P125,'Shipping Program'!$B$32:$B$78,'Shipping Program'!$A$32:$A$78),IFERROR(INDEX(_V7Batches!$B:$B,MATCH(P125&amp;"",_V7Batches!$A:$A,0)),""))</f>
        <v>46503</v>
      </c>
      <c r="S125" s="24">
        <f>IFERROR(_xlfn.XLOOKUP(P125,'Shipping Program'!$B$32:$B$78,'Shipping Program'!$E$32:$E$78),IFERROR(INDEX(_V7Batches!$D:$D,MATCH(P125&amp;"",_V7Batches!$A:$A,0)),""))</f>
        <v>46533</v>
      </c>
      <c r="T125" s="24">
        <f>S125+'Shipping Program'!$H$9</f>
        <v>46540</v>
      </c>
      <c r="U125" s="25">
        <f>IFERROR(IF(J125*T125&lt;&gt;0,J125-T125,""),"")</f>
        <v>17</v>
      </c>
      <c r="V125" s="25" t="str">
        <f>IF(U125&lt;&gt;"",IF(U125&gt;28,"Too early",IF(U125&lt;14,"Too late","")),"")</f>
        <v/>
      </c>
      <c r="W125" s="35"/>
      <c r="X125" s="26">
        <f ca="1">IF(OFFSET(X125,1,0)="",R125,OFFSET(X125,1,0))</f>
        <v>46503</v>
      </c>
      <c r="Y125" s="26">
        <f ca="1">IF(OFFSET(Y125,1,0)="",X125+'Shipping Program'!$F$9,OFFSET(Y125,1,0))</f>
        <v>46533</v>
      </c>
      <c r="Z125" s="26">
        <f ca="1">IF(OFFSET(Z125,1,0)="",Y125+'Shipping Program'!$H$9,OFFSET(Z125,1,0))</f>
        <v>46540</v>
      </c>
      <c r="AA125" s="27">
        <f ca="1">IFERROR(IF(J125*Z125&lt;&gt;0,J125-Z125,""),"")</f>
        <v>17</v>
      </c>
      <c r="AB125" s="27" t="str">
        <f ca="1">IF(AA125&lt;&gt;"",IF(AA125&gt;28,"Too early",IF(AA125&lt;14,"Too late","")),"")</f>
        <v/>
      </c>
      <c r="AC125" s="46"/>
      <c r="AE125" s="80" t="s">
        <v>43</v>
      </c>
      <c r="AF125" s="80" t="s">
        <v>41</v>
      </c>
      <c r="AG125" s="80" t="s">
        <v>63</v>
      </c>
      <c r="AH125" s="80" t="str">
        <f>IF(AI125="","",AI125*AJ125*AK125/1000/1000/1000)</f>
        <v/>
      </c>
      <c r="AI125" s="80"/>
      <c r="AJ125" s="80"/>
      <c r="AK125" s="80"/>
    </row>
    <row r="126" spans="1:37" ht="20.100000000000001" customHeight="1" outlineLevel="1">
      <c r="A126" s="33">
        <f ca="1">COUNTIF(J$3:OFFSET(J126,-1,0),"Subtotal:")+1</f>
        <v>9</v>
      </c>
      <c r="B126" s="23" t="str">
        <f ca="1">IF(OFFSET(B126,1,0)&lt;&gt;"",OFFSET(B126,1,0),"")</f>
        <v/>
      </c>
      <c r="C126" s="42"/>
      <c r="D126" s="59" t="s">
        <v>62</v>
      </c>
      <c r="E126" s="60" t="str">
        <f>LEFT(F126,3)</f>
        <v>#04</v>
      </c>
      <c r="F126" s="59" t="s">
        <v>222</v>
      </c>
      <c r="G126" s="59" t="s">
        <v>212</v>
      </c>
      <c r="H126" s="60"/>
      <c r="I126" s="24">
        <f>IF(J126&lt;&gt;"",J126 - ('Shipping Program'!$D$9 + 'Shipping Program'!$F$9 + 'Shipping Program'!$H$9), "")</f>
        <v>46514</v>
      </c>
      <c r="J126" s="43">
        <v>46561</v>
      </c>
      <c r="K126" s="44" t="str">
        <f>IF(SUM(M126:N126)=0,"",SUM(M126:N126))</f>
        <v/>
      </c>
      <c r="L126" s="44"/>
      <c r="M126" s="44"/>
      <c r="N126" s="54"/>
      <c r="O126" s="25">
        <f>VLOOKUP(I126,'Shipping Program'!$A$32:$B$78,2)-1</f>
        <v>9</v>
      </c>
      <c r="P126" s="44">
        <f>O126</f>
        <v>9</v>
      </c>
      <c r="Q126" s="24">
        <f>R126-7</f>
        <v>46496</v>
      </c>
      <c r="R126" s="24">
        <f>IFERROR(_xlfn.XLOOKUP(P126,'Shipping Program'!$B$32:$B$78,'Shipping Program'!$A$32:$A$78),IFERROR(INDEX(_V7Batches!$B:$B,MATCH(P126&amp;"",_V7Batches!$A:$A,0)),""))</f>
        <v>46503</v>
      </c>
      <c r="S126" s="24">
        <f>IFERROR(_xlfn.XLOOKUP(P126,'Shipping Program'!$B$32:$B$78,'Shipping Program'!$E$32:$E$78),IFERROR(INDEX(_V7Batches!$D:$D,MATCH(P126&amp;"",_V7Batches!$A:$A,0)),""))</f>
        <v>46533</v>
      </c>
      <c r="T126" s="24">
        <f>S126+'Shipping Program'!$H$9</f>
        <v>46540</v>
      </c>
      <c r="U126" s="25">
        <f>IFERROR(IF(J126*T126&lt;&gt;0,J126-T126,""),"")</f>
        <v>21</v>
      </c>
      <c r="V126" s="25" t="str">
        <f>IF(U126&lt;&gt;"",IF(U126&gt;28,"Too early",IF(U126&lt;14,"Too late","")),"")</f>
        <v/>
      </c>
      <c r="W126" s="35"/>
      <c r="X126" s="26">
        <f ca="1">IF(OFFSET(X126,1,0)="",R126,OFFSET(X126,1,0))</f>
        <v>46503</v>
      </c>
      <c r="Y126" s="26">
        <f ca="1">IF(OFFSET(Y126,1,0)="",X126+'Shipping Program'!$F$9,OFFSET(Y126,1,0))</f>
        <v>46533</v>
      </c>
      <c r="Z126" s="26">
        <f ca="1">IF(OFFSET(Z126,1,0)="",Y126+'Shipping Program'!$H$9,OFFSET(Z126,1,0))</f>
        <v>46540</v>
      </c>
      <c r="AA126" s="27">
        <f ca="1">IFERROR(IF(J126*Z126&lt;&gt;0,J126-Z126,""),"")</f>
        <v>21</v>
      </c>
      <c r="AB126" s="27" t="str">
        <f ca="1">IF(AA126&lt;&gt;"",IF(AA126&gt;28,"Too early",IF(AA126&lt;14,"Too late","")),"")</f>
        <v/>
      </c>
      <c r="AC126" s="46"/>
      <c r="AE126" s="80" t="s">
        <v>43</v>
      </c>
      <c r="AF126" s="80" t="s">
        <v>41</v>
      </c>
      <c r="AG126" s="80" t="s">
        <v>63</v>
      </c>
      <c r="AH126" s="80" t="str">
        <f>IF(AI126="","",AI126*AJ126*AK126/1000/1000/1000)</f>
        <v/>
      </c>
      <c r="AI126" s="80"/>
      <c r="AJ126" s="80"/>
      <c r="AK126" s="80"/>
    </row>
    <row r="127" spans="1:37" ht="20.100000000000001" customHeight="1" outlineLevel="1">
      <c r="A127" s="33">
        <f ca="1">COUNTIF(J$3:OFFSET(J127,-1,0),"Subtotal:")+1</f>
        <v>9</v>
      </c>
      <c r="B127" s="23" t="str">
        <f ca="1">IF(OFFSET(B127,1,0)&lt;&gt;"",OFFSET(B127,1,0),"")</f>
        <v/>
      </c>
      <c r="C127" s="42"/>
      <c r="D127" s="59" t="s">
        <v>62</v>
      </c>
      <c r="E127" s="60" t="str">
        <f>LEFT(F127,3)</f>
        <v>#04</v>
      </c>
      <c r="F127" s="59" t="s">
        <v>222</v>
      </c>
      <c r="G127" s="59" t="s">
        <v>210</v>
      </c>
      <c r="H127" s="60"/>
      <c r="I127" s="24">
        <f>IF(J127&lt;&gt;"",J127 - ('Shipping Program'!$D$9 + 'Shipping Program'!$F$9 + 'Shipping Program'!$H$9), "")</f>
        <v>46515</v>
      </c>
      <c r="J127" s="43">
        <v>46562</v>
      </c>
      <c r="K127" s="44" t="str">
        <f>IF(SUM(M127:N127)=0,"",SUM(M127:N127))</f>
        <v/>
      </c>
      <c r="L127" s="44"/>
      <c r="M127" s="44"/>
      <c r="N127" s="54"/>
      <c r="O127" s="25">
        <f>VLOOKUP(I127,'Shipping Program'!$A$32:$B$78,2)-1</f>
        <v>9</v>
      </c>
      <c r="P127" s="44">
        <f>O127</f>
        <v>9</v>
      </c>
      <c r="Q127" s="24">
        <f>R127-7</f>
        <v>46496</v>
      </c>
      <c r="R127" s="24">
        <f>IFERROR(_xlfn.XLOOKUP(P127,'Shipping Program'!$B$32:$B$78,'Shipping Program'!$A$32:$A$78),IFERROR(INDEX(_V7Batches!$B:$B,MATCH(P127&amp;"",_V7Batches!$A:$A,0)),""))</f>
        <v>46503</v>
      </c>
      <c r="S127" s="24">
        <f>IFERROR(_xlfn.XLOOKUP(P127,'Shipping Program'!$B$32:$B$78,'Shipping Program'!$E$32:$E$78),IFERROR(INDEX(_V7Batches!$D:$D,MATCH(P127&amp;"",_V7Batches!$A:$A,0)),""))</f>
        <v>46533</v>
      </c>
      <c r="T127" s="24">
        <f>S127+'Shipping Program'!$H$9</f>
        <v>46540</v>
      </c>
      <c r="U127" s="25">
        <f>IFERROR(IF(J127*T127&lt;&gt;0,J127-T127,""),"")</f>
        <v>22</v>
      </c>
      <c r="V127" s="25" t="str">
        <f>IF(U127&lt;&gt;"",IF(U127&gt;28,"Too early",IF(U127&lt;14,"Too late","")),"")</f>
        <v/>
      </c>
      <c r="W127" s="35"/>
      <c r="X127" s="26">
        <f ca="1">IF(OFFSET(X127,1,0)="",R127,OFFSET(X127,1,0))</f>
        <v>46503</v>
      </c>
      <c r="Y127" s="26">
        <f ca="1">IF(OFFSET(Y127,1,0)="",X127+'Shipping Program'!$F$9,OFFSET(Y127,1,0))</f>
        <v>46533</v>
      </c>
      <c r="Z127" s="26">
        <f ca="1">IF(OFFSET(Z127,1,0)="",Y127+'Shipping Program'!$H$9,OFFSET(Z127,1,0))</f>
        <v>46540</v>
      </c>
      <c r="AA127" s="27">
        <f ca="1">IFERROR(IF(J127*Z127&lt;&gt;0,J127-Z127,""),"")</f>
        <v>22</v>
      </c>
      <c r="AB127" s="27" t="str">
        <f ca="1">IF(AA127&lt;&gt;"",IF(AA127&gt;28,"Too early",IF(AA127&lt;14,"Too late","")),"")</f>
        <v/>
      </c>
      <c r="AC127" s="46"/>
      <c r="AE127" s="80" t="s">
        <v>43</v>
      </c>
      <c r="AF127" s="80" t="s">
        <v>41</v>
      </c>
      <c r="AG127" s="80" t="s">
        <v>63</v>
      </c>
      <c r="AH127" s="80" t="str">
        <f>IF(AI127="","",AI127*AJ127*AK127/1000/1000/1000)</f>
        <v/>
      </c>
      <c r="AI127" s="80"/>
      <c r="AJ127" s="80"/>
      <c r="AK127" s="80"/>
    </row>
    <row r="128" spans="1:37" ht="20.100000000000001" customHeight="1" outlineLevel="1">
      <c r="A128" s="33">
        <f ca="1">COUNTIF(J$3:OFFSET(J128,-1,0),"Subtotal:")+1</f>
        <v>9</v>
      </c>
      <c r="B128" s="23" t="str">
        <f ca="1">IF(OFFSET(B128,1,0)&lt;&gt;"",OFFSET(B128,1,0),"")</f>
        <v/>
      </c>
      <c r="C128" s="42"/>
      <c r="D128" s="59" t="s">
        <v>49</v>
      </c>
      <c r="E128" s="60" t="str">
        <f>LEFT(F128,3)</f>
        <v>#01</v>
      </c>
      <c r="F128" s="59" t="s">
        <v>175</v>
      </c>
      <c r="G128" s="59" t="s">
        <v>182</v>
      </c>
      <c r="H128" s="60"/>
      <c r="I128" s="24">
        <f>IF(J128&lt;&gt;"",J128 - ('Shipping Program'!$D$9 + 'Shipping Program'!$F$9 + 'Shipping Program'!$H$9), "")</f>
        <v>46514</v>
      </c>
      <c r="J128" s="43">
        <v>46561</v>
      </c>
      <c r="K128" s="44" t="str">
        <f>IF(SUM(M128:N128)=0,"",SUM(M128:N128))</f>
        <v/>
      </c>
      <c r="L128" s="44"/>
      <c r="M128" s="44"/>
      <c r="N128" s="54"/>
      <c r="O128" s="25">
        <f>VLOOKUP(I128,'Shipping Program'!$A$32:$B$78,2)-1</f>
        <v>9</v>
      </c>
      <c r="P128" s="44">
        <f>O128</f>
        <v>9</v>
      </c>
      <c r="Q128" s="24">
        <f>R128-7</f>
        <v>46496</v>
      </c>
      <c r="R128" s="24">
        <f>IFERROR(_xlfn.XLOOKUP(P128,'Shipping Program'!$B$32:$B$78,'Shipping Program'!$A$32:$A$78),IFERROR(INDEX(_V7Batches!$B:$B,MATCH(P128&amp;"",_V7Batches!$A:$A,0)),""))</f>
        <v>46503</v>
      </c>
      <c r="S128" s="24">
        <f>IFERROR(_xlfn.XLOOKUP(P128,'Shipping Program'!$B$32:$B$78,'Shipping Program'!$E$32:$E$78),IFERROR(INDEX(_V7Batches!$D:$D,MATCH(P128&amp;"",_V7Batches!$A:$A,0)),""))</f>
        <v>46533</v>
      </c>
      <c r="T128" s="24">
        <f>S128+'Shipping Program'!$H$9</f>
        <v>46540</v>
      </c>
      <c r="U128" s="25">
        <f>IFERROR(IF(J128*T128&lt;&gt;0,J128-T128,""),"")</f>
        <v>21</v>
      </c>
      <c r="V128" s="25" t="str">
        <f>IF(U128&lt;&gt;"",IF(U128&gt;28,"Too early",IF(U128&lt;14,"Too late","")),"")</f>
        <v/>
      </c>
      <c r="W128" s="35"/>
      <c r="X128" s="26">
        <f ca="1">IF(OFFSET(X128,1,0)="",R128,OFFSET(X128,1,0))</f>
        <v>46503</v>
      </c>
      <c r="Y128" s="26">
        <f ca="1">IF(OFFSET(Y128,1,0)="",X128+'Shipping Program'!$F$9,OFFSET(Y128,1,0))</f>
        <v>46533</v>
      </c>
      <c r="Z128" s="26">
        <f ca="1">IF(OFFSET(Z128,1,0)="",Y128+'Shipping Program'!$H$9,OFFSET(Z128,1,0))</f>
        <v>46540</v>
      </c>
      <c r="AA128" s="27">
        <f ca="1">IFERROR(IF(J128*Z128&lt;&gt;0,J128-Z128,""),"")</f>
        <v>21</v>
      </c>
      <c r="AB128" s="27" t="str">
        <f ca="1">IF(AA128&lt;&gt;"",IF(AA128&gt;28,"Too early",IF(AA128&lt;14,"Too late","")),"")</f>
        <v/>
      </c>
      <c r="AC128" s="46"/>
      <c r="AE128" s="80" t="s">
        <v>43</v>
      </c>
      <c r="AF128" s="80" t="s">
        <v>41</v>
      </c>
      <c r="AG128" s="80" t="s">
        <v>42</v>
      </c>
      <c r="AH128" s="80" t="str">
        <f>IF(AI128="","",AI128*AJ128*AK128/1000/1000/1000)</f>
        <v/>
      </c>
      <c r="AI128" s="80"/>
      <c r="AJ128" s="80"/>
      <c r="AK128" s="80"/>
    </row>
    <row r="129" spans="1:37" ht="20.100000000000001" customHeight="1" outlineLevel="1">
      <c r="A129" s="33">
        <f ca="1">COUNTIF(J$3:OFFSET(J129,-1,0),"Subtotal:")+1</f>
        <v>9</v>
      </c>
      <c r="B129" s="23" t="str">
        <f ca="1">IF(OFFSET(B129,1,0)&lt;&gt;"",OFFSET(B129,1,0),"")</f>
        <v/>
      </c>
      <c r="C129" s="42"/>
      <c r="D129" s="59" t="s">
        <v>71</v>
      </c>
      <c r="E129" s="60" t="str">
        <f>LEFT(F129,3)</f>
        <v>#01</v>
      </c>
      <c r="F129" s="59" t="s">
        <v>174</v>
      </c>
      <c r="G129" s="59" t="s">
        <v>186</v>
      </c>
      <c r="H129" s="60"/>
      <c r="I129" s="24">
        <f>IF(J129&lt;&gt;"",J129 - ('Shipping Program'!$D$9 + 'Shipping Program'!$F$9 + 'Shipping Program'!$H$9), "")</f>
        <v>46513</v>
      </c>
      <c r="J129" s="43">
        <v>46560</v>
      </c>
      <c r="K129" s="44" t="str">
        <f>IF(SUM(M129:N129)=0,"",SUM(M129:N129))</f>
        <v/>
      </c>
      <c r="L129" s="44"/>
      <c r="M129" s="44"/>
      <c r="N129" s="54"/>
      <c r="O129" s="25">
        <f>VLOOKUP(I129,'Shipping Program'!$A$32:$B$78,2)-1</f>
        <v>9</v>
      </c>
      <c r="P129" s="44">
        <f>O129</f>
        <v>9</v>
      </c>
      <c r="Q129" s="24">
        <f>R129-7</f>
        <v>46496</v>
      </c>
      <c r="R129" s="24">
        <f>IFERROR(_xlfn.XLOOKUP(P129,'Shipping Program'!$B$32:$B$78,'Shipping Program'!$A$32:$A$78),IFERROR(INDEX(_V7Batches!$B:$B,MATCH(P129&amp;"",_V7Batches!$A:$A,0)),""))</f>
        <v>46503</v>
      </c>
      <c r="S129" s="24">
        <f>IFERROR(_xlfn.XLOOKUP(P129,'Shipping Program'!$B$32:$B$78,'Shipping Program'!$E$32:$E$78),IFERROR(INDEX(_V7Batches!$D:$D,MATCH(P129&amp;"",_V7Batches!$A:$A,0)),""))</f>
        <v>46533</v>
      </c>
      <c r="T129" s="24">
        <f>S129+'Shipping Program'!$H$9</f>
        <v>46540</v>
      </c>
      <c r="U129" s="25">
        <f>IFERROR(IF(J129*T129&lt;&gt;0,J129-T129,""),"")</f>
        <v>20</v>
      </c>
      <c r="V129" s="25" t="str">
        <f>IF(U129&lt;&gt;"",IF(U129&gt;28,"Too early",IF(U129&lt;14,"Too late","")),"")</f>
        <v/>
      </c>
      <c r="W129" s="35"/>
      <c r="X129" s="26">
        <f ca="1">IF(OFFSET(X129,1,0)="",R129,OFFSET(X129,1,0))</f>
        <v>46503</v>
      </c>
      <c r="Y129" s="26">
        <f ca="1">IF(OFFSET(Y129,1,0)="",X129+'Shipping Program'!$F$9,OFFSET(Y129,1,0))</f>
        <v>46533</v>
      </c>
      <c r="Z129" s="26">
        <f ca="1">IF(OFFSET(Z129,1,0)="",Y129+'Shipping Program'!$H$9,OFFSET(Z129,1,0))</f>
        <v>46540</v>
      </c>
      <c r="AA129" s="27">
        <f ca="1">IFERROR(IF(J129*Z129&lt;&gt;0,J129-Z129,""),"")</f>
        <v>20</v>
      </c>
      <c r="AB129" s="27" t="str">
        <f ca="1">IF(AA129&lt;&gt;"",IF(AA129&gt;28,"Too early",IF(AA129&lt;14,"Too late","")),"")</f>
        <v/>
      </c>
      <c r="AC129" s="46"/>
      <c r="AE129" s="80" t="s">
        <v>54</v>
      </c>
      <c r="AF129" s="80"/>
      <c r="AG129" s="80"/>
      <c r="AH129" s="80" t="str">
        <f>IF(AI129="","",AI129*AJ129*AK129/1000/1000/1000)</f>
        <v/>
      </c>
      <c r="AI129" s="80"/>
      <c r="AJ129" s="80"/>
      <c r="AK129" s="80"/>
    </row>
    <row r="130" spans="1:37" ht="20.100000000000001" customHeight="1">
      <c r="A130" s="33">
        <f ca="1">COUNTIF(J$3:OFFSET(J130,-1,0),"Subtotal:")+1</f>
        <v>9</v>
      </c>
      <c r="B130" s="23" t="str">
        <f ca="1">IF(OFFSET(B130,1,0)&lt;&gt;"",OFFSET(B130,1,0),"")</f>
        <v/>
      </c>
      <c r="C130" s="42"/>
      <c r="D130" s="59" t="s">
        <v>71</v>
      </c>
      <c r="E130" s="60" t="str">
        <f>LEFT(F130,3)</f>
        <v>#01</v>
      </c>
      <c r="F130" s="59" t="s">
        <v>174</v>
      </c>
      <c r="G130" s="59" t="s">
        <v>188</v>
      </c>
      <c r="H130" s="60"/>
      <c r="I130" s="24">
        <f>IF(J130&lt;&gt;"",J130 - ('Shipping Program'!$D$9 + 'Shipping Program'!$F$9 + 'Shipping Program'!$H$9), "")</f>
        <v>46513</v>
      </c>
      <c r="J130" s="43">
        <v>46560</v>
      </c>
      <c r="K130" s="44" t="str">
        <f>IF(SUM(M130:N130)=0,"",SUM(M130:N130))</f>
        <v/>
      </c>
      <c r="L130" s="44"/>
      <c r="M130" s="44"/>
      <c r="N130" s="54"/>
      <c r="O130" s="25">
        <f>VLOOKUP(I130,'Shipping Program'!$A$32:$B$78,2)-1</f>
        <v>9</v>
      </c>
      <c r="P130" s="44">
        <f>O130</f>
        <v>9</v>
      </c>
      <c r="Q130" s="24">
        <f>R130-7</f>
        <v>46496</v>
      </c>
      <c r="R130" s="24">
        <f>IFERROR(_xlfn.XLOOKUP(P130,'Shipping Program'!$B$32:$B$78,'Shipping Program'!$A$32:$A$78),IFERROR(INDEX(_V7Batches!$B:$B,MATCH(P130&amp;"",_V7Batches!$A:$A,0)),""))</f>
        <v>46503</v>
      </c>
      <c r="S130" s="24">
        <f>IFERROR(_xlfn.XLOOKUP(P130,'Shipping Program'!$B$32:$B$78,'Shipping Program'!$E$32:$E$78),IFERROR(INDEX(_V7Batches!$D:$D,MATCH(P130&amp;"",_V7Batches!$A:$A,0)),""))</f>
        <v>46533</v>
      </c>
      <c r="T130" s="24">
        <f>S130+'Shipping Program'!$H$9</f>
        <v>46540</v>
      </c>
      <c r="U130" s="25">
        <f>IFERROR(IF(J130*T130&lt;&gt;0,J130-T130,""),"")</f>
        <v>20</v>
      </c>
      <c r="V130" s="25" t="str">
        <f>IF(U130&lt;&gt;"",IF(U130&gt;28,"Too early",IF(U130&lt;14,"Too late","")),"")</f>
        <v/>
      </c>
      <c r="W130" s="35"/>
      <c r="X130" s="26">
        <f ca="1">IF(OFFSET(X130,1,0)="",R130,OFFSET(X130,1,0))</f>
        <v>46503</v>
      </c>
      <c r="Y130" s="26">
        <f ca="1">IF(OFFSET(Y130,1,0)="",X130+'Shipping Program'!$F$9,OFFSET(Y130,1,0))</f>
        <v>46533</v>
      </c>
      <c r="Z130" s="26">
        <f ca="1">IF(OFFSET(Z130,1,0)="",Y130+'Shipping Program'!$H$9,OFFSET(Z130,1,0))</f>
        <v>46540</v>
      </c>
      <c r="AA130" s="27">
        <f ca="1">IFERROR(IF(J130*Z130&lt;&gt;0,J130-Z130,""),"")</f>
        <v>20</v>
      </c>
      <c r="AB130" s="27" t="str">
        <f ca="1">IF(AA130&lt;&gt;"",IF(AA130&gt;28,"Too early",IF(AA130&lt;14,"Too late","")),"")</f>
        <v/>
      </c>
      <c r="AC130" s="46"/>
      <c r="AE130" s="80" t="s">
        <v>54</v>
      </c>
      <c r="AF130" s="80"/>
      <c r="AG130" s="80"/>
      <c r="AH130" s="80" t="str">
        <f>IF(AI130="","",AI130*AJ130*AK130/1000/1000/1000)</f>
        <v/>
      </c>
      <c r="AI130" s="80"/>
      <c r="AJ130" s="80"/>
      <c r="AK130" s="80"/>
    </row>
    <row r="131" spans="1:37" ht="20.100000000000001" customHeight="1">
      <c r="A131" s="33">
        <f ca="1">COUNTIF(J$3:OFFSET(J131,-1,0),"Subtotal:")+1</f>
        <v>9</v>
      </c>
      <c r="B131" s="23" t="str">
        <f ca="1">IF(OFFSET(B131,1,0)&lt;&gt;"",OFFSET(B131,1,0),"")</f>
        <v/>
      </c>
      <c r="C131" s="42"/>
      <c r="D131" s="59" t="s">
        <v>71</v>
      </c>
      <c r="E131" s="60" t="str">
        <f>LEFT(F131,3)</f>
        <v>#01</v>
      </c>
      <c r="F131" s="59" t="s">
        <v>174</v>
      </c>
      <c r="G131" s="59" t="s">
        <v>189</v>
      </c>
      <c r="H131" s="60"/>
      <c r="I131" s="24">
        <f>IF(J131&lt;&gt;"",J131 - ('Shipping Program'!$D$9 + 'Shipping Program'!$F$9 + 'Shipping Program'!$H$9), "")</f>
        <v>46513</v>
      </c>
      <c r="J131" s="43">
        <v>46560</v>
      </c>
      <c r="K131" s="44" t="str">
        <f>IF(SUM(M131:N131)=0,"",SUM(M131:N131))</f>
        <v/>
      </c>
      <c r="L131" s="44"/>
      <c r="M131" s="44"/>
      <c r="N131" s="54"/>
      <c r="O131" s="25">
        <f>VLOOKUP(I131,'Shipping Program'!$A$32:$B$78,2)-1</f>
        <v>9</v>
      </c>
      <c r="P131" s="44">
        <f>O131</f>
        <v>9</v>
      </c>
      <c r="Q131" s="24">
        <f>R131-7</f>
        <v>46496</v>
      </c>
      <c r="R131" s="24">
        <f>IFERROR(_xlfn.XLOOKUP(P131,'Shipping Program'!$B$32:$B$78,'Shipping Program'!$A$32:$A$78),IFERROR(INDEX(_V7Batches!$B:$B,MATCH(P131&amp;"",_V7Batches!$A:$A,0)),""))</f>
        <v>46503</v>
      </c>
      <c r="S131" s="24">
        <f>IFERROR(_xlfn.XLOOKUP(P131,'Shipping Program'!$B$32:$B$78,'Shipping Program'!$E$32:$E$78),IFERROR(INDEX(_V7Batches!$D:$D,MATCH(P131&amp;"",_V7Batches!$A:$A,0)),""))</f>
        <v>46533</v>
      </c>
      <c r="T131" s="24">
        <f>S131+'Shipping Program'!$H$9</f>
        <v>46540</v>
      </c>
      <c r="U131" s="25">
        <f>IFERROR(IF(J131*T131&lt;&gt;0,J131-T131,""),"")</f>
        <v>20</v>
      </c>
      <c r="V131" s="25" t="str">
        <f>IF(U131&lt;&gt;"",IF(U131&gt;28,"Too early",IF(U131&lt;14,"Too late","")),"")</f>
        <v/>
      </c>
      <c r="W131" s="35"/>
      <c r="X131" s="26">
        <f ca="1">IF(OFFSET(X131,1,0)="",R131,OFFSET(X131,1,0))</f>
        <v>46503</v>
      </c>
      <c r="Y131" s="26">
        <f ca="1">IF(OFFSET(Y131,1,0)="",X131+'Shipping Program'!$F$9,OFFSET(Y131,1,0))</f>
        <v>46533</v>
      </c>
      <c r="Z131" s="26">
        <f ca="1">IF(OFFSET(Z131,1,0)="",Y131+'Shipping Program'!$H$9,OFFSET(Z131,1,0))</f>
        <v>46540</v>
      </c>
      <c r="AA131" s="27">
        <f ca="1">IFERROR(IF(J131*Z131&lt;&gt;0,J131-Z131,""),"")</f>
        <v>20</v>
      </c>
      <c r="AB131" s="27" t="str">
        <f ca="1">IF(AA131&lt;&gt;"",IF(AA131&gt;28,"Too early",IF(AA131&lt;14,"Too late","")),"")</f>
        <v/>
      </c>
      <c r="AC131" s="46"/>
      <c r="AE131" s="80" t="s">
        <v>54</v>
      </c>
      <c r="AF131" s="80"/>
      <c r="AG131" s="80"/>
      <c r="AH131" s="80" t="str">
        <f>IF(AI131="","",AI131*AJ131*AK131/1000/1000/1000)</f>
        <v/>
      </c>
      <c r="AI131" s="80"/>
      <c r="AJ131" s="80"/>
      <c r="AK131" s="80"/>
    </row>
    <row r="132" spans="1:37" ht="20.100000000000001" customHeight="1">
      <c r="A132" s="33">
        <f ca="1">COUNTIF(J$3:OFFSET(J132,-1,0),"Subtotal:")+1</f>
        <v>9</v>
      </c>
      <c r="B132" s="23" t="str">
        <f ca="1">IF(OFFSET(B132,1,0)&lt;&gt;"",OFFSET(B132,1,0),"")</f>
        <v/>
      </c>
      <c r="C132" s="42"/>
      <c r="D132" s="59" t="s">
        <v>77</v>
      </c>
      <c r="E132" s="60" t="str">
        <f>LEFT(F132,3)</f>
        <v>#13</v>
      </c>
      <c r="F132" s="59" t="s">
        <v>236</v>
      </c>
      <c r="G132" s="59" t="s">
        <v>239</v>
      </c>
      <c r="H132" s="60" t="s">
        <v>242</v>
      </c>
      <c r="I132" s="24">
        <f>IF(J132&lt;&gt;"",J132 - ('Shipping Program'!$D$9 + 'Shipping Program'!$F$9 + 'Shipping Program'!$H$9), "")</f>
        <v>46514</v>
      </c>
      <c r="J132" s="43">
        <v>46561</v>
      </c>
      <c r="K132" s="44" t="str">
        <f>IF(SUM(M132:N132)=0,"",SUM(M132:N132))</f>
        <v/>
      </c>
      <c r="L132" s="44"/>
      <c r="M132" s="44"/>
      <c r="N132" s="54"/>
      <c r="O132" s="25">
        <f>VLOOKUP(I132,'Shipping Program'!$A$32:$B$78,2)-1</f>
        <v>9</v>
      </c>
      <c r="P132" s="44">
        <f>O132</f>
        <v>9</v>
      </c>
      <c r="Q132" s="24">
        <f>R132-7</f>
        <v>46496</v>
      </c>
      <c r="R132" s="24">
        <f>IFERROR(_xlfn.XLOOKUP(P132,'Shipping Program'!$B$32:$B$78,'Shipping Program'!$A$32:$A$78),IFERROR(INDEX(_V7Batches!$B:$B,MATCH(P132&amp;"",_V7Batches!$A:$A,0)),""))</f>
        <v>46503</v>
      </c>
      <c r="S132" s="24">
        <f>IFERROR(_xlfn.XLOOKUP(P132,'Shipping Program'!$B$32:$B$78,'Shipping Program'!$E$32:$E$78),IFERROR(INDEX(_V7Batches!$D:$D,MATCH(P132&amp;"",_V7Batches!$A:$A,0)),""))</f>
        <v>46533</v>
      </c>
      <c r="T132" s="24">
        <f>S132+'Shipping Program'!$H$9</f>
        <v>46540</v>
      </c>
      <c r="U132" s="25">
        <f>IFERROR(IF(J132*T132&lt;&gt;0,J132-T132,""),"")</f>
        <v>21</v>
      </c>
      <c r="V132" s="25" t="str">
        <f>IF(U132&lt;&gt;"",IF(U132&gt;28,"Too early",IF(U132&lt;14,"Too late","")),"")</f>
        <v/>
      </c>
      <c r="W132" s="35"/>
      <c r="X132" s="26">
        <f ca="1">IF(OFFSET(X132,1,0)="",R132,OFFSET(X132,1,0))</f>
        <v>46503</v>
      </c>
      <c r="Y132" s="26">
        <f ca="1">IF(OFFSET(Y132,1,0)="",X132+'Shipping Program'!$F$9,OFFSET(Y132,1,0))</f>
        <v>46533</v>
      </c>
      <c r="Z132" s="26">
        <f ca="1">IF(OFFSET(Z132,1,0)="",Y132+'Shipping Program'!$H$9,OFFSET(Z132,1,0))</f>
        <v>46540</v>
      </c>
      <c r="AA132" s="27">
        <f ca="1">IFERROR(IF(J132*Z132&lt;&gt;0,J132-Z132,""),"")</f>
        <v>21</v>
      </c>
      <c r="AB132" s="27" t="str">
        <f ca="1">IF(AA132&lt;&gt;"",IF(AA132&gt;28,"Too early",IF(AA132&lt;14,"Too late","")),"")</f>
        <v/>
      </c>
      <c r="AC132" s="46"/>
      <c r="AE132" s="80" t="s">
        <v>43</v>
      </c>
      <c r="AF132" s="80" t="s">
        <v>46</v>
      </c>
      <c r="AG132" s="80" t="s">
        <v>63</v>
      </c>
      <c r="AH132" s="80" t="str">
        <f>IF(AI132="","",AI132*AJ132*AK132/1000/1000/1000)</f>
        <v/>
      </c>
      <c r="AI132" s="80"/>
      <c r="AJ132" s="80"/>
      <c r="AK132" s="80"/>
    </row>
    <row r="133" spans="1:37" ht="20.100000000000001" customHeight="1">
      <c r="A133" s="33">
        <f ca="1">COUNTIF(J$3:OFFSET(J133,-1,0),"Subtotal:")+1</f>
        <v>9</v>
      </c>
      <c r="B133" s="62" t="str">
        <f ca="1">IF(OFFSET(B133,1,0)&lt;&gt;"",OFFSET(B133,1,0),"")</f>
        <v/>
      </c>
      <c r="C133" s="63"/>
      <c r="D133" s="59" t="s">
        <v>95</v>
      </c>
      <c r="E133" s="60" t="str">
        <f>LEFT(F133,3)</f>
        <v>#06</v>
      </c>
      <c r="F133" s="59" t="s">
        <v>226</v>
      </c>
      <c r="G133" s="59" t="s">
        <v>243</v>
      </c>
      <c r="H133" s="60"/>
      <c r="I133" s="24">
        <f>IF(J133&lt;&gt;"",J133 - ('Shipping Program'!$D$9 + 'Shipping Program'!$F$9 + 'Shipping Program'!$H$9), "")</f>
        <v>46512</v>
      </c>
      <c r="J133" s="43">
        <v>46559</v>
      </c>
      <c r="K133" s="44" t="str">
        <f>IF(SUM(M133:N133)=0,"",SUM(M133:N133))</f>
        <v/>
      </c>
      <c r="L133" s="64"/>
      <c r="M133" s="44"/>
      <c r="N133" s="54"/>
      <c r="O133" s="25">
        <f>VLOOKUP(I133,'Shipping Program'!$A$32:$B$78,2)-1</f>
        <v>9</v>
      </c>
      <c r="P133" s="44">
        <f>O133</f>
        <v>9</v>
      </c>
      <c r="Q133" s="24">
        <f>R133-7</f>
        <v>46496</v>
      </c>
      <c r="R133" s="24">
        <f>IFERROR(_xlfn.XLOOKUP(P133,'Shipping Program'!$B$32:$B$78,'Shipping Program'!$A$32:$A$78),IFERROR(INDEX(_V7Batches!$B:$B,MATCH(P133&amp;"",_V7Batches!$A:$A,0)),""))</f>
        <v>46503</v>
      </c>
      <c r="S133" s="24">
        <f>IFERROR(_xlfn.XLOOKUP(P133,'Shipping Program'!$B$32:$B$78,'Shipping Program'!$E$32:$E$78),IFERROR(INDEX(_V7Batches!$D:$D,MATCH(P133&amp;"",_V7Batches!$A:$A,0)),""))</f>
        <v>46533</v>
      </c>
      <c r="T133" s="24">
        <f>S133+'Shipping Program'!$H$9</f>
        <v>46540</v>
      </c>
      <c r="U133" s="25">
        <f>IFERROR(IF(J133*T133&lt;&gt;0,J133-T133,""),"")</f>
        <v>19</v>
      </c>
      <c r="V133" s="25" t="str">
        <f>IF(U133&lt;&gt;"",IF(U133&gt;28,"Too early",IF(U133&lt;14,"Too late","")),"")</f>
        <v/>
      </c>
      <c r="W133" s="35"/>
      <c r="X133" s="26">
        <f ca="1">IF(OFFSET(X133,1,0)="",R133,OFFSET(X133,1,0))</f>
        <v>46503</v>
      </c>
      <c r="Y133" s="26">
        <f ca="1">IF(OFFSET(Y133,1,0)="",X133+'Shipping Program'!$F$9,OFFSET(Y133,1,0))</f>
        <v>46533</v>
      </c>
      <c r="Z133" s="26">
        <f ca="1">IF(OFFSET(Z133,1,0)="",Y133+'Shipping Program'!$H$9,OFFSET(Z133,1,0))</f>
        <v>46540</v>
      </c>
      <c r="AA133" s="27">
        <f ca="1">IFERROR(IF(J133*Z133&lt;&gt;0,J133-Z133,""),"")</f>
        <v>19</v>
      </c>
      <c r="AB133" s="27" t="str">
        <f ca="1">IF(AA133&lt;&gt;"",IF(AA133&gt;28,"Too early",IF(AA133&lt;14,"Too late","")),"")</f>
        <v/>
      </c>
      <c r="AC133" s="46"/>
      <c r="AE133" s="80" t="s">
        <v>43</v>
      </c>
      <c r="AF133" s="80" t="s">
        <v>46</v>
      </c>
      <c r="AG133" s="80" t="s">
        <v>42</v>
      </c>
      <c r="AH133" s="80" t="str">
        <f>IF(AI133="","",AI133*AJ133*AK133/1000/1000/1000)</f>
        <v/>
      </c>
      <c r="AI133" s="80"/>
      <c r="AJ133" s="80"/>
      <c r="AK133" s="80"/>
    </row>
    <row r="134" spans="1:37" ht="20.100000000000001" customHeight="1">
      <c r="A134" s="33">
        <f ca="1">COUNTIF(J$3:OFFSET(J134,-1,0),"Subtotal:")+1</f>
        <v>9</v>
      </c>
      <c r="B134" s="62" t="str">
        <f ca="1">IF(OFFSET(B134,1,0)&lt;&gt;"",OFFSET(B134,1,0),"")</f>
        <v/>
      </c>
      <c r="C134" s="63"/>
      <c r="D134" s="59" t="s">
        <v>95</v>
      </c>
      <c r="E134" s="60" t="str">
        <f>LEFT(F134,3)</f>
        <v>#06</v>
      </c>
      <c r="F134" s="59" t="s">
        <v>226</v>
      </c>
      <c r="G134" s="59" t="s">
        <v>181</v>
      </c>
      <c r="H134" s="60"/>
      <c r="I134" s="24">
        <f>IF(J134&lt;&gt;"",J134 - ('Shipping Program'!$D$9 + 'Shipping Program'!$F$9 + 'Shipping Program'!$H$9), "")</f>
        <v>46513</v>
      </c>
      <c r="J134" s="43">
        <v>46560</v>
      </c>
      <c r="K134" s="44" t="str">
        <f>IF(SUM(M134:N134)=0,"",SUM(M134:N134))</f>
        <v/>
      </c>
      <c r="L134" s="64"/>
      <c r="M134" s="44"/>
      <c r="N134" s="54"/>
      <c r="O134" s="25">
        <f>VLOOKUP(I134,'Shipping Program'!$A$32:$B$78,2)-1</f>
        <v>9</v>
      </c>
      <c r="P134" s="44">
        <f>O134</f>
        <v>9</v>
      </c>
      <c r="Q134" s="24">
        <f>R134-7</f>
        <v>46496</v>
      </c>
      <c r="R134" s="24">
        <f>IFERROR(_xlfn.XLOOKUP(P134,'Shipping Program'!$B$32:$B$78,'Shipping Program'!$A$32:$A$78),IFERROR(INDEX(_V7Batches!$B:$B,MATCH(P134&amp;"",_V7Batches!$A:$A,0)),""))</f>
        <v>46503</v>
      </c>
      <c r="S134" s="24">
        <f>IFERROR(_xlfn.XLOOKUP(P134,'Shipping Program'!$B$32:$B$78,'Shipping Program'!$E$32:$E$78),IFERROR(INDEX(_V7Batches!$D:$D,MATCH(P134&amp;"",_V7Batches!$A:$A,0)),""))</f>
        <v>46533</v>
      </c>
      <c r="T134" s="24">
        <f>S134+'Shipping Program'!$H$9</f>
        <v>46540</v>
      </c>
      <c r="U134" s="25">
        <f>IFERROR(IF(J134*T134&lt;&gt;0,J134-T134,""),"")</f>
        <v>20</v>
      </c>
      <c r="V134" s="25" t="str">
        <f>IF(U134&lt;&gt;"",IF(U134&gt;28,"Too early",IF(U134&lt;14,"Too late","")),"")</f>
        <v/>
      </c>
      <c r="W134" s="35"/>
      <c r="X134" s="26">
        <f ca="1">IF(OFFSET(X134,1,0)="",R134,OFFSET(X134,1,0))</f>
        <v>46503</v>
      </c>
      <c r="Y134" s="26">
        <f ca="1">IF(OFFSET(Y134,1,0)="",X134+'Shipping Program'!$F$9,OFFSET(Y134,1,0))</f>
        <v>46533</v>
      </c>
      <c r="Z134" s="26">
        <f ca="1">IF(OFFSET(Z134,1,0)="",Y134+'Shipping Program'!$H$9,OFFSET(Z134,1,0))</f>
        <v>46540</v>
      </c>
      <c r="AA134" s="27">
        <f ca="1">IFERROR(IF(J134*Z134&lt;&gt;0,J134-Z134,""),"")</f>
        <v>20</v>
      </c>
      <c r="AB134" s="27" t="str">
        <f ca="1">IF(AA134&lt;&gt;"",IF(AA134&gt;28,"Too early",IF(AA134&lt;14,"Too late","")),"")</f>
        <v/>
      </c>
      <c r="AC134" s="46"/>
      <c r="AE134" s="80" t="s">
        <v>43</v>
      </c>
      <c r="AF134" s="80" t="s">
        <v>46</v>
      </c>
      <c r="AG134" s="80" t="s">
        <v>42</v>
      </c>
      <c r="AH134" s="80" t="str">
        <f>IF(AI134="","",AI134*AJ134*AK134/1000/1000/1000)</f>
        <v/>
      </c>
      <c r="AI134" s="80"/>
      <c r="AJ134" s="80"/>
      <c r="AK134" s="80"/>
    </row>
    <row r="135" spans="1:37" ht="20.100000000000001" customHeight="1">
      <c r="A135" s="33">
        <f ca="1">COUNTIF(J$3:OFFSET(J135,-1,0),"Subtotal:")+1</f>
        <v>9</v>
      </c>
      <c r="B135" s="62" t="str">
        <f ca="1">IF(OFFSET(B135,1,0)&lt;&gt;"",OFFSET(B135,1,0),"")</f>
        <v/>
      </c>
      <c r="C135" s="63"/>
      <c r="D135" s="59" t="s">
        <v>95</v>
      </c>
      <c r="E135" s="60" t="str">
        <f>LEFT(F135,3)</f>
        <v>#06</v>
      </c>
      <c r="F135" s="59" t="s">
        <v>231</v>
      </c>
      <c r="G135" s="59" t="s">
        <v>243</v>
      </c>
      <c r="H135" s="60"/>
      <c r="I135" s="24">
        <f>IF(J135&lt;&gt;"",J135 - ('Shipping Program'!$D$9 + 'Shipping Program'!$F$9 + 'Shipping Program'!$H$9), "")</f>
        <v>46516</v>
      </c>
      <c r="J135" s="43">
        <v>46563</v>
      </c>
      <c r="K135" s="44" t="str">
        <f>IF(SUM(M135:N135)=0,"",SUM(M135:N135))</f>
        <v/>
      </c>
      <c r="L135" s="64"/>
      <c r="M135" s="44"/>
      <c r="N135" s="54"/>
      <c r="O135" s="25">
        <f>VLOOKUP(I135,'Shipping Program'!$A$32:$B$78,2)-1</f>
        <v>9</v>
      </c>
      <c r="P135" s="44">
        <f>O135</f>
        <v>9</v>
      </c>
      <c r="Q135" s="24">
        <f>R135-7</f>
        <v>46496</v>
      </c>
      <c r="R135" s="24">
        <f>IFERROR(_xlfn.XLOOKUP(P135,'Shipping Program'!$B$32:$B$78,'Shipping Program'!$A$32:$A$78),IFERROR(INDEX(_V7Batches!$B:$B,MATCH(P135&amp;"",_V7Batches!$A:$A,0)),""))</f>
        <v>46503</v>
      </c>
      <c r="S135" s="24">
        <f>IFERROR(_xlfn.XLOOKUP(P135,'Shipping Program'!$B$32:$B$78,'Shipping Program'!$E$32:$E$78),IFERROR(INDEX(_V7Batches!$D:$D,MATCH(P135&amp;"",_V7Batches!$A:$A,0)),""))</f>
        <v>46533</v>
      </c>
      <c r="T135" s="24">
        <f>S135+'Shipping Program'!$H$9</f>
        <v>46540</v>
      </c>
      <c r="U135" s="25">
        <f>IFERROR(IF(J135*T135&lt;&gt;0,J135-T135,""),"")</f>
        <v>23</v>
      </c>
      <c r="V135" s="25" t="str">
        <f>IF(U135&lt;&gt;"",IF(U135&gt;28,"Too early",IF(U135&lt;14,"Too late","")),"")</f>
        <v/>
      </c>
      <c r="W135" s="35"/>
      <c r="X135" s="26">
        <f ca="1">IF(OFFSET(X135,1,0)="",R135,OFFSET(X135,1,0))</f>
        <v>46503</v>
      </c>
      <c r="Y135" s="26">
        <f ca="1">IF(OFFSET(Y135,1,0)="",X135+'Shipping Program'!$F$9,OFFSET(Y135,1,0))</f>
        <v>46533</v>
      </c>
      <c r="Z135" s="26">
        <f ca="1">IF(OFFSET(Z135,1,0)="",Y135+'Shipping Program'!$H$9,OFFSET(Z135,1,0))</f>
        <v>46540</v>
      </c>
      <c r="AA135" s="27">
        <f ca="1">IFERROR(IF(J135*Z135&lt;&gt;0,J135-Z135,""),"")</f>
        <v>23</v>
      </c>
      <c r="AB135" s="27" t="str">
        <f ca="1">IF(AA135&lt;&gt;"",IF(AA135&gt;28,"Too early",IF(AA135&lt;14,"Too late","")),"")</f>
        <v/>
      </c>
      <c r="AC135" s="46"/>
      <c r="AE135" s="80" t="s">
        <v>43</v>
      </c>
      <c r="AF135" s="80" t="s">
        <v>46</v>
      </c>
      <c r="AG135" s="80" t="s">
        <v>42</v>
      </c>
      <c r="AH135" s="80" t="str">
        <f>IF(AI135="","",AI135*AJ135*AK135/1000/1000/1000)</f>
        <v/>
      </c>
      <c r="AI135" s="80"/>
      <c r="AJ135" s="80"/>
      <c r="AK135" s="80"/>
    </row>
    <row r="136" spans="1:37" ht="20.100000000000001" customHeight="1">
      <c r="A136" s="33">
        <f ca="1">COUNTIF(J$3:OFFSET(J136,-1,0),"Subtotal:")+1</f>
        <v>9</v>
      </c>
      <c r="B136" s="23" t="str">
        <f ca="1">IF(OFFSET(B136,1,0)&lt;&gt;"",OFFSET(B136,1,0),"")</f>
        <v/>
      </c>
      <c r="C136" s="42"/>
      <c r="D136" s="64" t="s">
        <v>97</v>
      </c>
      <c r="E136" s="60" t="str">
        <f>LEFT(F136,3)</f>
        <v>#10</v>
      </c>
      <c r="F136" s="59" t="s">
        <v>247</v>
      </c>
      <c r="G136" s="64" t="s">
        <v>260</v>
      </c>
      <c r="H136" s="64"/>
      <c r="I136" s="24">
        <f>IF(J136&lt;&gt;"",J136 - ('Shipping Program'!$D$9 + 'Shipping Program'!$F$9 + 'Shipping Program'!$H$9), "")</f>
        <v>46512</v>
      </c>
      <c r="J136" s="43">
        <v>46559</v>
      </c>
      <c r="K136" s="44" t="str">
        <f>IF(SUM(M136:N136)=0,"",SUM(M136:N136))</f>
        <v/>
      </c>
      <c r="L136" s="44"/>
      <c r="M136" s="44"/>
      <c r="N136" s="54"/>
      <c r="O136" s="25">
        <f>VLOOKUP(I136,'Shipping Program'!$A$32:$B$78,2)-1</f>
        <v>9</v>
      </c>
      <c r="P136" s="44">
        <f>O136</f>
        <v>9</v>
      </c>
      <c r="Q136" s="24">
        <f>R136-7</f>
        <v>46496</v>
      </c>
      <c r="R136" s="24">
        <f>IFERROR(_xlfn.XLOOKUP(P136,'Shipping Program'!$B$32:$B$78,'Shipping Program'!$A$32:$A$78),IFERROR(INDEX(_V7Batches!$B:$B,MATCH(P136&amp;"",_V7Batches!$A:$A,0)),""))</f>
        <v>46503</v>
      </c>
      <c r="S136" s="24">
        <f>IFERROR(_xlfn.XLOOKUP(P136,'Shipping Program'!$B$32:$B$78,'Shipping Program'!$E$32:$E$78),IFERROR(INDEX(_V7Batches!$D:$D,MATCH(P136&amp;"",_V7Batches!$A:$A,0)),""))</f>
        <v>46533</v>
      </c>
      <c r="T136" s="24">
        <f>S136+'Shipping Program'!$H$9</f>
        <v>46540</v>
      </c>
      <c r="U136" s="25">
        <f>IFERROR(IF(J136*T136&lt;&gt;0,J136-T136,""),"")</f>
        <v>19</v>
      </c>
      <c r="V136" s="25" t="str">
        <f>IF(U136&lt;&gt;"",IF(U136&gt;28,"Too early",IF(U136&lt;14,"Too late","")),"")</f>
        <v/>
      </c>
      <c r="W136" s="35"/>
      <c r="X136" s="26">
        <f ca="1">IF(OFFSET(X136,1,0)="",R136,OFFSET(X136,1,0))</f>
        <v>46503</v>
      </c>
      <c r="Y136" s="26">
        <f ca="1">IF(OFFSET(Y136,1,0)="",X136+'Shipping Program'!$F$9,OFFSET(Y136,1,0))</f>
        <v>46533</v>
      </c>
      <c r="Z136" s="26">
        <f ca="1">IF(OFFSET(Z136,1,0)="",Y136+'Shipping Program'!$H$9,OFFSET(Z136,1,0))</f>
        <v>46540</v>
      </c>
      <c r="AA136" s="27">
        <f ca="1">IFERROR(IF(J136*Z136&lt;&gt;0,J136-Z136,""),"")</f>
        <v>19</v>
      </c>
      <c r="AB136" s="27" t="str">
        <f ca="1">IF(AA136&lt;&gt;"",IF(AA136&gt;28,"Too early",IF(AA136&lt;14,"Too late","")),"")</f>
        <v/>
      </c>
      <c r="AC136" s="46"/>
      <c r="AE136" s="80" t="s">
        <v>43</v>
      </c>
      <c r="AF136" s="80" t="s">
        <v>41</v>
      </c>
      <c r="AG136" s="80" t="s">
        <v>42</v>
      </c>
      <c r="AH136" s="80" t="str">
        <f>IF(AI136="","",AI136*AJ136*AK136/1000/1000/1000)</f>
        <v/>
      </c>
      <c r="AI136" s="80"/>
      <c r="AJ136" s="80"/>
      <c r="AK136" s="80"/>
    </row>
    <row r="137" spans="1:37" ht="20.100000000000001" customHeight="1">
      <c r="A137" s="33">
        <f ca="1">COUNTIF(J$3:OFFSET(J137,-1,0),"Subtotal:")+1</f>
        <v>9</v>
      </c>
      <c r="B137" s="23" t="str">
        <f ca="1">IF(OFFSET(B137,1,0)&lt;&gt;"",OFFSET(B137,1,0),"")</f>
        <v/>
      </c>
      <c r="C137" s="42"/>
      <c r="D137" s="64" t="s">
        <v>97</v>
      </c>
      <c r="E137" s="60" t="str">
        <f>LEFT(F137,3)</f>
        <v>#10</v>
      </c>
      <c r="F137" s="59" t="s">
        <v>247</v>
      </c>
      <c r="G137" s="64" t="s">
        <v>263</v>
      </c>
      <c r="H137" s="64"/>
      <c r="I137" s="24">
        <f>IF(J137&lt;&gt;"",J137 - ('Shipping Program'!$D$9 + 'Shipping Program'!$F$9 + 'Shipping Program'!$H$9), "")</f>
        <v>46512</v>
      </c>
      <c r="J137" s="43">
        <v>46559</v>
      </c>
      <c r="K137" s="44" t="str">
        <f>IF(SUM(M137:N137)=0,"",SUM(M137:N137))</f>
        <v/>
      </c>
      <c r="L137" s="44"/>
      <c r="M137" s="44"/>
      <c r="N137" s="54"/>
      <c r="O137" s="25">
        <f>VLOOKUP(I137,'Shipping Program'!$A$32:$B$78,2)-1</f>
        <v>9</v>
      </c>
      <c r="P137" s="44">
        <f>O137</f>
        <v>9</v>
      </c>
      <c r="Q137" s="24">
        <f>R137-7</f>
        <v>46496</v>
      </c>
      <c r="R137" s="24">
        <f>IFERROR(_xlfn.XLOOKUP(P137,'Shipping Program'!$B$32:$B$78,'Shipping Program'!$A$32:$A$78),IFERROR(INDEX(_V7Batches!$B:$B,MATCH(P137&amp;"",_V7Batches!$A:$A,0)),""))</f>
        <v>46503</v>
      </c>
      <c r="S137" s="24">
        <f>IFERROR(_xlfn.XLOOKUP(P137,'Shipping Program'!$B$32:$B$78,'Shipping Program'!$E$32:$E$78),IFERROR(INDEX(_V7Batches!$D:$D,MATCH(P137&amp;"",_V7Batches!$A:$A,0)),""))</f>
        <v>46533</v>
      </c>
      <c r="T137" s="24">
        <f>S137+'Shipping Program'!$H$9</f>
        <v>46540</v>
      </c>
      <c r="U137" s="25">
        <f>IFERROR(IF(J137*T137&lt;&gt;0,J137-T137,""),"")</f>
        <v>19</v>
      </c>
      <c r="V137" s="25" t="str">
        <f>IF(U137&lt;&gt;"",IF(U137&gt;28,"Too early",IF(U137&lt;14,"Too late","")),"")</f>
        <v/>
      </c>
      <c r="W137" s="35"/>
      <c r="X137" s="26">
        <f ca="1">IF(OFFSET(X137,1,0)="",R137,OFFSET(X137,1,0))</f>
        <v>46503</v>
      </c>
      <c r="Y137" s="26">
        <f ca="1">IF(OFFSET(Y137,1,0)="",X137+'Shipping Program'!$F$9,OFFSET(Y137,1,0))</f>
        <v>46533</v>
      </c>
      <c r="Z137" s="26">
        <f ca="1">IF(OFFSET(Z137,1,0)="",Y137+'Shipping Program'!$H$9,OFFSET(Z137,1,0))</f>
        <v>46540</v>
      </c>
      <c r="AA137" s="27">
        <f ca="1">IFERROR(IF(J137*Z137&lt;&gt;0,J137-Z137,""),"")</f>
        <v>19</v>
      </c>
      <c r="AB137" s="27" t="str">
        <f ca="1">IF(AA137&lt;&gt;"",IF(AA137&gt;28,"Too early",IF(AA137&lt;14,"Too late","")),"")</f>
        <v/>
      </c>
      <c r="AC137" s="46"/>
      <c r="AE137" s="80" t="s">
        <v>43</v>
      </c>
      <c r="AF137" s="80" t="s">
        <v>41</v>
      </c>
      <c r="AG137" s="80" t="s">
        <v>42</v>
      </c>
      <c r="AH137" s="80" t="str">
        <f>IF(AI137="","",AI137*AJ137*AK137/1000/1000/1000)</f>
        <v/>
      </c>
      <c r="AI137" s="80"/>
      <c r="AJ137" s="80"/>
      <c r="AK137" s="80"/>
    </row>
    <row r="138" spans="1:37" ht="20.100000000000001" customHeight="1">
      <c r="A138" s="33">
        <f ca="1">COUNTIF(J$3:OFFSET(J138,-1,0),"Subtotal:")+1</f>
        <v>9</v>
      </c>
      <c r="B138" s="23" t="str">
        <f ca="1">IF(OFFSET(B138,1,0)&lt;&gt;"",OFFSET(B138,1,0),"")</f>
        <v/>
      </c>
      <c r="C138" s="42"/>
      <c r="D138" s="64" t="s">
        <v>97</v>
      </c>
      <c r="E138" s="60" t="str">
        <f>LEFT(F138,3)</f>
        <v>#10</v>
      </c>
      <c r="F138" s="59" t="s">
        <v>247</v>
      </c>
      <c r="G138" s="64" t="s">
        <v>264</v>
      </c>
      <c r="H138" s="64"/>
      <c r="I138" s="24">
        <f>IF(J138&lt;&gt;"",J138 - ('Shipping Program'!$D$9 + 'Shipping Program'!$F$9 + 'Shipping Program'!$H$9), "")</f>
        <v>46512</v>
      </c>
      <c r="J138" s="43">
        <v>46559</v>
      </c>
      <c r="K138" s="44" t="str">
        <f>IF(SUM(M138:N138)=0,"",SUM(M138:N138))</f>
        <v/>
      </c>
      <c r="L138" s="44"/>
      <c r="M138" s="44"/>
      <c r="N138" s="54"/>
      <c r="O138" s="25">
        <f>VLOOKUP(I138,'Shipping Program'!$A$32:$B$78,2)-1</f>
        <v>9</v>
      </c>
      <c r="P138" s="44">
        <f>O138</f>
        <v>9</v>
      </c>
      <c r="Q138" s="24">
        <f>R138-7</f>
        <v>46496</v>
      </c>
      <c r="R138" s="24">
        <f>IFERROR(_xlfn.XLOOKUP(P138,'Shipping Program'!$B$32:$B$78,'Shipping Program'!$A$32:$A$78),IFERROR(INDEX(_V7Batches!$B:$B,MATCH(P138&amp;"",_V7Batches!$A:$A,0)),""))</f>
        <v>46503</v>
      </c>
      <c r="S138" s="24">
        <f>IFERROR(_xlfn.XLOOKUP(P138,'Shipping Program'!$B$32:$B$78,'Shipping Program'!$E$32:$E$78),IFERROR(INDEX(_V7Batches!$D:$D,MATCH(P138&amp;"",_V7Batches!$A:$A,0)),""))</f>
        <v>46533</v>
      </c>
      <c r="T138" s="24">
        <f>S138+'Shipping Program'!$H$9</f>
        <v>46540</v>
      </c>
      <c r="U138" s="25">
        <f>IFERROR(IF(J138*T138&lt;&gt;0,J138-T138,""),"")</f>
        <v>19</v>
      </c>
      <c r="V138" s="25" t="str">
        <f>IF(U138&lt;&gt;"",IF(U138&gt;28,"Too early",IF(U138&lt;14,"Too late","")),"")</f>
        <v/>
      </c>
      <c r="W138" s="35"/>
      <c r="X138" s="26">
        <f ca="1">IF(OFFSET(X138,1,0)="",R138,OFFSET(X138,1,0))</f>
        <v>46503</v>
      </c>
      <c r="Y138" s="26">
        <f ca="1">IF(OFFSET(Y138,1,0)="",X138+'Shipping Program'!$F$9,OFFSET(Y138,1,0))</f>
        <v>46533</v>
      </c>
      <c r="Z138" s="26">
        <f ca="1">IF(OFFSET(Z138,1,0)="",Y138+'Shipping Program'!$H$9,OFFSET(Z138,1,0))</f>
        <v>46540</v>
      </c>
      <c r="AA138" s="27">
        <f ca="1">IFERROR(IF(J138*Z138&lt;&gt;0,J138-Z138,""),"")</f>
        <v>19</v>
      </c>
      <c r="AB138" s="27" t="str">
        <f ca="1">IF(AA138&lt;&gt;"",IF(AA138&gt;28,"Too early",IF(AA138&lt;14,"Too late","")),"")</f>
        <v/>
      </c>
      <c r="AC138" s="46"/>
      <c r="AE138" s="80" t="s">
        <v>43</v>
      </c>
      <c r="AF138" s="80" t="s">
        <v>41</v>
      </c>
      <c r="AG138" s="80" t="s">
        <v>42</v>
      </c>
      <c r="AH138" s="80" t="str">
        <f>IF(AI138="","",AI138*AJ138*AK138/1000/1000/1000)</f>
        <v/>
      </c>
      <c r="AI138" s="80"/>
      <c r="AJ138" s="80"/>
      <c r="AK138" s="80"/>
    </row>
    <row r="139" spans="1:37" ht="20.100000000000001" customHeight="1">
      <c r="A139" s="33">
        <f ca="1">COUNTIF(J$3:OFFSET(J139,-1,0),"Subtotal:")+1</f>
        <v>9</v>
      </c>
      <c r="B139" s="23" t="str">
        <f ca="1">IF(OFFSET(B139,1,0)&lt;&gt;"",OFFSET(B139,1,0),"")</f>
        <v/>
      </c>
      <c r="C139" s="42"/>
      <c r="D139" s="64" t="s">
        <v>97</v>
      </c>
      <c r="E139" s="60" t="str">
        <f>LEFT(F139,3)</f>
        <v>#10</v>
      </c>
      <c r="F139" s="59" t="s">
        <v>247</v>
      </c>
      <c r="G139" s="64" t="s">
        <v>265</v>
      </c>
      <c r="H139" s="64"/>
      <c r="I139" s="24">
        <f>IF(J139&lt;&gt;"",J139 - ('Shipping Program'!$D$9 + 'Shipping Program'!$F$9 + 'Shipping Program'!$H$9), "")</f>
        <v>46512</v>
      </c>
      <c r="J139" s="43">
        <v>46559</v>
      </c>
      <c r="K139" s="44" t="str">
        <f>IF(SUM(M139:N139)=0,"",SUM(M139:N139))</f>
        <v/>
      </c>
      <c r="L139" s="44"/>
      <c r="M139" s="44"/>
      <c r="N139" s="54"/>
      <c r="O139" s="25">
        <f>VLOOKUP(I139,'Shipping Program'!$A$32:$B$78,2)-1</f>
        <v>9</v>
      </c>
      <c r="P139" s="44">
        <f>O139</f>
        <v>9</v>
      </c>
      <c r="Q139" s="24">
        <f>R139-7</f>
        <v>46496</v>
      </c>
      <c r="R139" s="24">
        <f>IFERROR(_xlfn.XLOOKUP(P139,'Shipping Program'!$B$32:$B$78,'Shipping Program'!$A$32:$A$78),IFERROR(INDEX(_V7Batches!$B:$B,MATCH(P139&amp;"",_V7Batches!$A:$A,0)),""))</f>
        <v>46503</v>
      </c>
      <c r="S139" s="24">
        <f>IFERROR(_xlfn.XLOOKUP(P139,'Shipping Program'!$B$32:$B$78,'Shipping Program'!$E$32:$E$78),IFERROR(INDEX(_V7Batches!$D:$D,MATCH(P139&amp;"",_V7Batches!$A:$A,0)),""))</f>
        <v>46533</v>
      </c>
      <c r="T139" s="24">
        <f>S139+'Shipping Program'!$H$9</f>
        <v>46540</v>
      </c>
      <c r="U139" s="25">
        <f>IFERROR(IF(J139*T139&lt;&gt;0,J139-T139,""),"")</f>
        <v>19</v>
      </c>
      <c r="V139" s="25" t="str">
        <f>IF(U139&lt;&gt;"",IF(U139&gt;28,"Too early",IF(U139&lt;14,"Too late","")),"")</f>
        <v/>
      </c>
      <c r="W139" s="35"/>
      <c r="X139" s="26">
        <f ca="1">IF(OFFSET(X139,1,0)="",R139,OFFSET(X139,1,0))</f>
        <v>46503</v>
      </c>
      <c r="Y139" s="26">
        <f ca="1">IF(OFFSET(Y139,1,0)="",X139+'Shipping Program'!$F$9,OFFSET(Y139,1,0))</f>
        <v>46533</v>
      </c>
      <c r="Z139" s="26">
        <f ca="1">IF(OFFSET(Z139,1,0)="",Y139+'Shipping Program'!$H$9,OFFSET(Z139,1,0))</f>
        <v>46540</v>
      </c>
      <c r="AA139" s="27">
        <f ca="1">IFERROR(IF(J139*Z139&lt;&gt;0,J139-Z139,""),"")</f>
        <v>19</v>
      </c>
      <c r="AB139" s="27" t="str">
        <f ca="1">IF(AA139&lt;&gt;"",IF(AA139&gt;28,"Too early",IF(AA139&lt;14,"Too late","")),"")</f>
        <v/>
      </c>
      <c r="AC139" s="46"/>
      <c r="AE139" s="80" t="s">
        <v>43</v>
      </c>
      <c r="AF139" s="80" t="s">
        <v>41</v>
      </c>
      <c r="AG139" s="80" t="s">
        <v>42</v>
      </c>
      <c r="AH139" s="80" t="str">
        <f>IF(AI139="","",AI139*AJ139*AK139/1000/1000/1000)</f>
        <v/>
      </c>
      <c r="AI139" s="80"/>
      <c r="AJ139" s="80"/>
      <c r="AK139" s="80"/>
    </row>
    <row r="140" spans="1:37" ht="20.100000000000001" customHeight="1">
      <c r="A140" s="33">
        <f ca="1">COUNTIF(J$3:OFFSET(J140,-1,0),"Subtotal:")+1</f>
        <v>9</v>
      </c>
      <c r="B140" s="23" t="str">
        <f ca="1">IF(OFFSET(B140,1,0)&lt;&gt;"",OFFSET(B140,1,0),"")</f>
        <v/>
      </c>
      <c r="C140" s="42"/>
      <c r="D140" s="64" t="s">
        <v>97</v>
      </c>
      <c r="E140" s="60" t="str">
        <f>LEFT(F140,3)</f>
        <v>#10</v>
      </c>
      <c r="F140" s="59" t="s">
        <v>247</v>
      </c>
      <c r="G140" s="64" t="s">
        <v>266</v>
      </c>
      <c r="H140" s="64"/>
      <c r="I140" s="24">
        <f>IF(J140&lt;&gt;"",J140 - ('Shipping Program'!$D$9 + 'Shipping Program'!$F$9 + 'Shipping Program'!$H$9), "")</f>
        <v>46512</v>
      </c>
      <c r="J140" s="43">
        <v>46559</v>
      </c>
      <c r="K140" s="44" t="str">
        <f>IF(SUM(M140:N140)=0,"",SUM(M140:N140))</f>
        <v/>
      </c>
      <c r="L140" s="44"/>
      <c r="M140" s="44"/>
      <c r="N140" s="54"/>
      <c r="O140" s="25">
        <f>VLOOKUP(I140,'Shipping Program'!$A$32:$B$78,2)-1</f>
        <v>9</v>
      </c>
      <c r="P140" s="44">
        <f>O140</f>
        <v>9</v>
      </c>
      <c r="Q140" s="24">
        <f>R140-7</f>
        <v>46496</v>
      </c>
      <c r="R140" s="24">
        <f>IFERROR(_xlfn.XLOOKUP(P140,'Shipping Program'!$B$32:$B$78,'Shipping Program'!$A$32:$A$78),IFERROR(INDEX(_V7Batches!$B:$B,MATCH(P140&amp;"",_V7Batches!$A:$A,0)),""))</f>
        <v>46503</v>
      </c>
      <c r="S140" s="24">
        <f>IFERROR(_xlfn.XLOOKUP(P140,'Shipping Program'!$B$32:$B$78,'Shipping Program'!$E$32:$E$78),IFERROR(INDEX(_V7Batches!$D:$D,MATCH(P140&amp;"",_V7Batches!$A:$A,0)),""))</f>
        <v>46533</v>
      </c>
      <c r="T140" s="24">
        <f>S140+'Shipping Program'!$H$9</f>
        <v>46540</v>
      </c>
      <c r="U140" s="25">
        <f>IFERROR(IF(J140*T140&lt;&gt;0,J140-T140,""),"")</f>
        <v>19</v>
      </c>
      <c r="V140" s="25" t="str">
        <f>IF(U140&lt;&gt;"",IF(U140&gt;28,"Too early",IF(U140&lt;14,"Too late","")),"")</f>
        <v/>
      </c>
      <c r="W140" s="35"/>
      <c r="X140" s="26">
        <f ca="1">IF(OFFSET(X140,1,0)="",R140,OFFSET(X140,1,0))</f>
        <v>46503</v>
      </c>
      <c r="Y140" s="26">
        <f ca="1">IF(OFFSET(Y140,1,0)="",X140+'Shipping Program'!$F$9,OFFSET(Y140,1,0))</f>
        <v>46533</v>
      </c>
      <c r="Z140" s="26">
        <f ca="1">IF(OFFSET(Z140,1,0)="",Y140+'Shipping Program'!$H$9,OFFSET(Z140,1,0))</f>
        <v>46540</v>
      </c>
      <c r="AA140" s="27">
        <f ca="1">IFERROR(IF(J140*Z140&lt;&gt;0,J140-Z140,""),"")</f>
        <v>19</v>
      </c>
      <c r="AB140" s="27" t="str">
        <f ca="1">IF(AA140&lt;&gt;"",IF(AA140&gt;28,"Too early",IF(AA140&lt;14,"Too late","")),"")</f>
        <v/>
      </c>
      <c r="AC140" s="46"/>
      <c r="AE140" s="80" t="s">
        <v>43</v>
      </c>
      <c r="AF140" s="80" t="s">
        <v>41</v>
      </c>
      <c r="AG140" s="80" t="s">
        <v>42</v>
      </c>
      <c r="AH140" s="80" t="str">
        <f>IF(AI140="","",AI140*AJ140*AK140/1000/1000/1000)</f>
        <v/>
      </c>
      <c r="AI140" s="80"/>
      <c r="AJ140" s="80"/>
      <c r="AK140" s="80"/>
    </row>
    <row r="141" spans="1:37" ht="20.100000000000001" customHeight="1">
      <c r="A141" s="33">
        <f ca="1">COUNTIF(J$3:OFFSET(J141,-1,0),"Subtotal:")+1</f>
        <v>9</v>
      </c>
      <c r="B141" s="23" t="str">
        <f ca="1">IF(OFFSET(B141,1,0)&lt;&gt;"",OFFSET(B141,1,0),"")</f>
        <v/>
      </c>
      <c r="C141" s="42"/>
      <c r="D141" s="64" t="s">
        <v>97</v>
      </c>
      <c r="E141" s="60" t="str">
        <f>LEFT(F141,3)</f>
        <v>#10</v>
      </c>
      <c r="F141" s="59" t="s">
        <v>247</v>
      </c>
      <c r="G141" s="64" t="s">
        <v>267</v>
      </c>
      <c r="H141" s="64"/>
      <c r="I141" s="24">
        <f>IF(J141&lt;&gt;"",J141 - ('Shipping Program'!$D$9 + 'Shipping Program'!$F$9 + 'Shipping Program'!$H$9), "")</f>
        <v>46512</v>
      </c>
      <c r="J141" s="43">
        <v>46559</v>
      </c>
      <c r="K141" s="44" t="str">
        <f>IF(SUM(M141:N141)=0,"",SUM(M141:N141))</f>
        <v/>
      </c>
      <c r="L141" s="44"/>
      <c r="M141" s="44"/>
      <c r="N141" s="54"/>
      <c r="O141" s="25">
        <f>VLOOKUP(I141,'Shipping Program'!$A$32:$B$78,2)-1</f>
        <v>9</v>
      </c>
      <c r="P141" s="44">
        <f>O141</f>
        <v>9</v>
      </c>
      <c r="Q141" s="24">
        <f>R141-7</f>
        <v>46496</v>
      </c>
      <c r="R141" s="24">
        <f>IFERROR(_xlfn.XLOOKUP(P141,'Shipping Program'!$B$32:$B$78,'Shipping Program'!$A$32:$A$78),IFERROR(INDEX(_V7Batches!$B:$B,MATCH(P141&amp;"",_V7Batches!$A:$A,0)),""))</f>
        <v>46503</v>
      </c>
      <c r="S141" s="24">
        <f>IFERROR(_xlfn.XLOOKUP(P141,'Shipping Program'!$B$32:$B$78,'Shipping Program'!$E$32:$E$78),IFERROR(INDEX(_V7Batches!$D:$D,MATCH(P141&amp;"",_V7Batches!$A:$A,0)),""))</f>
        <v>46533</v>
      </c>
      <c r="T141" s="24">
        <f>S141+'Shipping Program'!$H$9</f>
        <v>46540</v>
      </c>
      <c r="U141" s="25">
        <f>IFERROR(IF(J141*T141&lt;&gt;0,J141-T141,""),"")</f>
        <v>19</v>
      </c>
      <c r="V141" s="25" t="str">
        <f>IF(U141&lt;&gt;"",IF(U141&gt;28,"Too early",IF(U141&lt;14,"Too late","")),"")</f>
        <v/>
      </c>
      <c r="W141" s="35"/>
      <c r="X141" s="26">
        <f ca="1">IF(OFFSET(X141,1,0)="",R141,OFFSET(X141,1,0))</f>
        <v>46503</v>
      </c>
      <c r="Y141" s="26">
        <f ca="1">IF(OFFSET(Y141,1,0)="",X141+'Shipping Program'!$F$9,OFFSET(Y141,1,0))</f>
        <v>46533</v>
      </c>
      <c r="Z141" s="26">
        <f ca="1">IF(OFFSET(Z141,1,0)="",Y141+'Shipping Program'!$H$9,OFFSET(Z141,1,0))</f>
        <v>46540</v>
      </c>
      <c r="AA141" s="27">
        <f ca="1">IFERROR(IF(J141*Z141&lt;&gt;0,J141-Z141,""),"")</f>
        <v>19</v>
      </c>
      <c r="AB141" s="27" t="str">
        <f ca="1">IF(AA141&lt;&gt;"",IF(AA141&gt;28,"Too early",IF(AA141&lt;14,"Too late","")),"")</f>
        <v/>
      </c>
      <c r="AC141" s="46"/>
      <c r="AE141" s="80" t="s">
        <v>43</v>
      </c>
      <c r="AF141" s="80" t="s">
        <v>41</v>
      </c>
      <c r="AG141" s="80" t="s">
        <v>42</v>
      </c>
      <c r="AH141" s="80" t="str">
        <f>IF(AI141="","",AI141*AJ141*AK141/1000/1000/1000)</f>
        <v/>
      </c>
      <c r="AI141" s="80"/>
      <c r="AJ141" s="80"/>
      <c r="AK141" s="80"/>
    </row>
    <row r="142" spans="1:37" ht="20.100000000000001" customHeight="1">
      <c r="A142" s="33">
        <f ca="1">COUNTIF(J$3:OFFSET(J142,-1,0),"Subtotal:")+1</f>
        <v>9</v>
      </c>
      <c r="B142" s="23" t="str">
        <f ca="1">IF(OFFSET(B142,1,0)&lt;&gt;"",OFFSET(B142,1,0),"")</f>
        <v/>
      </c>
      <c r="C142" s="42"/>
      <c r="D142" s="64" t="s">
        <v>97</v>
      </c>
      <c r="E142" s="60" t="str">
        <f>LEFT(F142,3)</f>
        <v>#10</v>
      </c>
      <c r="F142" s="59" t="s">
        <v>254</v>
      </c>
      <c r="G142" s="64" t="s">
        <v>272</v>
      </c>
      <c r="H142" s="64"/>
      <c r="I142" s="24">
        <f>IF(J142&lt;&gt;"",J142 - ('Shipping Program'!$D$9 + 'Shipping Program'!$F$9 + 'Shipping Program'!$H$9), "")</f>
        <v>46514</v>
      </c>
      <c r="J142" s="43">
        <v>46561</v>
      </c>
      <c r="K142" s="44" t="str">
        <f>IF(SUM(M142:N142)=0,"",SUM(M142:N142))</f>
        <v/>
      </c>
      <c r="L142" s="44"/>
      <c r="M142" s="44"/>
      <c r="N142" s="54"/>
      <c r="O142" s="25">
        <f>VLOOKUP(I142,'Shipping Program'!$A$32:$B$78,2)-1</f>
        <v>9</v>
      </c>
      <c r="P142" s="44">
        <f>O142</f>
        <v>9</v>
      </c>
      <c r="Q142" s="24">
        <f>R142-7</f>
        <v>46496</v>
      </c>
      <c r="R142" s="24">
        <f>IFERROR(_xlfn.XLOOKUP(P142,'Shipping Program'!$B$32:$B$78,'Shipping Program'!$A$32:$A$78),IFERROR(INDEX(_V7Batches!$B:$B,MATCH(P142&amp;"",_V7Batches!$A:$A,0)),""))</f>
        <v>46503</v>
      </c>
      <c r="S142" s="24">
        <f>IFERROR(_xlfn.XLOOKUP(P142,'Shipping Program'!$B$32:$B$78,'Shipping Program'!$E$32:$E$78),IFERROR(INDEX(_V7Batches!$D:$D,MATCH(P142&amp;"",_V7Batches!$A:$A,0)),""))</f>
        <v>46533</v>
      </c>
      <c r="T142" s="24">
        <f>S142+'Shipping Program'!$H$9</f>
        <v>46540</v>
      </c>
      <c r="U142" s="25">
        <f>IFERROR(IF(J142*T142&lt;&gt;0,J142-T142,""),"")</f>
        <v>21</v>
      </c>
      <c r="V142" s="25" t="str">
        <f>IF(U142&lt;&gt;"",IF(U142&gt;28,"Too early",IF(U142&lt;14,"Too late","")),"")</f>
        <v/>
      </c>
      <c r="W142" s="35"/>
      <c r="X142" s="26">
        <f ca="1">IF(OFFSET(X142,1,0)="",R142,OFFSET(X142,1,0))</f>
        <v>46503</v>
      </c>
      <c r="Y142" s="26">
        <f ca="1">IF(OFFSET(Y142,1,0)="",X142+'Shipping Program'!$F$9,OFFSET(Y142,1,0))</f>
        <v>46533</v>
      </c>
      <c r="Z142" s="26">
        <f ca="1">IF(OFFSET(Z142,1,0)="",Y142+'Shipping Program'!$H$9,OFFSET(Z142,1,0))</f>
        <v>46540</v>
      </c>
      <c r="AA142" s="27">
        <f ca="1">IFERROR(IF(J142*Z142&lt;&gt;0,J142-Z142,""),"")</f>
        <v>21</v>
      </c>
      <c r="AB142" s="27" t="str">
        <f ca="1">IF(AA142&lt;&gt;"",IF(AA142&gt;28,"Too early",IF(AA142&lt;14,"Too late","")),"")</f>
        <v/>
      </c>
      <c r="AC142" s="46"/>
      <c r="AE142" s="80" t="s">
        <v>43</v>
      </c>
      <c r="AF142" s="80" t="s">
        <v>41</v>
      </c>
      <c r="AG142" s="80" t="s">
        <v>42</v>
      </c>
      <c r="AH142" s="80" t="str">
        <f>IF(AI142="","",AI142*AJ142*AK142/1000/1000/1000)</f>
        <v/>
      </c>
      <c r="AI142" s="80"/>
      <c r="AJ142" s="80"/>
      <c r="AK142" s="80"/>
    </row>
    <row r="143" spans="1:37" ht="20.100000000000001" customHeight="1">
      <c r="A143" s="33">
        <f ca="1">COUNTIF(J$3:OFFSET(J143,-1,0),"Subtotal:")+1</f>
        <v>9</v>
      </c>
      <c r="B143" s="23" t="str">
        <f ca="1">IF(OFFSET(B143,1,0)&lt;&gt;"",OFFSET(B143,1,0),"")</f>
        <v/>
      </c>
      <c r="C143" s="42"/>
      <c r="D143" s="64" t="s">
        <v>97</v>
      </c>
      <c r="E143" s="60" t="str">
        <f>LEFT(F143,3)</f>
        <v>#10</v>
      </c>
      <c r="F143" s="59" t="s">
        <v>251</v>
      </c>
      <c r="G143" s="64" t="s">
        <v>283</v>
      </c>
      <c r="H143" s="64"/>
      <c r="I143" s="24">
        <f>IF(J143&lt;&gt;"",J143 - ('Shipping Program'!$D$9 + 'Shipping Program'!$F$9 + 'Shipping Program'!$H$9), "")</f>
        <v>46511</v>
      </c>
      <c r="J143" s="43">
        <v>46558</v>
      </c>
      <c r="K143" s="44" t="str">
        <f>IF(SUM(M143:N143)=0,"",SUM(M143:N143))</f>
        <v/>
      </c>
      <c r="L143" s="44"/>
      <c r="M143" s="44"/>
      <c r="N143" s="54"/>
      <c r="O143" s="25">
        <f>VLOOKUP(I143,'Shipping Program'!$A$32:$B$78,2)-1</f>
        <v>9</v>
      </c>
      <c r="P143" s="44">
        <f>O143</f>
        <v>9</v>
      </c>
      <c r="Q143" s="24">
        <f>R143-7</f>
        <v>46496</v>
      </c>
      <c r="R143" s="24">
        <f>IFERROR(_xlfn.XLOOKUP(P143,'Shipping Program'!$B$32:$B$78,'Shipping Program'!$A$32:$A$78),IFERROR(INDEX(_V7Batches!$B:$B,MATCH(P143&amp;"",_V7Batches!$A:$A,0)),""))</f>
        <v>46503</v>
      </c>
      <c r="S143" s="24">
        <f>IFERROR(_xlfn.XLOOKUP(P143,'Shipping Program'!$B$32:$B$78,'Shipping Program'!$E$32:$E$78),IFERROR(INDEX(_V7Batches!$D:$D,MATCH(P143&amp;"",_V7Batches!$A:$A,0)),""))</f>
        <v>46533</v>
      </c>
      <c r="T143" s="24">
        <f>S143+'Shipping Program'!$H$9</f>
        <v>46540</v>
      </c>
      <c r="U143" s="25">
        <f>IFERROR(IF(J143*T143&lt;&gt;0,J143-T143,""),"")</f>
        <v>18</v>
      </c>
      <c r="V143" s="25" t="str">
        <f>IF(U143&lt;&gt;"",IF(U143&gt;28,"Too early",IF(U143&lt;14,"Too late","")),"")</f>
        <v/>
      </c>
      <c r="W143" s="35"/>
      <c r="X143" s="26">
        <f ca="1">IF(OFFSET(X143,1,0)="",R143,OFFSET(X143,1,0))</f>
        <v>46503</v>
      </c>
      <c r="Y143" s="26">
        <f ca="1">IF(OFFSET(Y143,1,0)="",X143+'Shipping Program'!$F$9,OFFSET(Y143,1,0))</f>
        <v>46533</v>
      </c>
      <c r="Z143" s="26">
        <f ca="1">IF(OFFSET(Z143,1,0)="",Y143+'Shipping Program'!$H$9,OFFSET(Z143,1,0))</f>
        <v>46540</v>
      </c>
      <c r="AA143" s="27">
        <f ca="1">IFERROR(IF(J143*Z143&lt;&gt;0,J143-Z143,""),"")</f>
        <v>18</v>
      </c>
      <c r="AB143" s="27" t="str">
        <f ca="1">IF(AA143&lt;&gt;"",IF(AA143&gt;28,"Too early",IF(AA143&lt;14,"Too late","")),"")</f>
        <v/>
      </c>
      <c r="AC143" s="46"/>
      <c r="AE143" s="80" t="s">
        <v>43</v>
      </c>
      <c r="AF143" s="80" t="s">
        <v>41</v>
      </c>
      <c r="AG143" s="80" t="s">
        <v>42</v>
      </c>
      <c r="AH143" s="80" t="str">
        <f>IF(AI143="","",AI143*AJ143*AK143/1000/1000/1000)</f>
        <v/>
      </c>
      <c r="AI143" s="80"/>
      <c r="AJ143" s="80"/>
      <c r="AK143" s="80"/>
    </row>
    <row r="144" spans="1:37" ht="20.100000000000001" customHeight="1">
      <c r="A144" s="33">
        <f ca="1">COUNTIF(J$3:OFFSET(J144,-1,0),"Subtotal:")+1</f>
        <v>9</v>
      </c>
      <c r="B144" s="23" t="str">
        <f ca="1">IF(OFFSET(B144,1,0)&lt;&gt;"",OFFSET(B144,1,0),"")</f>
        <v/>
      </c>
      <c r="C144" s="42"/>
      <c r="D144" s="64" t="s">
        <v>97</v>
      </c>
      <c r="E144" s="60" t="str">
        <f>LEFT(F144,3)</f>
        <v>#10</v>
      </c>
      <c r="F144" s="59" t="s">
        <v>253</v>
      </c>
      <c r="G144" s="64" t="s">
        <v>284</v>
      </c>
      <c r="H144" s="64"/>
      <c r="I144" s="24">
        <f>IF(J144&lt;&gt;"",J144 - ('Shipping Program'!$D$9 + 'Shipping Program'!$F$9 + 'Shipping Program'!$H$9), "")</f>
        <v>46516</v>
      </c>
      <c r="J144" s="43">
        <v>46563</v>
      </c>
      <c r="K144" s="44" t="str">
        <f>IF(SUM(M144:N144)=0,"",SUM(M144:N144))</f>
        <v/>
      </c>
      <c r="L144" s="44"/>
      <c r="M144" s="44"/>
      <c r="N144" s="54"/>
      <c r="O144" s="25">
        <f>VLOOKUP(I144,'Shipping Program'!$A$32:$B$78,2)-1</f>
        <v>9</v>
      </c>
      <c r="P144" s="44">
        <f>O144</f>
        <v>9</v>
      </c>
      <c r="Q144" s="24">
        <f>R144-7</f>
        <v>46496</v>
      </c>
      <c r="R144" s="24">
        <f>IFERROR(_xlfn.XLOOKUP(P144,'Shipping Program'!$B$32:$B$78,'Shipping Program'!$A$32:$A$78),IFERROR(INDEX(_V7Batches!$B:$B,MATCH(P144&amp;"",_V7Batches!$A:$A,0)),""))</f>
        <v>46503</v>
      </c>
      <c r="S144" s="24">
        <f>IFERROR(_xlfn.XLOOKUP(P144,'Shipping Program'!$B$32:$B$78,'Shipping Program'!$E$32:$E$78),IFERROR(INDEX(_V7Batches!$D:$D,MATCH(P144&amp;"",_V7Batches!$A:$A,0)),""))</f>
        <v>46533</v>
      </c>
      <c r="T144" s="24">
        <f>S144+'Shipping Program'!$H$9</f>
        <v>46540</v>
      </c>
      <c r="U144" s="25">
        <f>IFERROR(IF(J144*T144&lt;&gt;0,J144-T144,""),"")</f>
        <v>23</v>
      </c>
      <c r="V144" s="25" t="str">
        <f>IF(U144&lt;&gt;"",IF(U144&gt;28,"Too early",IF(U144&lt;14,"Too late","")),"")</f>
        <v/>
      </c>
      <c r="W144" s="35"/>
      <c r="X144" s="26">
        <f ca="1">IF(OFFSET(X144,1,0)="",R144,OFFSET(X144,1,0))</f>
        <v>46503</v>
      </c>
      <c r="Y144" s="26">
        <f ca="1">IF(OFFSET(Y144,1,0)="",X144+'Shipping Program'!$F$9,OFFSET(Y144,1,0))</f>
        <v>46533</v>
      </c>
      <c r="Z144" s="26">
        <f ca="1">IF(OFFSET(Z144,1,0)="",Y144+'Shipping Program'!$H$9,OFFSET(Z144,1,0))</f>
        <v>46540</v>
      </c>
      <c r="AA144" s="27">
        <f ca="1">IFERROR(IF(J144*Z144&lt;&gt;0,J144-Z144,""),"")</f>
        <v>23</v>
      </c>
      <c r="AB144" s="27" t="str">
        <f ca="1">IF(AA144&lt;&gt;"",IF(AA144&gt;28,"Too early",IF(AA144&lt;14,"Too late","")),"")</f>
        <v/>
      </c>
      <c r="AC144" s="46"/>
      <c r="AE144" s="80" t="s">
        <v>43</v>
      </c>
      <c r="AF144" s="80" t="s">
        <v>41</v>
      </c>
      <c r="AG144" s="80" t="s">
        <v>42</v>
      </c>
      <c r="AH144" s="80" t="str">
        <f>IF(AI144="","",AI144*AJ144*AK144/1000/1000/1000)</f>
        <v/>
      </c>
      <c r="AI144" s="80"/>
      <c r="AJ144" s="80"/>
      <c r="AK144" s="80"/>
    </row>
    <row r="145" spans="1:37" ht="20.100000000000001" customHeight="1">
      <c r="A145" s="33">
        <f ca="1">COUNTIF(J$3:OFFSET(J145,-1,0),"Subtotal:")+1</f>
        <v>9</v>
      </c>
      <c r="B145" s="23" t="str">
        <f ca="1">IF(OFFSET(B145,1,0)&lt;&gt;"",OFFSET(B145,1,0),"")</f>
        <v/>
      </c>
      <c r="C145" s="42"/>
      <c r="D145" s="64" t="s">
        <v>97</v>
      </c>
      <c r="E145" s="60" t="str">
        <f>LEFT(F145,3)</f>
        <v>#10</v>
      </c>
      <c r="F145" s="59" t="s">
        <v>253</v>
      </c>
      <c r="G145" s="64" t="s">
        <v>286</v>
      </c>
      <c r="H145" s="64"/>
      <c r="I145" s="24">
        <f>IF(J145&lt;&gt;"",J145 - ('Shipping Program'!$D$9 + 'Shipping Program'!$F$9 + 'Shipping Program'!$H$9), "")</f>
        <v>46515</v>
      </c>
      <c r="J145" s="43">
        <v>46562</v>
      </c>
      <c r="K145" s="44" t="str">
        <f>IF(SUM(M145:N145)=0,"",SUM(M145:N145))</f>
        <v/>
      </c>
      <c r="L145" s="44"/>
      <c r="M145" s="44"/>
      <c r="N145" s="54"/>
      <c r="O145" s="25">
        <f>VLOOKUP(I145,'Shipping Program'!$A$32:$B$78,2)-1</f>
        <v>9</v>
      </c>
      <c r="P145" s="44">
        <f>O145</f>
        <v>9</v>
      </c>
      <c r="Q145" s="24">
        <f>R145-7</f>
        <v>46496</v>
      </c>
      <c r="R145" s="24">
        <f>IFERROR(_xlfn.XLOOKUP(P145,'Shipping Program'!$B$32:$B$78,'Shipping Program'!$A$32:$A$78),IFERROR(INDEX(_V7Batches!$B:$B,MATCH(P145&amp;"",_V7Batches!$A:$A,0)),""))</f>
        <v>46503</v>
      </c>
      <c r="S145" s="24">
        <f>IFERROR(_xlfn.XLOOKUP(P145,'Shipping Program'!$B$32:$B$78,'Shipping Program'!$E$32:$E$78),IFERROR(INDEX(_V7Batches!$D:$D,MATCH(P145&amp;"",_V7Batches!$A:$A,0)),""))</f>
        <v>46533</v>
      </c>
      <c r="T145" s="24">
        <f>S145+'Shipping Program'!$H$9</f>
        <v>46540</v>
      </c>
      <c r="U145" s="25">
        <f>IFERROR(IF(J145*T145&lt;&gt;0,J145-T145,""),"")</f>
        <v>22</v>
      </c>
      <c r="V145" s="25" t="str">
        <f>IF(U145&lt;&gt;"",IF(U145&gt;28,"Too early",IF(U145&lt;14,"Too late","")),"")</f>
        <v/>
      </c>
      <c r="W145" s="35"/>
      <c r="X145" s="26">
        <f ca="1">IF(OFFSET(X145,1,0)="",R145,OFFSET(X145,1,0))</f>
        <v>46503</v>
      </c>
      <c r="Y145" s="26">
        <f ca="1">IF(OFFSET(Y145,1,0)="",X145+'Shipping Program'!$F$9,OFFSET(Y145,1,0))</f>
        <v>46533</v>
      </c>
      <c r="Z145" s="26">
        <f ca="1">IF(OFFSET(Z145,1,0)="",Y145+'Shipping Program'!$H$9,OFFSET(Z145,1,0))</f>
        <v>46540</v>
      </c>
      <c r="AA145" s="27">
        <f ca="1">IFERROR(IF(J145*Z145&lt;&gt;0,J145-Z145,""),"")</f>
        <v>22</v>
      </c>
      <c r="AB145" s="27" t="str">
        <f ca="1">IF(AA145&lt;&gt;"",IF(AA145&gt;28,"Too early",IF(AA145&lt;14,"Too late","")),"")</f>
        <v/>
      </c>
      <c r="AC145" s="46"/>
      <c r="AE145" s="80" t="s">
        <v>43</v>
      </c>
      <c r="AF145" s="80" t="s">
        <v>41</v>
      </c>
      <c r="AG145" s="80" t="s">
        <v>42</v>
      </c>
      <c r="AH145" s="80" t="str">
        <f>IF(AI145="","",AI145*AJ145*AK145/1000/1000/1000)</f>
        <v/>
      </c>
      <c r="AI145" s="80"/>
      <c r="AJ145" s="80"/>
      <c r="AK145" s="80"/>
    </row>
    <row r="146" spans="1:37" ht="20.100000000000001" customHeight="1">
      <c r="A146" s="33">
        <f ca="1">COUNTIF(J$3:OFFSET(J146,-1,0),"Subtotal:")+1</f>
        <v>9</v>
      </c>
      <c r="B146" s="23" t="str">
        <f ca="1">IF(OFFSET(B146,1,0)&lt;&gt;"",OFFSET(B146,1,0),"")</f>
        <v/>
      </c>
      <c r="C146" s="42"/>
      <c r="D146" s="59" t="s">
        <v>106</v>
      </c>
      <c r="E146" s="60" t="str">
        <f>LEFT(F146,3)</f>
        <v>#20</v>
      </c>
      <c r="F146" s="59" t="s">
        <v>311</v>
      </c>
      <c r="G146" s="59" t="s">
        <v>320</v>
      </c>
      <c r="H146" s="60"/>
      <c r="I146" s="24">
        <f>IF(J146&lt;&gt;"",J146 - ('Shipping Program'!$D$9 + 'Shipping Program'!$F$9 + 'Shipping Program'!$H$9), "")</f>
        <v>46513</v>
      </c>
      <c r="J146" s="43">
        <v>46560</v>
      </c>
      <c r="K146" s="44" t="str">
        <f>IF(SUM(M146:N146)=0,"",SUM(M146:N146))</f>
        <v/>
      </c>
      <c r="L146" s="44"/>
      <c r="M146" s="44"/>
      <c r="N146" s="54"/>
      <c r="O146" s="25">
        <f>VLOOKUP(I146,'Shipping Program'!$A$32:$B$78,2)-1</f>
        <v>9</v>
      </c>
      <c r="P146" s="44">
        <f>O146</f>
        <v>9</v>
      </c>
      <c r="Q146" s="24">
        <f>R146-7</f>
        <v>46496</v>
      </c>
      <c r="R146" s="24">
        <f>IFERROR(_xlfn.XLOOKUP(P146,'Shipping Program'!$B$32:$B$78,'Shipping Program'!$A$32:$A$78),IFERROR(INDEX(_V7Batches!$B:$B,MATCH(P146&amp;"",_V7Batches!$A:$A,0)),""))</f>
        <v>46503</v>
      </c>
      <c r="S146" s="24">
        <f>IFERROR(_xlfn.XLOOKUP(P146,'Shipping Program'!$B$32:$B$78,'Shipping Program'!$E$32:$E$78),IFERROR(INDEX(_V7Batches!$D:$D,MATCH(P146&amp;"",_V7Batches!$A:$A,0)),""))</f>
        <v>46533</v>
      </c>
      <c r="T146" s="24">
        <f>S146+'Shipping Program'!$H$9</f>
        <v>46540</v>
      </c>
      <c r="U146" s="25">
        <f>IFERROR(IF(J146*T146&lt;&gt;0,J146-T146,""),"")</f>
        <v>20</v>
      </c>
      <c r="V146" s="25" t="str">
        <f>IF(U146&lt;&gt;"",IF(U146&gt;28,"Too early",IF(U146&lt;14,"Too late","")),"")</f>
        <v/>
      </c>
      <c r="W146" s="35"/>
      <c r="X146" s="26">
        <f ca="1">IF(OFFSET(X146,1,0)="",R146,OFFSET(X146,1,0))</f>
        <v>46503</v>
      </c>
      <c r="Y146" s="26">
        <f ca="1">IF(OFFSET(Y146,1,0)="",X146+'Shipping Program'!$F$9,OFFSET(Y146,1,0))</f>
        <v>46533</v>
      </c>
      <c r="Z146" s="26">
        <f ca="1">IF(OFFSET(Z146,1,0)="",Y146+'Shipping Program'!$H$9,OFFSET(Z146,1,0))</f>
        <v>46540</v>
      </c>
      <c r="AA146" s="27">
        <f ca="1">IFERROR(IF(J146*Z146&lt;&gt;0,J146-Z146,""),"")</f>
        <v>20</v>
      </c>
      <c r="AB146" s="27" t="str">
        <f ca="1">IF(AA146&lt;&gt;"",IF(AA146&gt;28,"Too early",IF(AA146&lt;14,"Too late","")),"")</f>
        <v/>
      </c>
      <c r="AC146" s="46"/>
      <c r="AE146" s="80" t="s">
        <v>43</v>
      </c>
      <c r="AF146" s="80" t="s">
        <v>46</v>
      </c>
      <c r="AG146" s="80" t="s">
        <v>42</v>
      </c>
      <c r="AH146" s="80" t="str">
        <f>IF(AI146="","",AI146*AJ146*AK146/1000/1000/1000)</f>
        <v/>
      </c>
      <c r="AI146" s="80"/>
      <c r="AJ146" s="80"/>
      <c r="AK146" s="80"/>
    </row>
    <row r="147" spans="1:37" ht="20.100000000000001" customHeight="1">
      <c r="A147" s="34">
        <f ca="1">COUNTIF(J$3:OFFSET(J147,-1,0),"Subtotal:")+1</f>
        <v>9</v>
      </c>
      <c r="B147" s="47"/>
      <c r="C147" s="48"/>
      <c r="D147" s="73"/>
      <c r="E147" s="49"/>
      <c r="F147" s="74"/>
      <c r="G147" s="74"/>
      <c r="H147" s="49"/>
      <c r="I147" s="49"/>
      <c r="J147" s="49" t="s">
        <v>6424</v>
      </c>
      <c r="K147" s="28">
        <f ca="1">SUMIF(A$3:OFFSET(A147,-1,0),A147,K$3:OFFSET(K147,-1,0))</f>
        <v>0</v>
      </c>
      <c r="L147" s="28">
        <f ca="1">SUMIF(A$3:OFFSET(A147,-1,0),A147,L$3:OFFSET(L147,-1,0))</f>
        <v>0</v>
      </c>
      <c r="M147" s="28"/>
      <c r="N147" s="55"/>
      <c r="O147" s="49"/>
      <c r="P147" s="49"/>
      <c r="Q147" s="29">
        <f ca="1">R147-7</f>
        <v>46496</v>
      </c>
      <c r="R147" s="29">
        <f ca="1">IF(J147="Subtotal:",OFFSET(R147,-1,0),"")</f>
        <v>46503</v>
      </c>
      <c r="S147" s="29">
        <f ca="1">IF(J147="Subtotal:",OFFSET(S147,-1,0),"")</f>
        <v>46533</v>
      </c>
      <c r="T147" s="29">
        <f ca="1">IF(J147="Subtotal:",OFFSET(T147,-1,0),"")</f>
        <v>46540</v>
      </c>
      <c r="U147" s="30" t="str">
        <f ca="1">IFERROR(IF(J147*T147&lt;&gt;0,J147-T147,""),"")</f>
        <v/>
      </c>
      <c r="V147" s="31" t="str">
        <f ca="1">IF(U147&lt;&gt;"",IF(U147&gt;28,"Too early",IF(U147&lt;14,"Too late","")),"")</f>
        <v/>
      </c>
      <c r="W147" s="28">
        <f ca="1">(SUMIFS($K:$K,$J:$J,"&lt;&gt;Subtotal:",$J:$J,"&gt;"&amp;S147,$S:$S,"&lt;="&amp;S147))*24*1.3+(SUMIFS($L:$L,$J:$J,"&lt;&gt;Subtotal:",$J:$J,"&gt;"&amp;S147,$S:$S,"&lt;="&amp;S147))/3*1.3</f>
        <v>0</v>
      </c>
      <c r="X147" s="50"/>
      <c r="Y147" s="50"/>
      <c r="Z147" s="50"/>
      <c r="AA147" s="30" t="str">
        <f>IFERROR(IF(J147*Z147&lt;&gt;0,J147-Z147,""),"")</f>
        <v/>
      </c>
      <c r="AB147" s="31" t="str">
        <f>IF(AA147&lt;&gt;"",IF(AA147&gt;28,"Too early",IF(AA147&lt;14,"Too late","")),"")</f>
        <v/>
      </c>
      <c r="AC147" s="32">
        <f>(SUMIFS($K:$K,$J:$J,"&lt;&gt;Subtotal:",$J:$J,"&gt;"&amp;Y147,$Y:$Y,"&lt;="&amp;Y147))*24*1.3+(SUMIFS($L:$L,$J:$J,"&lt;&gt;Subtotal:",$J:$J,"&gt;"&amp;Y147,$Y:$Y,"&lt;="&amp;Y147))/3*1.3</f>
        <v>0</v>
      </c>
      <c r="AD147" s="58"/>
      <c r="AE147" s="78"/>
      <c r="AF147" s="78"/>
      <c r="AG147" s="78"/>
      <c r="AH147" s="78"/>
      <c r="AI147" s="78"/>
      <c r="AJ147" s="78"/>
      <c r="AK147" s="78"/>
    </row>
    <row r="148" spans="1:37" ht="20.100000000000001" customHeight="1">
      <c r="A148" s="33">
        <f ca="1">COUNTIF(J$3:OFFSET(J148,-1,0),"Subtotal:")+1</f>
        <v>10</v>
      </c>
      <c r="B148" s="23" t="str">
        <f ca="1">IF(OFFSET(B148,1,0)&lt;&gt;"",OFFSET(B148,1,0),"")</f>
        <v/>
      </c>
      <c r="C148" s="42"/>
      <c r="D148" s="59" t="s">
        <v>75</v>
      </c>
      <c r="E148" s="60" t="str">
        <f>LEFT(F148,3)</f>
        <v>#01</v>
      </c>
      <c r="F148" s="59" t="s">
        <v>175</v>
      </c>
      <c r="G148" s="59" t="s">
        <v>185</v>
      </c>
      <c r="H148" s="60"/>
      <c r="I148" s="24">
        <f>IF(J148&lt;&gt;"",J148 - ('Shipping Program'!$D$9 + 'Shipping Program'!$F$9 + 'Shipping Program'!$H$9), "")</f>
        <v>46520</v>
      </c>
      <c r="J148" s="43">
        <v>46567</v>
      </c>
      <c r="K148" s="44" t="str">
        <f>IF(SUM(M148:N148)=0,"",SUM(M148:N148))</f>
        <v/>
      </c>
      <c r="L148" s="44"/>
      <c r="M148" s="44"/>
      <c r="N148" s="54"/>
      <c r="O148" s="25">
        <f>VLOOKUP(I148,'Shipping Program'!$A$32:$B$78,2)-1</f>
        <v>10</v>
      </c>
      <c r="P148" s="44">
        <f>O148</f>
        <v>10</v>
      </c>
      <c r="Q148" s="24">
        <f>R148-7</f>
        <v>46503</v>
      </c>
      <c r="R148" s="24">
        <f>IFERROR(_xlfn.XLOOKUP(P148,'Shipping Program'!$B$32:$B$78,'Shipping Program'!$A$32:$A$78),IFERROR(INDEX(_V7Batches!$B:$B,MATCH(P148&amp;"",_V7Batches!$A:$A,0)),""))</f>
        <v>46510</v>
      </c>
      <c r="S148" s="24">
        <f>IFERROR(_xlfn.XLOOKUP(P148,'Shipping Program'!$B$32:$B$78,'Shipping Program'!$E$32:$E$78),IFERROR(INDEX(_V7Batches!$D:$D,MATCH(P148&amp;"",_V7Batches!$A:$A,0)),""))</f>
        <v>46540</v>
      </c>
      <c r="T148" s="24">
        <f>S148+'Shipping Program'!$H$9</f>
        <v>46547</v>
      </c>
      <c r="U148" s="25">
        <f>IFERROR(IF(J148*T148&lt;&gt;0,J148-T148,""),"")</f>
        <v>20</v>
      </c>
      <c r="V148" s="25" t="str">
        <f>IF(U148&lt;&gt;"",IF(U148&gt;28,"Too early",IF(U148&lt;14,"Too late","")),"")</f>
        <v/>
      </c>
      <c r="W148" s="35"/>
      <c r="X148" s="26">
        <f ca="1">IF(OFFSET(X148,1,0)="",R148,OFFSET(X148,1,0))</f>
        <v>46510</v>
      </c>
      <c r="Y148" s="26">
        <f ca="1">IF(OFFSET(Y148,1,0)="",X148+'Shipping Program'!$F$9,OFFSET(Y148,1,0))</f>
        <v>46540</v>
      </c>
      <c r="Z148" s="26">
        <f ca="1">IF(OFFSET(Z148,1,0)="",Y148+'Shipping Program'!$H$9,OFFSET(Z148,1,0))</f>
        <v>46547</v>
      </c>
      <c r="AA148" s="27">
        <f ca="1">IFERROR(IF(J148*Z148&lt;&gt;0,J148-Z148,""),"")</f>
        <v>20</v>
      </c>
      <c r="AB148" s="27" t="str">
        <f ca="1">IF(AA148&lt;&gt;"",IF(AA148&gt;28,"Too early",IF(AA148&lt;14,"Too late","")),"")</f>
        <v/>
      </c>
      <c r="AC148" s="46"/>
      <c r="AE148" s="80" t="s">
        <v>54</v>
      </c>
      <c r="AF148" s="80"/>
      <c r="AG148" s="80"/>
      <c r="AH148" s="80" t="str">
        <f>IF(AI148="","",AI148*AJ148*AK148/1000/1000/1000)</f>
        <v/>
      </c>
      <c r="AI148" s="80"/>
      <c r="AJ148" s="80"/>
      <c r="AK148" s="80"/>
    </row>
    <row r="149" spans="1:37" ht="20.100000000000001" customHeight="1">
      <c r="A149" s="33">
        <f ca="1">COUNTIF(J$3:OFFSET(J149,-1,0),"Subtotal:")+1</f>
        <v>10</v>
      </c>
      <c r="B149" s="23" t="str">
        <f ca="1">IF(OFFSET(B149,1,0)&lt;&gt;"",OFFSET(B149,1,0),"")</f>
        <v/>
      </c>
      <c r="C149" s="42"/>
      <c r="D149" s="59" t="s">
        <v>78</v>
      </c>
      <c r="E149" s="60" t="str">
        <f>LEFT(F149,3)</f>
        <v>#13</v>
      </c>
      <c r="F149" s="59" t="s">
        <v>236</v>
      </c>
      <c r="G149" s="59" t="s">
        <v>241</v>
      </c>
      <c r="H149" s="60" t="s">
        <v>242</v>
      </c>
      <c r="I149" s="24">
        <f>IF(J149&lt;&gt;"",J149 - ('Shipping Program'!$D$9 + 'Shipping Program'!$F$9 + 'Shipping Program'!$H$9), "")</f>
        <v>46519</v>
      </c>
      <c r="J149" s="43">
        <v>46566</v>
      </c>
      <c r="K149" s="44" t="str">
        <f>IF(SUM(M149:N149)=0,"",SUM(M149:N149))</f>
        <v/>
      </c>
      <c r="L149" s="44"/>
      <c r="M149" s="44"/>
      <c r="N149" s="54"/>
      <c r="O149" s="25">
        <f>VLOOKUP(I149,'Shipping Program'!$A$32:$B$78,2)-1</f>
        <v>10</v>
      </c>
      <c r="P149" s="44">
        <f>O149</f>
        <v>10</v>
      </c>
      <c r="Q149" s="24">
        <f>R149-7</f>
        <v>46503</v>
      </c>
      <c r="R149" s="24">
        <f>IFERROR(_xlfn.XLOOKUP(P149,'Shipping Program'!$B$32:$B$78,'Shipping Program'!$A$32:$A$78),IFERROR(INDEX(_V7Batches!$B:$B,MATCH(P149&amp;"",_V7Batches!$A:$A,0)),""))</f>
        <v>46510</v>
      </c>
      <c r="S149" s="24">
        <f>IFERROR(_xlfn.XLOOKUP(P149,'Shipping Program'!$B$32:$B$78,'Shipping Program'!$E$32:$E$78),IFERROR(INDEX(_V7Batches!$D:$D,MATCH(P149&amp;"",_V7Batches!$A:$A,0)),""))</f>
        <v>46540</v>
      </c>
      <c r="T149" s="24">
        <f>S149+'Shipping Program'!$H$9</f>
        <v>46547</v>
      </c>
      <c r="U149" s="25">
        <f>IFERROR(IF(J149*T149&lt;&gt;0,J149-T149,""),"")</f>
        <v>19</v>
      </c>
      <c r="V149" s="25" t="str">
        <f>IF(U149&lt;&gt;"",IF(U149&gt;28,"Too early",IF(U149&lt;14,"Too late","")),"")</f>
        <v/>
      </c>
      <c r="W149" s="35"/>
      <c r="X149" s="26">
        <f ca="1">IF(OFFSET(X149,1,0)="",R149,OFFSET(X149,1,0))</f>
        <v>46510</v>
      </c>
      <c r="Y149" s="26">
        <f ca="1">IF(OFFSET(Y149,1,0)="",X149+'Shipping Program'!$F$9,OFFSET(Y149,1,0))</f>
        <v>46540</v>
      </c>
      <c r="Z149" s="26">
        <f ca="1">IF(OFFSET(Z149,1,0)="",Y149+'Shipping Program'!$H$9,OFFSET(Z149,1,0))</f>
        <v>46547</v>
      </c>
      <c r="AA149" s="27">
        <f ca="1">IFERROR(IF(J149*Z149&lt;&gt;0,J149-Z149,""),"")</f>
        <v>19</v>
      </c>
      <c r="AB149" s="27" t="str">
        <f ca="1">IF(AA149&lt;&gt;"",IF(AA149&gt;28,"Too early",IF(AA149&lt;14,"Too late","")),"")</f>
        <v/>
      </c>
      <c r="AC149" s="46"/>
      <c r="AE149" s="80" t="s">
        <v>54</v>
      </c>
      <c r="AF149" s="80"/>
      <c r="AG149" s="80"/>
      <c r="AH149" s="80" t="str">
        <f>IF(AI149="","",AI149*AJ149*AK149/1000/1000/1000)</f>
        <v/>
      </c>
      <c r="AI149" s="80"/>
      <c r="AJ149" s="80"/>
      <c r="AK149" s="80"/>
    </row>
    <row r="150" spans="1:37" ht="20.100000000000001" customHeight="1">
      <c r="A150" s="33">
        <f ca="1">COUNTIF(J$3:OFFSET(J150,-1,0),"Subtotal:")+1</f>
        <v>10</v>
      </c>
      <c r="B150" s="23" t="str">
        <f ca="1">IF(OFFSET(B150,1,0)&lt;&gt;"",OFFSET(B150,1,0),"")</f>
        <v/>
      </c>
      <c r="C150" s="42"/>
      <c r="D150" s="59" t="s">
        <v>77</v>
      </c>
      <c r="E150" s="60" t="str">
        <f>LEFT(F150,3)</f>
        <v>#13</v>
      </c>
      <c r="F150" s="59" t="s">
        <v>237</v>
      </c>
      <c r="G150" s="59" t="s">
        <v>239</v>
      </c>
      <c r="H150" s="60" t="s">
        <v>2</v>
      </c>
      <c r="I150" s="24">
        <f>IF(J150&lt;&gt;"",J150 - ('Shipping Program'!$D$9 + 'Shipping Program'!$F$9 + 'Shipping Program'!$H$9), "")</f>
        <v>46519</v>
      </c>
      <c r="J150" s="43">
        <v>46566</v>
      </c>
      <c r="K150" s="44" t="str">
        <f>IF(SUM(M150:N150)=0,"",SUM(M150:N150))</f>
        <v/>
      </c>
      <c r="L150" s="44"/>
      <c r="M150" s="44"/>
      <c r="N150" s="54"/>
      <c r="O150" s="25">
        <f>VLOOKUP(I150,'Shipping Program'!$A$32:$B$78,2)-1</f>
        <v>10</v>
      </c>
      <c r="P150" s="44">
        <f>O150</f>
        <v>10</v>
      </c>
      <c r="Q150" s="24">
        <f>R150-7</f>
        <v>46503</v>
      </c>
      <c r="R150" s="24">
        <f>IFERROR(_xlfn.XLOOKUP(P150,'Shipping Program'!$B$32:$B$78,'Shipping Program'!$A$32:$A$78),IFERROR(INDEX(_V7Batches!$B:$B,MATCH(P150&amp;"",_V7Batches!$A:$A,0)),""))</f>
        <v>46510</v>
      </c>
      <c r="S150" s="24">
        <f>IFERROR(_xlfn.XLOOKUP(P150,'Shipping Program'!$B$32:$B$78,'Shipping Program'!$E$32:$E$78),IFERROR(INDEX(_V7Batches!$D:$D,MATCH(P150&amp;"",_V7Batches!$A:$A,0)),""))</f>
        <v>46540</v>
      </c>
      <c r="T150" s="24">
        <f>S150+'Shipping Program'!$H$9</f>
        <v>46547</v>
      </c>
      <c r="U150" s="25">
        <f>IFERROR(IF(J150*T150&lt;&gt;0,J150-T150,""),"")</f>
        <v>19</v>
      </c>
      <c r="V150" s="25" t="str">
        <f>IF(U150&lt;&gt;"",IF(U150&gt;28,"Too early",IF(U150&lt;14,"Too late","")),"")</f>
        <v/>
      </c>
      <c r="W150" s="35"/>
      <c r="X150" s="26">
        <f ca="1">IF(OFFSET(X150,1,0)="",R150,OFFSET(X150,1,0))</f>
        <v>46510</v>
      </c>
      <c r="Y150" s="26">
        <f ca="1">IF(OFFSET(Y150,1,0)="",X150+'Shipping Program'!$F$9,OFFSET(Y150,1,0))</f>
        <v>46540</v>
      </c>
      <c r="Z150" s="26">
        <f ca="1">IF(OFFSET(Z150,1,0)="",Y150+'Shipping Program'!$H$9,OFFSET(Z150,1,0))</f>
        <v>46547</v>
      </c>
      <c r="AA150" s="27">
        <f ca="1">IFERROR(IF(J150*Z150&lt;&gt;0,J150-Z150,""),"")</f>
        <v>19</v>
      </c>
      <c r="AB150" s="27" t="str">
        <f ca="1">IF(AA150&lt;&gt;"",IF(AA150&gt;28,"Too early",IF(AA150&lt;14,"Too late","")),"")</f>
        <v/>
      </c>
      <c r="AC150" s="46"/>
      <c r="AE150" s="80" t="s">
        <v>43</v>
      </c>
      <c r="AF150" s="80" t="s">
        <v>46</v>
      </c>
      <c r="AG150" s="80" t="s">
        <v>63</v>
      </c>
      <c r="AH150" s="80" t="str">
        <f>IF(AI150="","",AI150*AJ150*AK150/1000/1000/1000)</f>
        <v/>
      </c>
      <c r="AI150" s="80"/>
      <c r="AJ150" s="80"/>
      <c r="AK150" s="80"/>
    </row>
    <row r="151" spans="1:37" ht="20.100000000000001" customHeight="1">
      <c r="A151" s="33">
        <f ca="1">COUNTIF(J$3:OFFSET(J151,-1,0),"Subtotal:")+1</f>
        <v>10</v>
      </c>
      <c r="B151" s="23" t="str">
        <f ca="1">IF(OFFSET(B151,1,0)&lt;&gt;"",OFFSET(B151,1,0),"")</f>
        <v/>
      </c>
      <c r="C151" s="42"/>
      <c r="D151" s="59" t="s">
        <v>78</v>
      </c>
      <c r="E151" s="60" t="str">
        <f>LEFT(F151,3)</f>
        <v>#13</v>
      </c>
      <c r="F151" s="59" t="s">
        <v>237</v>
      </c>
      <c r="G151" s="59" t="s">
        <v>241</v>
      </c>
      <c r="H151" s="60" t="s">
        <v>2</v>
      </c>
      <c r="I151" s="24">
        <f>IF(J151&lt;&gt;"",J151 - ('Shipping Program'!$D$9 + 'Shipping Program'!$F$9 + 'Shipping Program'!$H$9), "")</f>
        <v>46520</v>
      </c>
      <c r="J151" s="43">
        <v>46567</v>
      </c>
      <c r="K151" s="44" t="str">
        <f>IF(SUM(M151:N151)=0,"",SUM(M151:N151))</f>
        <v/>
      </c>
      <c r="L151" s="44"/>
      <c r="M151" s="44"/>
      <c r="N151" s="54"/>
      <c r="O151" s="25">
        <f>VLOOKUP(I151,'Shipping Program'!$A$32:$B$78,2)-1</f>
        <v>10</v>
      </c>
      <c r="P151" s="44">
        <f>O151</f>
        <v>10</v>
      </c>
      <c r="Q151" s="24">
        <f>R151-7</f>
        <v>46503</v>
      </c>
      <c r="R151" s="24">
        <f>IFERROR(_xlfn.XLOOKUP(P151,'Shipping Program'!$B$32:$B$78,'Shipping Program'!$A$32:$A$78),IFERROR(INDEX(_V7Batches!$B:$B,MATCH(P151&amp;"",_V7Batches!$A:$A,0)),""))</f>
        <v>46510</v>
      </c>
      <c r="S151" s="24">
        <f>IFERROR(_xlfn.XLOOKUP(P151,'Shipping Program'!$B$32:$B$78,'Shipping Program'!$E$32:$E$78),IFERROR(INDEX(_V7Batches!$D:$D,MATCH(P151&amp;"",_V7Batches!$A:$A,0)),""))</f>
        <v>46540</v>
      </c>
      <c r="T151" s="24">
        <f>S151+'Shipping Program'!$H$9</f>
        <v>46547</v>
      </c>
      <c r="U151" s="25">
        <f>IFERROR(IF(J151*T151&lt;&gt;0,J151-T151,""),"")</f>
        <v>20</v>
      </c>
      <c r="V151" s="25" t="str">
        <f>IF(U151&lt;&gt;"",IF(U151&gt;28,"Too early",IF(U151&lt;14,"Too late","")),"")</f>
        <v/>
      </c>
      <c r="W151" s="35"/>
      <c r="X151" s="26">
        <f ca="1">IF(OFFSET(X151,1,0)="",R151,OFFSET(X151,1,0))</f>
        <v>46510</v>
      </c>
      <c r="Y151" s="26">
        <f ca="1">IF(OFFSET(Y151,1,0)="",X151+'Shipping Program'!$F$9,OFFSET(Y151,1,0))</f>
        <v>46540</v>
      </c>
      <c r="Z151" s="26">
        <f ca="1">IF(OFFSET(Z151,1,0)="",Y151+'Shipping Program'!$H$9,OFFSET(Z151,1,0))</f>
        <v>46547</v>
      </c>
      <c r="AA151" s="27">
        <f ca="1">IFERROR(IF(J151*Z151&lt;&gt;0,J151-Z151,""),"")</f>
        <v>20</v>
      </c>
      <c r="AB151" s="27" t="str">
        <f ca="1">IF(AA151&lt;&gt;"",IF(AA151&gt;28,"Too early",IF(AA151&lt;14,"Too late","")),"")</f>
        <v/>
      </c>
      <c r="AC151" s="46"/>
      <c r="AE151" s="80" t="s">
        <v>54</v>
      </c>
      <c r="AF151" s="80"/>
      <c r="AG151" s="80"/>
      <c r="AH151" s="80" t="str">
        <f>IF(AI151="","",AI151*AJ151*AK151/1000/1000/1000)</f>
        <v/>
      </c>
      <c r="AI151" s="80"/>
      <c r="AJ151" s="80"/>
      <c r="AK151" s="80"/>
    </row>
    <row r="152" spans="1:37" ht="20.100000000000001" customHeight="1">
      <c r="A152" s="33">
        <f ca="1">COUNTIF(J$3:OFFSET(J152,-1,0),"Subtotal:")+1</f>
        <v>10</v>
      </c>
      <c r="B152" s="62" t="str">
        <f ca="1">IF(OFFSET(B152,1,0)&lt;&gt;"",OFFSET(B152,1,0),"")</f>
        <v/>
      </c>
      <c r="C152" s="63"/>
      <c r="D152" s="59" t="s">
        <v>95</v>
      </c>
      <c r="E152" s="60" t="str">
        <f>LEFT(F152,3)</f>
        <v>#06</v>
      </c>
      <c r="F152" s="59" t="s">
        <v>226</v>
      </c>
      <c r="G152" s="59" t="s">
        <v>244</v>
      </c>
      <c r="H152" s="60"/>
      <c r="I152" s="24">
        <f>IF(J152&lt;&gt;"",J152 - ('Shipping Program'!$D$9 + 'Shipping Program'!$F$9 + 'Shipping Program'!$H$9), "")</f>
        <v>46522</v>
      </c>
      <c r="J152" s="43">
        <v>46569</v>
      </c>
      <c r="K152" s="44" t="str">
        <f>IF(SUM(M152:N152)=0,"",SUM(M152:N152))</f>
        <v/>
      </c>
      <c r="L152" s="64"/>
      <c r="M152" s="44"/>
      <c r="N152" s="54"/>
      <c r="O152" s="25">
        <f>VLOOKUP(I152,'Shipping Program'!$A$32:$B$78,2)-1</f>
        <v>10</v>
      </c>
      <c r="P152" s="44">
        <f>O152</f>
        <v>10</v>
      </c>
      <c r="Q152" s="24">
        <f>R152-7</f>
        <v>46503</v>
      </c>
      <c r="R152" s="24">
        <f>IFERROR(_xlfn.XLOOKUP(P152,'Shipping Program'!$B$32:$B$78,'Shipping Program'!$A$32:$A$78),IFERROR(INDEX(_V7Batches!$B:$B,MATCH(P152&amp;"",_V7Batches!$A:$A,0)),""))</f>
        <v>46510</v>
      </c>
      <c r="S152" s="24">
        <f>IFERROR(_xlfn.XLOOKUP(P152,'Shipping Program'!$B$32:$B$78,'Shipping Program'!$E$32:$E$78),IFERROR(INDEX(_V7Batches!$D:$D,MATCH(P152&amp;"",_V7Batches!$A:$A,0)),""))</f>
        <v>46540</v>
      </c>
      <c r="T152" s="24">
        <f>S152+'Shipping Program'!$H$9</f>
        <v>46547</v>
      </c>
      <c r="U152" s="25">
        <f>IFERROR(IF(J152*T152&lt;&gt;0,J152-T152,""),"")</f>
        <v>22</v>
      </c>
      <c r="V152" s="25" t="str">
        <f>IF(U152&lt;&gt;"",IF(U152&gt;28,"Too early",IF(U152&lt;14,"Too late","")),"")</f>
        <v/>
      </c>
      <c r="W152" s="35"/>
      <c r="X152" s="26">
        <f ca="1">IF(OFFSET(X152,1,0)="",R152,OFFSET(X152,1,0))</f>
        <v>46510</v>
      </c>
      <c r="Y152" s="26">
        <f ca="1">IF(OFFSET(Y152,1,0)="",X152+'Shipping Program'!$F$9,OFFSET(Y152,1,0))</f>
        <v>46540</v>
      </c>
      <c r="Z152" s="26">
        <f ca="1">IF(OFFSET(Z152,1,0)="",Y152+'Shipping Program'!$H$9,OFFSET(Z152,1,0))</f>
        <v>46547</v>
      </c>
      <c r="AA152" s="27">
        <f ca="1">IFERROR(IF(J152*Z152&lt;&gt;0,J152-Z152,""),"")</f>
        <v>22</v>
      </c>
      <c r="AB152" s="27" t="str">
        <f ca="1">IF(AA152&lt;&gt;"",IF(AA152&gt;28,"Too early",IF(AA152&lt;14,"Too late","")),"")</f>
        <v/>
      </c>
      <c r="AC152" s="46"/>
      <c r="AE152" s="80" t="s">
        <v>43</v>
      </c>
      <c r="AF152" s="80" t="s">
        <v>46</v>
      </c>
      <c r="AG152" s="80" t="s">
        <v>42</v>
      </c>
      <c r="AH152" s="80" t="str">
        <f>IF(AI152="","",AI152*AJ152*AK152/1000/1000/1000)</f>
        <v/>
      </c>
      <c r="AI152" s="80"/>
      <c r="AJ152" s="80"/>
      <c r="AK152" s="80"/>
    </row>
    <row r="153" spans="1:37" ht="20.100000000000001" customHeight="1">
      <c r="A153" s="33">
        <f ca="1">COUNTIF(J$3:OFFSET(J153,-1,0),"Subtotal:")+1</f>
        <v>10</v>
      </c>
      <c r="B153" s="62" t="str">
        <f ca="1">IF(OFFSET(B153,1,0)&lt;&gt;"",OFFSET(B153,1,0),"")</f>
        <v/>
      </c>
      <c r="C153" s="63"/>
      <c r="D153" s="59" t="s">
        <v>95</v>
      </c>
      <c r="E153" s="60" t="str">
        <f>LEFT(F153,3)</f>
        <v>#06</v>
      </c>
      <c r="F153" s="59" t="s">
        <v>231</v>
      </c>
      <c r="G153" s="59" t="s">
        <v>181</v>
      </c>
      <c r="H153" s="60"/>
      <c r="I153" s="24">
        <f>IF(J153&lt;&gt;"",J153 - ('Shipping Program'!$D$9 + 'Shipping Program'!$F$9 + 'Shipping Program'!$H$9), "")</f>
        <v>46519</v>
      </c>
      <c r="J153" s="43">
        <v>46566</v>
      </c>
      <c r="K153" s="44" t="str">
        <f>IF(SUM(M153:N153)=0,"",SUM(M153:N153))</f>
        <v/>
      </c>
      <c r="L153" s="64"/>
      <c r="M153" s="44"/>
      <c r="N153" s="54"/>
      <c r="O153" s="25">
        <f>VLOOKUP(I153,'Shipping Program'!$A$32:$B$78,2)-1</f>
        <v>10</v>
      </c>
      <c r="P153" s="44">
        <f>O153</f>
        <v>10</v>
      </c>
      <c r="Q153" s="24">
        <f>R153-7</f>
        <v>46503</v>
      </c>
      <c r="R153" s="24">
        <f>IFERROR(_xlfn.XLOOKUP(P153,'Shipping Program'!$B$32:$B$78,'Shipping Program'!$A$32:$A$78),IFERROR(INDEX(_V7Batches!$B:$B,MATCH(P153&amp;"",_V7Batches!$A:$A,0)),""))</f>
        <v>46510</v>
      </c>
      <c r="S153" s="24">
        <f>IFERROR(_xlfn.XLOOKUP(P153,'Shipping Program'!$B$32:$B$78,'Shipping Program'!$E$32:$E$78),IFERROR(INDEX(_V7Batches!$D:$D,MATCH(P153&amp;"",_V7Batches!$A:$A,0)),""))</f>
        <v>46540</v>
      </c>
      <c r="T153" s="24">
        <f>S153+'Shipping Program'!$H$9</f>
        <v>46547</v>
      </c>
      <c r="U153" s="25">
        <f>IFERROR(IF(J153*T153&lt;&gt;0,J153-T153,""),"")</f>
        <v>19</v>
      </c>
      <c r="V153" s="25" t="str">
        <f>IF(U153&lt;&gt;"",IF(U153&gt;28,"Too early",IF(U153&lt;14,"Too late","")),"")</f>
        <v/>
      </c>
      <c r="W153" s="35"/>
      <c r="X153" s="26">
        <f ca="1">IF(OFFSET(X153,1,0)="",R153,OFFSET(X153,1,0))</f>
        <v>46510</v>
      </c>
      <c r="Y153" s="26">
        <f ca="1">IF(OFFSET(Y153,1,0)="",X153+'Shipping Program'!$F$9,OFFSET(Y153,1,0))</f>
        <v>46540</v>
      </c>
      <c r="Z153" s="26">
        <f ca="1">IF(OFFSET(Z153,1,0)="",Y153+'Shipping Program'!$H$9,OFFSET(Z153,1,0))</f>
        <v>46547</v>
      </c>
      <c r="AA153" s="27">
        <f ca="1">IFERROR(IF(J153*Z153&lt;&gt;0,J153-Z153,""),"")</f>
        <v>19</v>
      </c>
      <c r="AB153" s="27" t="str">
        <f ca="1">IF(AA153&lt;&gt;"",IF(AA153&gt;28,"Too early",IF(AA153&lt;14,"Too late","")),"")</f>
        <v/>
      </c>
      <c r="AC153" s="46"/>
      <c r="AE153" s="80" t="s">
        <v>43</v>
      </c>
      <c r="AF153" s="80" t="s">
        <v>46</v>
      </c>
      <c r="AG153" s="80" t="s">
        <v>42</v>
      </c>
      <c r="AH153" s="80" t="str">
        <f>IF(AI153="","",AI153*AJ153*AK153/1000/1000/1000)</f>
        <v/>
      </c>
      <c r="AI153" s="80"/>
      <c r="AJ153" s="80"/>
      <c r="AK153" s="80"/>
    </row>
    <row r="154" spans="1:37" ht="20.100000000000001" customHeight="1">
      <c r="A154" s="34">
        <f ca="1">COUNTIF(J$3:OFFSET(J154,-1,0),"Subtotal:")+1</f>
        <v>10</v>
      </c>
      <c r="B154" s="47"/>
      <c r="C154" s="48"/>
      <c r="D154" s="73"/>
      <c r="E154" s="49"/>
      <c r="F154" s="74"/>
      <c r="G154" s="74"/>
      <c r="H154" s="49"/>
      <c r="I154" s="49"/>
      <c r="J154" s="49" t="s">
        <v>6424</v>
      </c>
      <c r="K154" s="28">
        <f ca="1">SUMIF(A$3:OFFSET(A154,-1,0),A154,K$3:OFFSET(K154,-1,0))</f>
        <v>0</v>
      </c>
      <c r="L154" s="28">
        <f ca="1">SUMIF(A$3:OFFSET(A154,-1,0),A154,L$3:OFFSET(L154,-1,0))</f>
        <v>0</v>
      </c>
      <c r="M154" s="28"/>
      <c r="N154" s="55"/>
      <c r="O154" s="49"/>
      <c r="P154" s="49"/>
      <c r="Q154" s="29">
        <f ca="1">R154-7</f>
        <v>46503</v>
      </c>
      <c r="R154" s="29">
        <f ca="1">IF(J154="Subtotal:",OFFSET(R154,-1,0),"")</f>
        <v>46510</v>
      </c>
      <c r="S154" s="29">
        <f ca="1">IF(J154="Subtotal:",OFFSET(S154,-1,0),"")</f>
        <v>46540</v>
      </c>
      <c r="T154" s="29">
        <f ca="1">IF(J154="Subtotal:",OFFSET(T154,-1,0),"")</f>
        <v>46547</v>
      </c>
      <c r="U154" s="30" t="str">
        <f ca="1">IFERROR(IF(J154*T154&lt;&gt;0,J154-T154,""),"")</f>
        <v/>
      </c>
      <c r="V154" s="31" t="str">
        <f ca="1">IF(U154&lt;&gt;"",IF(U154&gt;28,"Too early",IF(U154&lt;14,"Too late","")),"")</f>
        <v/>
      </c>
      <c r="W154" s="28">
        <f ca="1">(SUMIFS($K:$K,$J:$J,"&lt;&gt;Subtotal:",$J:$J,"&gt;"&amp;S154,$S:$S,"&lt;="&amp;S154))*24*1.3+(SUMIFS($L:$L,$J:$J,"&lt;&gt;Subtotal:",$J:$J,"&gt;"&amp;S154,$S:$S,"&lt;="&amp;S154))/3*1.3</f>
        <v>0</v>
      </c>
      <c r="X154" s="50"/>
      <c r="Y154" s="50"/>
      <c r="Z154" s="50"/>
      <c r="AA154" s="30" t="str">
        <f>IFERROR(IF(J154*Z154&lt;&gt;0,J154-Z154,""),"")</f>
        <v/>
      </c>
      <c r="AB154" s="31" t="str">
        <f>IF(AA154&lt;&gt;"",IF(AA154&gt;28,"Too early",IF(AA154&lt;14,"Too late","")),"")</f>
        <v/>
      </c>
      <c r="AC154" s="32">
        <f>(SUMIFS($K:$K,$J:$J,"&lt;&gt;Subtotal:",$J:$J,"&gt;"&amp;Y154,$Y:$Y,"&lt;="&amp;Y154))*24*1.3+(SUMIFS($L:$L,$J:$J,"&lt;&gt;Subtotal:",$J:$J,"&gt;"&amp;Y154,$Y:$Y,"&lt;="&amp;Y154))/3*1.3</f>
        <v>0</v>
      </c>
      <c r="AD154" s="58"/>
      <c r="AE154" s="78"/>
      <c r="AF154" s="78"/>
      <c r="AG154" s="78"/>
      <c r="AH154" s="78"/>
      <c r="AI154" s="78"/>
      <c r="AJ154" s="78"/>
      <c r="AK154" s="78"/>
    </row>
    <row r="155" spans="1:37" ht="20.100000000000001" customHeight="1">
      <c r="A155" s="33">
        <f ca="1">COUNTIF(J$3:OFFSET(J155,-1,0),"Subtotal:")+1</f>
        <v>11</v>
      </c>
      <c r="B155" s="23" t="str">
        <f ca="1">IF(OFFSET(B155,1,0)&lt;&gt;"",OFFSET(B155,1,0),"")</f>
        <v/>
      </c>
      <c r="C155" s="42"/>
      <c r="D155" s="59" t="s">
        <v>65</v>
      </c>
      <c r="E155" s="60" t="str">
        <f>LEFT(F155,3)</f>
        <v>#04</v>
      </c>
      <c r="F155" s="59" t="s">
        <v>221</v>
      </c>
      <c r="G155" s="59" t="s">
        <v>185</v>
      </c>
      <c r="H155" s="60"/>
      <c r="I155" s="24">
        <f>IF(J155&lt;&gt;"",J155 - ('Shipping Program'!$D$9 + 'Shipping Program'!$F$9 + 'Shipping Program'!$H$9), "")</f>
        <v>46526</v>
      </c>
      <c r="J155" s="43">
        <v>46573</v>
      </c>
      <c r="K155" s="44" t="str">
        <f>IF(SUM(M155:N155)=0,"",SUM(M155:N155))</f>
        <v/>
      </c>
      <c r="L155" s="44"/>
      <c r="M155" s="44"/>
      <c r="N155" s="54"/>
      <c r="O155" s="25">
        <f>VLOOKUP(I155,'Shipping Program'!$A$32:$B$78,2)-1</f>
        <v>11</v>
      </c>
      <c r="P155" s="44">
        <f>O155</f>
        <v>11</v>
      </c>
      <c r="Q155" s="24">
        <f>R155-7</f>
        <v>46510</v>
      </c>
      <c r="R155" s="24">
        <f>IFERROR(_xlfn.XLOOKUP(P155,'Shipping Program'!$B$32:$B$78,'Shipping Program'!$A$32:$A$78),IFERROR(INDEX(_V7Batches!$B:$B,MATCH(P155&amp;"",_V7Batches!$A:$A,0)),""))</f>
        <v>46517</v>
      </c>
      <c r="S155" s="24">
        <f>IFERROR(_xlfn.XLOOKUP(P155,'Shipping Program'!$B$32:$B$78,'Shipping Program'!$E$32:$E$78),IFERROR(INDEX(_V7Batches!$D:$D,MATCH(P155&amp;"",_V7Batches!$A:$A,0)),""))</f>
        <v>46547</v>
      </c>
      <c r="T155" s="24">
        <f>S155+'Shipping Program'!$H$9</f>
        <v>46554</v>
      </c>
      <c r="U155" s="25">
        <f>IFERROR(IF(J155*T155&lt;&gt;0,J155-T155,""),"")</f>
        <v>19</v>
      </c>
      <c r="V155" s="25" t="str">
        <f>IF(U155&lt;&gt;"",IF(U155&gt;28,"Too early",IF(U155&lt;14,"Too late","")),"")</f>
        <v/>
      </c>
      <c r="W155" s="35"/>
      <c r="X155" s="26">
        <f ca="1">IF(OFFSET(X155,1,0)="",R155,OFFSET(X155,1,0))</f>
        <v>46517</v>
      </c>
      <c r="Y155" s="26">
        <f ca="1">IF(OFFSET(Y155,1,0)="",X155+'Shipping Program'!$F$9,OFFSET(Y155,1,0))</f>
        <v>46547</v>
      </c>
      <c r="Z155" s="26">
        <f ca="1">IF(OFFSET(Z155,1,0)="",Y155+'Shipping Program'!$H$9,OFFSET(Z155,1,0))</f>
        <v>46554</v>
      </c>
      <c r="AA155" s="27">
        <f ca="1">IFERROR(IF(J155*Z155&lt;&gt;0,J155-Z155,""),"")</f>
        <v>19</v>
      </c>
      <c r="AB155" s="27" t="str">
        <f ca="1">IF(AA155&lt;&gt;"",IF(AA155&gt;28,"Too early",IF(AA155&lt;14,"Too late","")),"")</f>
        <v/>
      </c>
      <c r="AC155" s="46"/>
      <c r="AE155" s="80" t="s">
        <v>54</v>
      </c>
      <c r="AF155" s="80"/>
      <c r="AG155" s="80"/>
      <c r="AH155" s="80" t="str">
        <f>IF(AI155="","",AI155*AJ155*AK155/1000/1000/1000)</f>
        <v/>
      </c>
      <c r="AI155" s="80"/>
      <c r="AJ155" s="80"/>
      <c r="AK155" s="80"/>
    </row>
    <row r="156" spans="1:37" ht="20.100000000000001" customHeight="1">
      <c r="A156" s="33">
        <f ca="1">COUNTIF(J$3:OFFSET(J156,-1,0),"Subtotal:")+1</f>
        <v>11</v>
      </c>
      <c r="B156" s="23" t="str">
        <f ca="1">IF(OFFSET(B156,1,0)&lt;&gt;"",OFFSET(B156,1,0),"")</f>
        <v/>
      </c>
      <c r="C156" s="42"/>
      <c r="D156" s="59" t="s">
        <v>38</v>
      </c>
      <c r="E156" s="60" t="str">
        <f>LEFT(F156,3)</f>
        <v>#09</v>
      </c>
      <c r="F156" s="59" t="s">
        <v>154</v>
      </c>
      <c r="G156" s="59" t="s">
        <v>166</v>
      </c>
      <c r="H156" s="60" t="s">
        <v>67</v>
      </c>
      <c r="I156" s="24">
        <f>IF(J156&lt;&gt;"",J156 - ('Shipping Program'!$D$9 + 'Shipping Program'!$F$9 + 'Shipping Program'!$H$9), "")</f>
        <v>46525</v>
      </c>
      <c r="J156" s="43">
        <v>46572</v>
      </c>
      <c r="K156" s="44" t="str">
        <f>IF(SUM(M156:N156)=0,"",SUM(M156:N156))</f>
        <v/>
      </c>
      <c r="L156" s="44"/>
      <c r="M156" s="44"/>
      <c r="N156" s="54"/>
      <c r="O156" s="25">
        <f>VLOOKUP(I156,'Shipping Program'!$A$32:$B$78,2)-1</f>
        <v>11</v>
      </c>
      <c r="P156" s="44">
        <f>O156</f>
        <v>11</v>
      </c>
      <c r="Q156" s="24">
        <f>R156-7</f>
        <v>46510</v>
      </c>
      <c r="R156" s="24">
        <f>IFERROR(_xlfn.XLOOKUP(P156,'Shipping Program'!$B$32:$B$78,'Shipping Program'!$A$32:$A$78),IFERROR(INDEX(_V7Batches!$B:$B,MATCH(P156&amp;"",_V7Batches!$A:$A,0)),""))</f>
        <v>46517</v>
      </c>
      <c r="S156" s="24">
        <f>IFERROR(_xlfn.XLOOKUP(P156,'Shipping Program'!$B$32:$B$78,'Shipping Program'!$E$32:$E$78),IFERROR(INDEX(_V7Batches!$D:$D,MATCH(P156&amp;"",_V7Batches!$A:$A,0)),""))</f>
        <v>46547</v>
      </c>
      <c r="T156" s="24">
        <f>S156+'Shipping Program'!$H$9</f>
        <v>46554</v>
      </c>
      <c r="U156" s="25">
        <f>IFERROR(IF(J156*T156&lt;&gt;0,J156-T156,""),"")</f>
        <v>18</v>
      </c>
      <c r="V156" s="25" t="str">
        <f>IF(U156&lt;&gt;"",IF(U156&gt;28,"Too early",IF(U156&lt;14,"Too late","")),"")</f>
        <v/>
      </c>
      <c r="W156" s="35"/>
      <c r="X156" s="26">
        <f ca="1">IF(OFFSET(X156,1,0)="",R156,OFFSET(X156,1,0))</f>
        <v>46517</v>
      </c>
      <c r="Y156" s="26">
        <f ca="1">IF(OFFSET(Y156,1,0)="",X156+'Shipping Program'!$F$9,OFFSET(Y156,1,0))</f>
        <v>46547</v>
      </c>
      <c r="Z156" s="26">
        <f ca="1">IF(OFFSET(Z156,1,0)="",Y156+'Shipping Program'!$H$9,OFFSET(Z156,1,0))</f>
        <v>46554</v>
      </c>
      <c r="AA156" s="27">
        <f ca="1">IFERROR(IF(J156*Z156&lt;&gt;0,J156-Z156,""),"")</f>
        <v>18</v>
      </c>
      <c r="AB156" s="27" t="str">
        <f ca="1">IF(AA156&lt;&gt;"",IF(AA156&gt;28,"Too early",IF(AA156&lt;14,"Too late","")),"")</f>
        <v/>
      </c>
      <c r="AC156" s="46"/>
      <c r="AE156" s="80" t="s">
        <v>54</v>
      </c>
      <c r="AF156" s="80"/>
      <c r="AG156" s="80"/>
      <c r="AH156" s="80" t="str">
        <f>IF(AI156="","",AI156*AJ156*AK156/1000/1000/1000)</f>
        <v/>
      </c>
      <c r="AI156" s="80"/>
      <c r="AJ156" s="80"/>
      <c r="AK156" s="80"/>
    </row>
    <row r="157" spans="1:37" ht="20.100000000000001" customHeight="1">
      <c r="A157" s="33">
        <f ca="1">COUNTIF(J$3:OFFSET(J157,-1,0),"Subtotal:")+1</f>
        <v>11</v>
      </c>
      <c r="B157" s="23" t="str">
        <f ca="1">IF(OFFSET(B157,1,0)&lt;&gt;"",OFFSET(B157,1,0),"")</f>
        <v/>
      </c>
      <c r="C157" s="42"/>
      <c r="D157" s="59" t="s">
        <v>77</v>
      </c>
      <c r="E157" s="60" t="str">
        <f>LEFT(F157,3)</f>
        <v>#13</v>
      </c>
      <c r="F157" s="59" t="s">
        <v>232</v>
      </c>
      <c r="G157" s="59" t="s">
        <v>239</v>
      </c>
      <c r="H157" s="60" t="s">
        <v>1</v>
      </c>
      <c r="I157" s="24">
        <f>IF(J157&lt;&gt;"",J157 - ('Shipping Program'!$D$9 + 'Shipping Program'!$F$9 + 'Shipping Program'!$H$9), "")</f>
        <v>46528</v>
      </c>
      <c r="J157" s="43">
        <v>46575</v>
      </c>
      <c r="K157" s="44" t="str">
        <f>IF(SUM(M157:N157)=0,"",SUM(M157:N157))</f>
        <v/>
      </c>
      <c r="L157" s="44"/>
      <c r="M157" s="44"/>
      <c r="N157" s="54"/>
      <c r="O157" s="25">
        <f>VLOOKUP(I157,'Shipping Program'!$A$32:$B$78,2)-1</f>
        <v>11</v>
      </c>
      <c r="P157" s="44">
        <f>O157</f>
        <v>11</v>
      </c>
      <c r="Q157" s="24">
        <f>R157-7</f>
        <v>46510</v>
      </c>
      <c r="R157" s="24">
        <f>IFERROR(_xlfn.XLOOKUP(P157,'Shipping Program'!$B$32:$B$78,'Shipping Program'!$A$32:$A$78),IFERROR(INDEX(_V7Batches!$B:$B,MATCH(P157&amp;"",_V7Batches!$A:$A,0)),""))</f>
        <v>46517</v>
      </c>
      <c r="S157" s="24">
        <f>IFERROR(_xlfn.XLOOKUP(P157,'Shipping Program'!$B$32:$B$78,'Shipping Program'!$E$32:$E$78),IFERROR(INDEX(_V7Batches!$D:$D,MATCH(P157&amp;"",_V7Batches!$A:$A,0)),""))</f>
        <v>46547</v>
      </c>
      <c r="T157" s="24">
        <f>S157+'Shipping Program'!$H$9</f>
        <v>46554</v>
      </c>
      <c r="U157" s="25">
        <f>IFERROR(IF(J157*T157&lt;&gt;0,J157-T157,""),"")</f>
        <v>21</v>
      </c>
      <c r="V157" s="25" t="str">
        <f>IF(U157&lt;&gt;"",IF(U157&gt;28,"Too early",IF(U157&lt;14,"Too late","")),"")</f>
        <v/>
      </c>
      <c r="W157" s="35"/>
      <c r="X157" s="26">
        <f ca="1">IF(OFFSET(X157,1,0)="",R157,OFFSET(X157,1,0))</f>
        <v>46517</v>
      </c>
      <c r="Y157" s="26">
        <f ca="1">IF(OFFSET(Y157,1,0)="",X157+'Shipping Program'!$F$9,OFFSET(Y157,1,0))</f>
        <v>46547</v>
      </c>
      <c r="Z157" s="26">
        <f ca="1">IF(OFFSET(Z157,1,0)="",Y157+'Shipping Program'!$H$9,OFFSET(Z157,1,0))</f>
        <v>46554</v>
      </c>
      <c r="AA157" s="27">
        <f ca="1">IFERROR(IF(J157*Z157&lt;&gt;0,J157-Z157,""),"")</f>
        <v>21</v>
      </c>
      <c r="AB157" s="27" t="str">
        <f ca="1">IF(AA157&lt;&gt;"",IF(AA157&gt;28,"Too early",IF(AA157&lt;14,"Too late","")),"")</f>
        <v/>
      </c>
      <c r="AC157" s="46"/>
      <c r="AE157" s="80" t="s">
        <v>43</v>
      </c>
      <c r="AF157" s="80" t="s">
        <v>46</v>
      </c>
      <c r="AG157" s="80" t="s">
        <v>63</v>
      </c>
      <c r="AH157" s="80" t="str">
        <f>IF(AI157="","",AI157*AJ157*AK157/1000/1000/1000)</f>
        <v/>
      </c>
      <c r="AI157" s="80"/>
      <c r="AJ157" s="80"/>
      <c r="AK157" s="80"/>
    </row>
    <row r="158" spans="1:37" ht="20.100000000000001" customHeight="1">
      <c r="A158" s="33">
        <f ca="1">COUNTIF(J$3:OFFSET(J158,-1,0),"Subtotal:")+1</f>
        <v>11</v>
      </c>
      <c r="B158" s="23" t="str">
        <f ca="1">IF(OFFSET(B158,1,0)&lt;&gt;"",OFFSET(B158,1,0),"")</f>
        <v/>
      </c>
      <c r="C158" s="42"/>
      <c r="D158" s="59" t="s">
        <v>78</v>
      </c>
      <c r="E158" s="60" t="str">
        <f>LEFT(F158,3)</f>
        <v>#13</v>
      </c>
      <c r="F158" s="59" t="s">
        <v>232</v>
      </c>
      <c r="G158" s="59" t="s">
        <v>241</v>
      </c>
      <c r="H158" s="60" t="s">
        <v>1</v>
      </c>
      <c r="I158" s="24">
        <f>IF(J158&lt;&gt;"",J158 - ('Shipping Program'!$D$9 + 'Shipping Program'!$F$9 + 'Shipping Program'!$H$9), "")</f>
        <v>46529</v>
      </c>
      <c r="J158" s="43">
        <v>46576</v>
      </c>
      <c r="K158" s="44" t="str">
        <f>IF(SUM(M158:N158)=0,"",SUM(M158:N158))</f>
        <v/>
      </c>
      <c r="L158" s="44"/>
      <c r="M158" s="44"/>
      <c r="N158" s="54"/>
      <c r="O158" s="25">
        <f>VLOOKUP(I158,'Shipping Program'!$A$32:$B$78,2)-1</f>
        <v>11</v>
      </c>
      <c r="P158" s="44">
        <f>O158</f>
        <v>11</v>
      </c>
      <c r="Q158" s="24">
        <f>R158-7</f>
        <v>46510</v>
      </c>
      <c r="R158" s="24">
        <f>IFERROR(_xlfn.XLOOKUP(P158,'Shipping Program'!$B$32:$B$78,'Shipping Program'!$A$32:$A$78),IFERROR(INDEX(_V7Batches!$B:$B,MATCH(P158&amp;"",_V7Batches!$A:$A,0)),""))</f>
        <v>46517</v>
      </c>
      <c r="S158" s="24">
        <f>IFERROR(_xlfn.XLOOKUP(P158,'Shipping Program'!$B$32:$B$78,'Shipping Program'!$E$32:$E$78),IFERROR(INDEX(_V7Batches!$D:$D,MATCH(P158&amp;"",_V7Batches!$A:$A,0)),""))</f>
        <v>46547</v>
      </c>
      <c r="T158" s="24">
        <f>S158+'Shipping Program'!$H$9</f>
        <v>46554</v>
      </c>
      <c r="U158" s="25">
        <f>IFERROR(IF(J158*T158&lt;&gt;0,J158-T158,""),"")</f>
        <v>22</v>
      </c>
      <c r="V158" s="25" t="str">
        <f>IF(U158&lt;&gt;"",IF(U158&gt;28,"Too early",IF(U158&lt;14,"Too late","")),"")</f>
        <v/>
      </c>
      <c r="W158" s="35"/>
      <c r="X158" s="26">
        <f ca="1">IF(OFFSET(X158,1,0)="",R158,OFFSET(X158,1,0))</f>
        <v>46517</v>
      </c>
      <c r="Y158" s="26">
        <f ca="1">IF(OFFSET(Y158,1,0)="",X158+'Shipping Program'!$F$9,OFFSET(Y158,1,0))</f>
        <v>46547</v>
      </c>
      <c r="Z158" s="26">
        <f ca="1">IF(OFFSET(Z158,1,0)="",Y158+'Shipping Program'!$H$9,OFFSET(Z158,1,0))</f>
        <v>46554</v>
      </c>
      <c r="AA158" s="27">
        <f ca="1">IFERROR(IF(J158*Z158&lt;&gt;0,J158-Z158,""),"")</f>
        <v>22</v>
      </c>
      <c r="AB158" s="27" t="str">
        <f ca="1">IF(AA158&lt;&gt;"",IF(AA158&gt;28,"Too early",IF(AA158&lt;14,"Too late","")),"")</f>
        <v/>
      </c>
      <c r="AC158" s="46"/>
      <c r="AE158" s="80" t="s">
        <v>54</v>
      </c>
      <c r="AF158" s="80"/>
      <c r="AG158" s="80"/>
      <c r="AH158" s="80" t="str">
        <f>IF(AI158="","",AI158*AJ158*AK158/1000/1000/1000)</f>
        <v/>
      </c>
      <c r="AI158" s="80"/>
      <c r="AJ158" s="80"/>
      <c r="AK158" s="80"/>
    </row>
    <row r="159" spans="1:37" ht="20.100000000000001" customHeight="1">
      <c r="A159" s="33">
        <f ca="1">COUNTIF(J$3:OFFSET(J159,-1,0),"Subtotal:")+1</f>
        <v>11</v>
      </c>
      <c r="B159" s="23" t="str">
        <f ca="1">IF(OFFSET(B159,1,0)&lt;&gt;"",OFFSET(B159,1,0),"")</f>
        <v/>
      </c>
      <c r="C159" s="42"/>
      <c r="D159" s="59" t="s">
        <v>78</v>
      </c>
      <c r="E159" s="60" t="str">
        <f>LEFT(F159,3)</f>
        <v>#13</v>
      </c>
      <c r="F159" s="59" t="s">
        <v>237</v>
      </c>
      <c r="G159" s="59" t="s">
        <v>240</v>
      </c>
      <c r="H159" s="60" t="s">
        <v>2</v>
      </c>
      <c r="I159" s="24">
        <f>IF(J159&lt;&gt;"",J159 - ('Shipping Program'!$D$9 + 'Shipping Program'!$F$9 + 'Shipping Program'!$H$9), "")</f>
        <v>46527</v>
      </c>
      <c r="J159" s="43">
        <v>46574</v>
      </c>
      <c r="K159" s="44" t="str">
        <f>IF(SUM(M159:N159)=0,"",SUM(M159:N159))</f>
        <v/>
      </c>
      <c r="L159" s="44"/>
      <c r="M159" s="44"/>
      <c r="N159" s="54"/>
      <c r="O159" s="25">
        <f>VLOOKUP(I159,'Shipping Program'!$A$32:$B$78,2)-1</f>
        <v>11</v>
      </c>
      <c r="P159" s="44">
        <f>O159</f>
        <v>11</v>
      </c>
      <c r="Q159" s="24">
        <f>R159-7</f>
        <v>46510</v>
      </c>
      <c r="R159" s="24">
        <f>IFERROR(_xlfn.XLOOKUP(P159,'Shipping Program'!$B$32:$B$78,'Shipping Program'!$A$32:$A$78),IFERROR(INDEX(_V7Batches!$B:$B,MATCH(P159&amp;"",_V7Batches!$A:$A,0)),""))</f>
        <v>46517</v>
      </c>
      <c r="S159" s="24">
        <f>IFERROR(_xlfn.XLOOKUP(P159,'Shipping Program'!$B$32:$B$78,'Shipping Program'!$E$32:$E$78),IFERROR(INDEX(_V7Batches!$D:$D,MATCH(P159&amp;"",_V7Batches!$A:$A,0)),""))</f>
        <v>46547</v>
      </c>
      <c r="T159" s="24">
        <f>S159+'Shipping Program'!$H$9</f>
        <v>46554</v>
      </c>
      <c r="U159" s="25">
        <f>IFERROR(IF(J159*T159&lt;&gt;0,J159-T159,""),"")</f>
        <v>20</v>
      </c>
      <c r="V159" s="25" t="str">
        <f>IF(U159&lt;&gt;"",IF(U159&gt;28,"Too early",IF(U159&lt;14,"Too late","")),"")</f>
        <v/>
      </c>
      <c r="W159" s="35"/>
      <c r="X159" s="26">
        <f ca="1">IF(OFFSET(X159,1,0)="",R159,OFFSET(X159,1,0))</f>
        <v>46517</v>
      </c>
      <c r="Y159" s="26">
        <f ca="1">IF(OFFSET(Y159,1,0)="",X159+'Shipping Program'!$F$9,OFFSET(Y159,1,0))</f>
        <v>46547</v>
      </c>
      <c r="Z159" s="26">
        <f ca="1">IF(OFFSET(Z159,1,0)="",Y159+'Shipping Program'!$H$9,OFFSET(Z159,1,0))</f>
        <v>46554</v>
      </c>
      <c r="AA159" s="27">
        <f ca="1">IFERROR(IF(J159*Z159&lt;&gt;0,J159-Z159,""),"")</f>
        <v>20</v>
      </c>
      <c r="AB159" s="27" t="str">
        <f ca="1">IF(AA159&lt;&gt;"",IF(AA159&gt;28,"Too early",IF(AA159&lt;14,"Too late","")),"")</f>
        <v/>
      </c>
      <c r="AC159" s="46"/>
      <c r="AE159" s="80" t="s">
        <v>43</v>
      </c>
      <c r="AF159" s="80" t="s">
        <v>46</v>
      </c>
      <c r="AG159" s="80" t="s">
        <v>42</v>
      </c>
      <c r="AH159" s="80" t="str">
        <f>IF(AI159="","",AI159*AJ159*AK159/1000/1000/1000)</f>
        <v/>
      </c>
      <c r="AI159" s="80"/>
      <c r="AJ159" s="80"/>
      <c r="AK159" s="80"/>
    </row>
    <row r="160" spans="1:37" ht="20.100000000000001" customHeight="1">
      <c r="A160" s="33">
        <f ca="1">COUNTIF(J$3:OFFSET(J160,-1,0),"Subtotal:")+1</f>
        <v>11</v>
      </c>
      <c r="B160" s="23" t="str">
        <f ca="1">IF(OFFSET(B160,1,0)&lt;&gt;"",OFFSET(B160,1,0),"")</f>
        <v/>
      </c>
      <c r="C160" s="42"/>
      <c r="D160" s="59" t="s">
        <v>89</v>
      </c>
      <c r="E160" s="60" t="str">
        <f>LEFT(F160,3)</f>
        <v>#11</v>
      </c>
      <c r="F160" s="59" t="s">
        <v>298</v>
      </c>
      <c r="G160" s="59" t="s">
        <v>58</v>
      </c>
      <c r="H160" s="60"/>
      <c r="I160" s="24">
        <f>IF(J160&lt;&gt;"",J160 - ('Shipping Program'!$D$9 + 'Shipping Program'!$F$9 + 'Shipping Program'!$H$9), "")</f>
        <v>46528</v>
      </c>
      <c r="J160" s="43">
        <v>46575</v>
      </c>
      <c r="K160" s="44" t="str">
        <f>IF(SUM(M160:N160)=0,"",SUM(M160:N160))</f>
        <v/>
      </c>
      <c r="L160" s="44"/>
      <c r="M160" s="44"/>
      <c r="N160" s="54"/>
      <c r="O160" s="25">
        <f>VLOOKUP(I160,'Shipping Program'!$A$32:$B$78,2)-1</f>
        <v>11</v>
      </c>
      <c r="P160" s="44">
        <f>O160</f>
        <v>11</v>
      </c>
      <c r="Q160" s="24">
        <f>R160-7</f>
        <v>46510</v>
      </c>
      <c r="R160" s="24">
        <f>IFERROR(_xlfn.XLOOKUP(P160,'Shipping Program'!$B$32:$B$78,'Shipping Program'!$A$32:$A$78),IFERROR(INDEX(_V7Batches!$B:$B,MATCH(P160&amp;"",_V7Batches!$A:$A,0)),""))</f>
        <v>46517</v>
      </c>
      <c r="S160" s="24">
        <f>IFERROR(_xlfn.XLOOKUP(P160,'Shipping Program'!$B$32:$B$78,'Shipping Program'!$E$32:$E$78),IFERROR(INDEX(_V7Batches!$D:$D,MATCH(P160&amp;"",_V7Batches!$A:$A,0)),""))</f>
        <v>46547</v>
      </c>
      <c r="T160" s="24">
        <f>S160+'Shipping Program'!$H$9</f>
        <v>46554</v>
      </c>
      <c r="U160" s="25">
        <f>IFERROR(IF(J160*T160&lt;&gt;0,J160-T160,""),"")</f>
        <v>21</v>
      </c>
      <c r="V160" s="25" t="str">
        <f>IF(U160&lt;&gt;"",IF(U160&gt;28,"Too early",IF(U160&lt;14,"Too late","")),"")</f>
        <v/>
      </c>
      <c r="W160" s="35"/>
      <c r="X160" s="26">
        <f ca="1">IF(OFFSET(X160,1,0)="",R160,OFFSET(X160,1,0))</f>
        <v>46517</v>
      </c>
      <c r="Y160" s="26">
        <f ca="1">IF(OFFSET(Y160,1,0)="",X160+'Shipping Program'!$F$9,OFFSET(Y160,1,0))</f>
        <v>46547</v>
      </c>
      <c r="Z160" s="26">
        <f ca="1">IF(OFFSET(Z160,1,0)="",Y160+'Shipping Program'!$H$9,OFFSET(Z160,1,0))</f>
        <v>46554</v>
      </c>
      <c r="AA160" s="27">
        <f ca="1">IFERROR(IF(J160*Z160&lt;&gt;0,J160-Z160,""),"")</f>
        <v>21</v>
      </c>
      <c r="AB160" s="27" t="str">
        <f ca="1">IF(AA160&lt;&gt;"",IF(AA160&gt;28,"Too early",IF(AA160&lt;14,"Too late","")),"")</f>
        <v/>
      </c>
      <c r="AC160" s="46"/>
      <c r="AE160" s="80" t="s">
        <v>54</v>
      </c>
      <c r="AF160" s="80"/>
      <c r="AG160" s="80"/>
      <c r="AH160" s="80" t="str">
        <f>IF(AI160="","",AI160*AJ160*AK160/1000/1000/1000)</f>
        <v/>
      </c>
      <c r="AI160" s="80"/>
      <c r="AJ160" s="80"/>
      <c r="AK160" s="80"/>
    </row>
    <row r="161" spans="1:37" ht="20.100000000000001" customHeight="1">
      <c r="A161" s="33">
        <f ca="1">COUNTIF(J$3:OFFSET(J161,-1,0),"Subtotal:")+1</f>
        <v>11</v>
      </c>
      <c r="B161" s="62" t="str">
        <f ca="1">IF(OFFSET(B161,1,0)&lt;&gt;"",OFFSET(B161,1,0),"")</f>
        <v/>
      </c>
      <c r="C161" s="63"/>
      <c r="D161" s="59" t="s">
        <v>95</v>
      </c>
      <c r="E161" s="60" t="str">
        <f>LEFT(F161,3)</f>
        <v>#06</v>
      </c>
      <c r="F161" s="59" t="s">
        <v>226</v>
      </c>
      <c r="G161" s="59" t="s">
        <v>245</v>
      </c>
      <c r="H161" s="60"/>
      <c r="I161" s="24">
        <f>IF(J161&lt;&gt;"",J161 - ('Shipping Program'!$D$9 + 'Shipping Program'!$F$9 + 'Shipping Program'!$H$9), "")</f>
        <v>46524</v>
      </c>
      <c r="J161" s="43">
        <v>46571</v>
      </c>
      <c r="K161" s="44" t="str">
        <f>IF(SUM(M161:N161)=0,"",SUM(M161:N161))</f>
        <v/>
      </c>
      <c r="L161" s="64"/>
      <c r="M161" s="44"/>
      <c r="N161" s="54"/>
      <c r="O161" s="25">
        <f>VLOOKUP(I161,'Shipping Program'!$A$32:$B$78,2)-1</f>
        <v>11</v>
      </c>
      <c r="P161" s="44">
        <f>O161</f>
        <v>11</v>
      </c>
      <c r="Q161" s="24">
        <f>R161-7</f>
        <v>46510</v>
      </c>
      <c r="R161" s="24">
        <f>IFERROR(_xlfn.XLOOKUP(P161,'Shipping Program'!$B$32:$B$78,'Shipping Program'!$A$32:$A$78),IFERROR(INDEX(_V7Batches!$B:$B,MATCH(P161&amp;"",_V7Batches!$A:$A,0)),""))</f>
        <v>46517</v>
      </c>
      <c r="S161" s="24">
        <f>IFERROR(_xlfn.XLOOKUP(P161,'Shipping Program'!$B$32:$B$78,'Shipping Program'!$E$32:$E$78),IFERROR(INDEX(_V7Batches!$D:$D,MATCH(P161&amp;"",_V7Batches!$A:$A,0)),""))</f>
        <v>46547</v>
      </c>
      <c r="T161" s="24">
        <f>S161+'Shipping Program'!$H$9</f>
        <v>46554</v>
      </c>
      <c r="U161" s="25">
        <f>IFERROR(IF(J161*T161&lt;&gt;0,J161-T161,""),"")</f>
        <v>17</v>
      </c>
      <c r="V161" s="25" t="str">
        <f>IF(U161&lt;&gt;"",IF(U161&gt;28,"Too early",IF(U161&lt;14,"Too late","")),"")</f>
        <v/>
      </c>
      <c r="W161" s="35"/>
      <c r="X161" s="26">
        <f ca="1">IF(OFFSET(X161,1,0)="",R161,OFFSET(X161,1,0))</f>
        <v>46517</v>
      </c>
      <c r="Y161" s="26">
        <f ca="1">IF(OFFSET(Y161,1,0)="",X161+'Shipping Program'!$F$9,OFFSET(Y161,1,0))</f>
        <v>46547</v>
      </c>
      <c r="Z161" s="26">
        <f ca="1">IF(OFFSET(Z161,1,0)="",Y161+'Shipping Program'!$H$9,OFFSET(Z161,1,0))</f>
        <v>46554</v>
      </c>
      <c r="AA161" s="27">
        <f ca="1">IFERROR(IF(J161*Z161&lt;&gt;0,J161-Z161,""),"")</f>
        <v>17</v>
      </c>
      <c r="AB161" s="27" t="str">
        <f ca="1">IF(AA161&lt;&gt;"",IF(AA161&gt;28,"Too early",IF(AA161&lt;14,"Too late","")),"")</f>
        <v/>
      </c>
      <c r="AC161" s="46"/>
      <c r="AE161" s="80" t="s">
        <v>43</v>
      </c>
      <c r="AF161" s="80" t="s">
        <v>46</v>
      </c>
      <c r="AG161" s="80" t="s">
        <v>42</v>
      </c>
      <c r="AH161" s="80" t="str">
        <f>IF(AI161="","",AI161*AJ161*AK161/1000/1000/1000)</f>
        <v/>
      </c>
      <c r="AI161" s="80"/>
      <c r="AJ161" s="80"/>
      <c r="AK161" s="80"/>
    </row>
    <row r="162" spans="1:37" ht="20.100000000000001" customHeight="1">
      <c r="A162" s="33">
        <f ca="1">COUNTIF(J$3:OFFSET(J162,-1,0),"Subtotal:")+1</f>
        <v>11</v>
      </c>
      <c r="B162" s="62" t="str">
        <f ca="1">IF(OFFSET(B162,1,0)&lt;&gt;"",OFFSET(B162,1,0),"")</f>
        <v/>
      </c>
      <c r="C162" s="63"/>
      <c r="D162" s="59" t="s">
        <v>95</v>
      </c>
      <c r="E162" s="60" t="str">
        <f>LEFT(F162,3)</f>
        <v>#06</v>
      </c>
      <c r="F162" s="59" t="s">
        <v>231</v>
      </c>
      <c r="G162" s="59" t="s">
        <v>244</v>
      </c>
      <c r="H162" s="60"/>
      <c r="I162" s="24">
        <f>IF(J162&lt;&gt;"",J162 - ('Shipping Program'!$D$9 + 'Shipping Program'!$F$9 + 'Shipping Program'!$H$9), "")</f>
        <v>46526</v>
      </c>
      <c r="J162" s="43">
        <v>46573</v>
      </c>
      <c r="K162" s="44" t="str">
        <f>IF(SUM(M162:N162)=0,"",SUM(M162:N162))</f>
        <v/>
      </c>
      <c r="L162" s="64"/>
      <c r="M162" s="44"/>
      <c r="N162" s="54"/>
      <c r="O162" s="25">
        <f>VLOOKUP(I162,'Shipping Program'!$A$32:$B$78,2)-1</f>
        <v>11</v>
      </c>
      <c r="P162" s="44">
        <f>O162</f>
        <v>11</v>
      </c>
      <c r="Q162" s="24">
        <f>R162-7</f>
        <v>46510</v>
      </c>
      <c r="R162" s="24">
        <f>IFERROR(_xlfn.XLOOKUP(P162,'Shipping Program'!$B$32:$B$78,'Shipping Program'!$A$32:$A$78),IFERROR(INDEX(_V7Batches!$B:$B,MATCH(P162&amp;"",_V7Batches!$A:$A,0)),""))</f>
        <v>46517</v>
      </c>
      <c r="S162" s="24">
        <f>IFERROR(_xlfn.XLOOKUP(P162,'Shipping Program'!$B$32:$B$78,'Shipping Program'!$E$32:$E$78),IFERROR(INDEX(_V7Batches!$D:$D,MATCH(P162&amp;"",_V7Batches!$A:$A,0)),""))</f>
        <v>46547</v>
      </c>
      <c r="T162" s="24">
        <f>S162+'Shipping Program'!$H$9</f>
        <v>46554</v>
      </c>
      <c r="U162" s="25">
        <f>IFERROR(IF(J162*T162&lt;&gt;0,J162-T162,""),"")</f>
        <v>19</v>
      </c>
      <c r="V162" s="25" t="str">
        <f>IF(U162&lt;&gt;"",IF(U162&gt;28,"Too early",IF(U162&lt;14,"Too late","")),"")</f>
        <v/>
      </c>
      <c r="W162" s="35"/>
      <c r="X162" s="26">
        <f ca="1">IF(OFFSET(X162,1,0)="",R162,OFFSET(X162,1,0))</f>
        <v>46517</v>
      </c>
      <c r="Y162" s="26">
        <f ca="1">IF(OFFSET(Y162,1,0)="",X162+'Shipping Program'!$F$9,OFFSET(Y162,1,0))</f>
        <v>46547</v>
      </c>
      <c r="Z162" s="26">
        <f ca="1">IF(OFFSET(Z162,1,0)="",Y162+'Shipping Program'!$H$9,OFFSET(Z162,1,0))</f>
        <v>46554</v>
      </c>
      <c r="AA162" s="27">
        <f ca="1">IFERROR(IF(J162*Z162&lt;&gt;0,J162-Z162,""),"")</f>
        <v>19</v>
      </c>
      <c r="AB162" s="27" t="str">
        <f ca="1">IF(AA162&lt;&gt;"",IF(AA162&gt;28,"Too early",IF(AA162&lt;14,"Too late","")),"")</f>
        <v/>
      </c>
      <c r="AC162" s="46"/>
      <c r="AE162" s="80" t="s">
        <v>43</v>
      </c>
      <c r="AF162" s="80" t="s">
        <v>46</v>
      </c>
      <c r="AG162" s="80" t="s">
        <v>42</v>
      </c>
      <c r="AH162" s="80" t="str">
        <f>IF(AI162="","",AI162*AJ162*AK162/1000/1000/1000)</f>
        <v/>
      </c>
      <c r="AI162" s="80"/>
      <c r="AJ162" s="80"/>
      <c r="AK162" s="80"/>
    </row>
    <row r="163" spans="1:37" ht="20.100000000000001" customHeight="1">
      <c r="A163" s="33">
        <f ca="1">COUNTIF(J$3:OFFSET(J163,-1,0),"Subtotal:")+1</f>
        <v>11</v>
      </c>
      <c r="B163" s="62" t="str">
        <f ca="1">IF(OFFSET(B163,1,0)&lt;&gt;"",OFFSET(B163,1,0),"")</f>
        <v/>
      </c>
      <c r="C163" s="63"/>
      <c r="D163" s="59" t="s">
        <v>95</v>
      </c>
      <c r="E163" s="60" t="str">
        <f>LEFT(F163,3)</f>
        <v>#06</v>
      </c>
      <c r="F163" s="59" t="s">
        <v>231</v>
      </c>
      <c r="G163" s="59" t="s">
        <v>245</v>
      </c>
      <c r="H163" s="60"/>
      <c r="I163" s="24">
        <f>IF(J163&lt;&gt;"",J163 - ('Shipping Program'!$D$9 + 'Shipping Program'!$F$9 + 'Shipping Program'!$H$9), "")</f>
        <v>46529</v>
      </c>
      <c r="J163" s="43">
        <v>46576</v>
      </c>
      <c r="K163" s="44" t="str">
        <f>IF(SUM(M163:N163)=0,"",SUM(M163:N163))</f>
        <v/>
      </c>
      <c r="L163" s="64"/>
      <c r="M163" s="44"/>
      <c r="N163" s="54"/>
      <c r="O163" s="25">
        <f>VLOOKUP(I163,'Shipping Program'!$A$32:$B$78,2)-1</f>
        <v>11</v>
      </c>
      <c r="P163" s="44">
        <f>O163</f>
        <v>11</v>
      </c>
      <c r="Q163" s="24">
        <f>R163-7</f>
        <v>46510</v>
      </c>
      <c r="R163" s="24">
        <f>IFERROR(_xlfn.XLOOKUP(P163,'Shipping Program'!$B$32:$B$78,'Shipping Program'!$A$32:$A$78),IFERROR(INDEX(_V7Batches!$B:$B,MATCH(P163&amp;"",_V7Batches!$A:$A,0)),""))</f>
        <v>46517</v>
      </c>
      <c r="S163" s="24">
        <f>IFERROR(_xlfn.XLOOKUP(P163,'Shipping Program'!$B$32:$B$78,'Shipping Program'!$E$32:$E$78),IFERROR(INDEX(_V7Batches!$D:$D,MATCH(P163&amp;"",_V7Batches!$A:$A,0)),""))</f>
        <v>46547</v>
      </c>
      <c r="T163" s="24">
        <f>S163+'Shipping Program'!$H$9</f>
        <v>46554</v>
      </c>
      <c r="U163" s="25">
        <f>IFERROR(IF(J163*T163&lt;&gt;0,J163-T163,""),"")</f>
        <v>22</v>
      </c>
      <c r="V163" s="25" t="str">
        <f>IF(U163&lt;&gt;"",IF(U163&gt;28,"Too early",IF(U163&lt;14,"Too late","")),"")</f>
        <v/>
      </c>
      <c r="W163" s="35"/>
      <c r="X163" s="26">
        <f ca="1">IF(OFFSET(X163,1,0)="",R163,OFFSET(X163,1,0))</f>
        <v>46517</v>
      </c>
      <c r="Y163" s="26">
        <f ca="1">IF(OFFSET(Y163,1,0)="",X163+'Shipping Program'!$F$9,OFFSET(Y163,1,0))</f>
        <v>46547</v>
      </c>
      <c r="Z163" s="26">
        <f ca="1">IF(OFFSET(Z163,1,0)="",Y163+'Shipping Program'!$H$9,OFFSET(Z163,1,0))</f>
        <v>46554</v>
      </c>
      <c r="AA163" s="27">
        <f ca="1">IFERROR(IF(J163*Z163&lt;&gt;0,J163-Z163,""),"")</f>
        <v>22</v>
      </c>
      <c r="AB163" s="27" t="str">
        <f ca="1">IF(AA163&lt;&gt;"",IF(AA163&gt;28,"Too early",IF(AA163&lt;14,"Too late","")),"")</f>
        <v/>
      </c>
      <c r="AC163" s="46"/>
      <c r="AE163" s="80" t="s">
        <v>43</v>
      </c>
      <c r="AF163" s="80" t="s">
        <v>46</v>
      </c>
      <c r="AG163" s="80" t="s">
        <v>42</v>
      </c>
      <c r="AH163" s="80" t="str">
        <f>IF(AI163="","",AI163*AJ163*AK163/1000/1000/1000)</f>
        <v/>
      </c>
      <c r="AI163" s="80"/>
      <c r="AJ163" s="80"/>
      <c r="AK163" s="80"/>
    </row>
    <row r="164" spans="1:37" ht="20.100000000000001" customHeight="1">
      <c r="A164" s="33">
        <f ca="1">COUNTIF(J$3:OFFSET(J164,-1,0),"Subtotal:")+1</f>
        <v>11</v>
      </c>
      <c r="B164" s="62" t="str">
        <f ca="1">IF(OFFSET(B164,1,0)&lt;&gt;"",OFFSET(B164,1,0),"")</f>
        <v/>
      </c>
      <c r="C164" s="63"/>
      <c r="D164" s="59" t="s">
        <v>95</v>
      </c>
      <c r="E164" s="60" t="str">
        <f>LEFT(F164,3)</f>
        <v>#06</v>
      </c>
      <c r="F164" s="59" t="s">
        <v>228</v>
      </c>
      <c r="G164" s="59" t="s">
        <v>243</v>
      </c>
      <c r="H164" s="60"/>
      <c r="I164" s="24">
        <f>IF(J164&lt;&gt;"",J164 - ('Shipping Program'!$D$9 + 'Shipping Program'!$F$9 + 'Shipping Program'!$H$9), "")</f>
        <v>46529</v>
      </c>
      <c r="J164" s="43">
        <v>46576</v>
      </c>
      <c r="K164" s="44" t="str">
        <f>IF(SUM(M164:N164)=0,"",SUM(M164:N164))</f>
        <v/>
      </c>
      <c r="L164" s="64"/>
      <c r="M164" s="44"/>
      <c r="N164" s="54"/>
      <c r="O164" s="25">
        <f>VLOOKUP(I164,'Shipping Program'!$A$32:$B$78,2)-1</f>
        <v>11</v>
      </c>
      <c r="P164" s="44">
        <f>O164</f>
        <v>11</v>
      </c>
      <c r="Q164" s="24">
        <f>R164-7</f>
        <v>46510</v>
      </c>
      <c r="R164" s="24">
        <f>IFERROR(_xlfn.XLOOKUP(P164,'Shipping Program'!$B$32:$B$78,'Shipping Program'!$A$32:$A$78),IFERROR(INDEX(_V7Batches!$B:$B,MATCH(P164&amp;"",_V7Batches!$A:$A,0)),""))</f>
        <v>46517</v>
      </c>
      <c r="S164" s="24">
        <f>IFERROR(_xlfn.XLOOKUP(P164,'Shipping Program'!$B$32:$B$78,'Shipping Program'!$E$32:$E$78),IFERROR(INDEX(_V7Batches!$D:$D,MATCH(P164&amp;"",_V7Batches!$A:$A,0)),""))</f>
        <v>46547</v>
      </c>
      <c r="T164" s="24">
        <f>S164+'Shipping Program'!$H$9</f>
        <v>46554</v>
      </c>
      <c r="U164" s="25">
        <f>IFERROR(IF(J164*T164&lt;&gt;0,J164-T164,""),"")</f>
        <v>22</v>
      </c>
      <c r="V164" s="25" t="str">
        <f>IF(U164&lt;&gt;"",IF(U164&gt;28,"Too early",IF(U164&lt;14,"Too late","")),"")</f>
        <v/>
      </c>
      <c r="W164" s="35"/>
      <c r="X164" s="26">
        <f ca="1">IF(OFFSET(X164,1,0)="",R164,OFFSET(X164,1,0))</f>
        <v>46517</v>
      </c>
      <c r="Y164" s="26">
        <f ca="1">IF(OFFSET(Y164,1,0)="",X164+'Shipping Program'!$F$9,OFFSET(Y164,1,0))</f>
        <v>46547</v>
      </c>
      <c r="Z164" s="26">
        <f ca="1">IF(OFFSET(Z164,1,0)="",Y164+'Shipping Program'!$H$9,OFFSET(Z164,1,0))</f>
        <v>46554</v>
      </c>
      <c r="AA164" s="27">
        <f ca="1">IFERROR(IF(J164*Z164&lt;&gt;0,J164-Z164,""),"")</f>
        <v>22</v>
      </c>
      <c r="AB164" s="27" t="str">
        <f ca="1">IF(AA164&lt;&gt;"",IF(AA164&gt;28,"Too early",IF(AA164&lt;14,"Too late","")),"")</f>
        <v/>
      </c>
      <c r="AC164" s="46"/>
      <c r="AE164" s="80" t="s">
        <v>43</v>
      </c>
      <c r="AF164" s="80" t="s">
        <v>46</v>
      </c>
      <c r="AG164" s="80" t="s">
        <v>42</v>
      </c>
      <c r="AH164" s="80" t="str">
        <f>IF(AI164="","",AI164*AJ164*AK164/1000/1000/1000)</f>
        <v/>
      </c>
      <c r="AI164" s="80"/>
      <c r="AJ164" s="80"/>
      <c r="AK164" s="80"/>
    </row>
    <row r="165" spans="1:37" ht="20.100000000000001" customHeight="1">
      <c r="A165" s="33">
        <f ca="1">COUNTIF(J$3:OFFSET(J165,-1,0),"Subtotal:")+1</f>
        <v>11</v>
      </c>
      <c r="B165" s="62" t="str">
        <f ca="1">IF(OFFSET(B165,1,0)&lt;&gt;"",OFFSET(B165,1,0),"")</f>
        <v/>
      </c>
      <c r="C165" s="63"/>
      <c r="D165" s="59" t="s">
        <v>95</v>
      </c>
      <c r="E165" s="60" t="str">
        <f>LEFT(F165,3)</f>
        <v>#06</v>
      </c>
      <c r="F165" s="59" t="s">
        <v>228</v>
      </c>
      <c r="G165" s="59" t="s">
        <v>181</v>
      </c>
      <c r="H165" s="60"/>
      <c r="I165" s="24">
        <f>IF(J165&lt;&gt;"",J165 - ('Shipping Program'!$D$9 + 'Shipping Program'!$F$9 + 'Shipping Program'!$H$9), "")</f>
        <v>46530</v>
      </c>
      <c r="J165" s="43">
        <v>46577</v>
      </c>
      <c r="K165" s="44" t="str">
        <f>IF(SUM(M165:N165)=0,"",SUM(M165:N165))</f>
        <v/>
      </c>
      <c r="L165" s="64"/>
      <c r="M165" s="44"/>
      <c r="N165" s="54"/>
      <c r="O165" s="25">
        <f>VLOOKUP(I165,'Shipping Program'!$A$32:$B$78,2)-1</f>
        <v>11</v>
      </c>
      <c r="P165" s="44">
        <f>O165</f>
        <v>11</v>
      </c>
      <c r="Q165" s="24">
        <f>R165-7</f>
        <v>46510</v>
      </c>
      <c r="R165" s="24">
        <f>IFERROR(_xlfn.XLOOKUP(P165,'Shipping Program'!$B$32:$B$78,'Shipping Program'!$A$32:$A$78),IFERROR(INDEX(_V7Batches!$B:$B,MATCH(P165&amp;"",_V7Batches!$A:$A,0)),""))</f>
        <v>46517</v>
      </c>
      <c r="S165" s="24">
        <f>IFERROR(_xlfn.XLOOKUP(P165,'Shipping Program'!$B$32:$B$78,'Shipping Program'!$E$32:$E$78),IFERROR(INDEX(_V7Batches!$D:$D,MATCH(P165&amp;"",_V7Batches!$A:$A,0)),""))</f>
        <v>46547</v>
      </c>
      <c r="T165" s="24">
        <f>S165+'Shipping Program'!$H$9</f>
        <v>46554</v>
      </c>
      <c r="U165" s="25">
        <f>IFERROR(IF(J165*T165&lt;&gt;0,J165-T165,""),"")</f>
        <v>23</v>
      </c>
      <c r="V165" s="25" t="str">
        <f>IF(U165&lt;&gt;"",IF(U165&gt;28,"Too early",IF(U165&lt;14,"Too late","")),"")</f>
        <v/>
      </c>
      <c r="W165" s="35"/>
      <c r="X165" s="26">
        <f ca="1">IF(OFFSET(X165,1,0)="",R165,OFFSET(X165,1,0))</f>
        <v>46517</v>
      </c>
      <c r="Y165" s="26">
        <f ca="1">IF(OFFSET(Y165,1,0)="",X165+'Shipping Program'!$F$9,OFFSET(Y165,1,0))</f>
        <v>46547</v>
      </c>
      <c r="Z165" s="26">
        <f ca="1">IF(OFFSET(Z165,1,0)="",Y165+'Shipping Program'!$H$9,OFFSET(Z165,1,0))</f>
        <v>46554</v>
      </c>
      <c r="AA165" s="27">
        <f ca="1">IFERROR(IF(J165*Z165&lt;&gt;0,J165-Z165,""),"")</f>
        <v>23</v>
      </c>
      <c r="AB165" s="27" t="str">
        <f ca="1">IF(AA165&lt;&gt;"",IF(AA165&gt;28,"Too early",IF(AA165&lt;14,"Too late","")),"")</f>
        <v/>
      </c>
      <c r="AC165" s="46"/>
      <c r="AE165" s="80" t="s">
        <v>43</v>
      </c>
      <c r="AF165" s="80" t="s">
        <v>46</v>
      </c>
      <c r="AG165" s="80" t="s">
        <v>42</v>
      </c>
      <c r="AH165" s="80" t="str">
        <f>IF(AI165="","",AI165*AJ165*AK165/1000/1000/1000)</f>
        <v/>
      </c>
      <c r="AI165" s="80"/>
      <c r="AJ165" s="80"/>
      <c r="AK165" s="80"/>
    </row>
    <row r="166" spans="1:37" ht="20.100000000000001" customHeight="1">
      <c r="A166" s="33">
        <f ca="1">COUNTIF(J$3:OFFSET(J166,-1,0),"Subtotal:")+1</f>
        <v>11</v>
      </c>
      <c r="B166" s="23" t="str">
        <f ca="1">IF(OFFSET(B166,1,0)&lt;&gt;"",OFFSET(B166,1,0),"")</f>
        <v/>
      </c>
      <c r="C166" s="42"/>
      <c r="D166" s="64" t="s">
        <v>97</v>
      </c>
      <c r="E166" s="60" t="str">
        <f>LEFT(F166,3)</f>
        <v>#10</v>
      </c>
      <c r="F166" s="59" t="s">
        <v>254</v>
      </c>
      <c r="G166" s="64" t="s">
        <v>274</v>
      </c>
      <c r="H166" s="64"/>
      <c r="I166" s="24">
        <f>IF(J166&lt;&gt;"",J166 - ('Shipping Program'!$D$9 + 'Shipping Program'!$F$9 + 'Shipping Program'!$H$9), "")</f>
        <v>46528</v>
      </c>
      <c r="J166" s="43">
        <v>46575</v>
      </c>
      <c r="K166" s="44" t="str">
        <f>IF(SUM(M166:N166)=0,"",SUM(M166:N166))</f>
        <v/>
      </c>
      <c r="L166" s="44"/>
      <c r="M166" s="44"/>
      <c r="N166" s="54"/>
      <c r="O166" s="25">
        <f>VLOOKUP(I166,'Shipping Program'!$A$32:$B$78,2)-1</f>
        <v>11</v>
      </c>
      <c r="P166" s="44">
        <f>O166</f>
        <v>11</v>
      </c>
      <c r="Q166" s="24">
        <f>R166-7</f>
        <v>46510</v>
      </c>
      <c r="R166" s="24">
        <f>IFERROR(_xlfn.XLOOKUP(P166,'Shipping Program'!$B$32:$B$78,'Shipping Program'!$A$32:$A$78),IFERROR(INDEX(_V7Batches!$B:$B,MATCH(P166&amp;"",_V7Batches!$A:$A,0)),""))</f>
        <v>46517</v>
      </c>
      <c r="S166" s="24">
        <f>IFERROR(_xlfn.XLOOKUP(P166,'Shipping Program'!$B$32:$B$78,'Shipping Program'!$E$32:$E$78),IFERROR(INDEX(_V7Batches!$D:$D,MATCH(P166&amp;"",_V7Batches!$A:$A,0)),""))</f>
        <v>46547</v>
      </c>
      <c r="T166" s="24">
        <f>S166+'Shipping Program'!$H$9</f>
        <v>46554</v>
      </c>
      <c r="U166" s="25">
        <f>IFERROR(IF(J166*T166&lt;&gt;0,J166-T166,""),"")</f>
        <v>21</v>
      </c>
      <c r="V166" s="25" t="str">
        <f>IF(U166&lt;&gt;"",IF(U166&gt;28,"Too early",IF(U166&lt;14,"Too late","")),"")</f>
        <v/>
      </c>
      <c r="W166" s="35"/>
      <c r="X166" s="26">
        <f ca="1">IF(OFFSET(X166,1,0)="",R166,OFFSET(X166,1,0))</f>
        <v>46517</v>
      </c>
      <c r="Y166" s="26">
        <f ca="1">IF(OFFSET(Y166,1,0)="",X166+'Shipping Program'!$F$9,OFFSET(Y166,1,0))</f>
        <v>46547</v>
      </c>
      <c r="Z166" s="26">
        <f ca="1">IF(OFFSET(Z166,1,0)="",Y166+'Shipping Program'!$H$9,OFFSET(Z166,1,0))</f>
        <v>46554</v>
      </c>
      <c r="AA166" s="27">
        <f ca="1">IFERROR(IF(J166*Z166&lt;&gt;0,J166-Z166,""),"")</f>
        <v>21</v>
      </c>
      <c r="AB166" s="27" t="str">
        <f ca="1">IF(AA166&lt;&gt;"",IF(AA166&gt;28,"Too early",IF(AA166&lt;14,"Too late","")),"")</f>
        <v/>
      </c>
      <c r="AC166" s="46"/>
      <c r="AE166" s="80" t="s">
        <v>43</v>
      </c>
      <c r="AF166" s="80" t="s">
        <v>41</v>
      </c>
      <c r="AG166" s="80" t="s">
        <v>42</v>
      </c>
      <c r="AH166" s="80" t="str">
        <f>IF(AI166="","",AI166*AJ166*AK166/1000/1000/1000)</f>
        <v/>
      </c>
      <c r="AI166" s="80"/>
      <c r="AJ166" s="80"/>
      <c r="AK166" s="80"/>
    </row>
    <row r="167" spans="1:37" ht="20.100000000000001" customHeight="1">
      <c r="A167" s="33">
        <f ca="1">COUNTIF(J$3:OFFSET(J167,-1,0),"Subtotal:")+1</f>
        <v>11</v>
      </c>
      <c r="B167" s="23" t="str">
        <f ca="1">IF(OFFSET(B167,1,0)&lt;&gt;"",OFFSET(B167,1,0),"")</f>
        <v/>
      </c>
      <c r="C167" s="42"/>
      <c r="D167" s="64" t="s">
        <v>97</v>
      </c>
      <c r="E167" s="60" t="str">
        <f>LEFT(F167,3)</f>
        <v>#10</v>
      </c>
      <c r="F167" s="59" t="s">
        <v>253</v>
      </c>
      <c r="G167" s="64" t="s">
        <v>292</v>
      </c>
      <c r="H167" s="64"/>
      <c r="I167" s="24">
        <f>IF(J167&lt;&gt;"",J167 - ('Shipping Program'!$D$9 + 'Shipping Program'!$F$9 + 'Shipping Program'!$H$9), "")</f>
        <v>46526</v>
      </c>
      <c r="J167" s="43">
        <v>46573</v>
      </c>
      <c r="K167" s="44" t="str">
        <f>IF(SUM(M167:N167)=0,"",SUM(M167:N167))</f>
        <v/>
      </c>
      <c r="L167" s="44"/>
      <c r="M167" s="44"/>
      <c r="N167" s="54"/>
      <c r="O167" s="25">
        <f>VLOOKUP(I167,'Shipping Program'!$A$32:$B$78,2)-1</f>
        <v>11</v>
      </c>
      <c r="P167" s="44">
        <f>O167</f>
        <v>11</v>
      </c>
      <c r="Q167" s="24">
        <f>R167-7</f>
        <v>46510</v>
      </c>
      <c r="R167" s="24">
        <f>IFERROR(_xlfn.XLOOKUP(P167,'Shipping Program'!$B$32:$B$78,'Shipping Program'!$A$32:$A$78),IFERROR(INDEX(_V7Batches!$B:$B,MATCH(P167&amp;"",_V7Batches!$A:$A,0)),""))</f>
        <v>46517</v>
      </c>
      <c r="S167" s="24">
        <f>IFERROR(_xlfn.XLOOKUP(P167,'Shipping Program'!$B$32:$B$78,'Shipping Program'!$E$32:$E$78),IFERROR(INDEX(_V7Batches!$D:$D,MATCH(P167&amp;"",_V7Batches!$A:$A,0)),""))</f>
        <v>46547</v>
      </c>
      <c r="T167" s="24">
        <f>S167+'Shipping Program'!$H$9</f>
        <v>46554</v>
      </c>
      <c r="U167" s="25">
        <f>IFERROR(IF(J167*T167&lt;&gt;0,J167-T167,""),"")</f>
        <v>19</v>
      </c>
      <c r="V167" s="25" t="str">
        <f>IF(U167&lt;&gt;"",IF(U167&gt;28,"Too early",IF(U167&lt;14,"Too late","")),"")</f>
        <v/>
      </c>
      <c r="W167" s="35"/>
      <c r="X167" s="26">
        <f ca="1">IF(OFFSET(X167,1,0)="",R167,OFFSET(X167,1,0))</f>
        <v>46517</v>
      </c>
      <c r="Y167" s="26">
        <f ca="1">IF(OFFSET(Y167,1,0)="",X167+'Shipping Program'!$F$9,OFFSET(Y167,1,0))</f>
        <v>46547</v>
      </c>
      <c r="Z167" s="26">
        <f ca="1">IF(OFFSET(Z167,1,0)="",Y167+'Shipping Program'!$H$9,OFFSET(Z167,1,0))</f>
        <v>46554</v>
      </c>
      <c r="AA167" s="27">
        <f ca="1">IFERROR(IF(J167*Z167&lt;&gt;0,J167-Z167,""),"")</f>
        <v>19</v>
      </c>
      <c r="AB167" s="27" t="str">
        <f ca="1">IF(AA167&lt;&gt;"",IF(AA167&gt;28,"Too early",IF(AA167&lt;14,"Too late","")),"")</f>
        <v/>
      </c>
      <c r="AC167" s="46"/>
      <c r="AE167" s="80" t="s">
        <v>43</v>
      </c>
      <c r="AF167" s="80" t="s">
        <v>41</v>
      </c>
      <c r="AG167" s="80" t="s">
        <v>42</v>
      </c>
      <c r="AH167" s="80" t="str">
        <f>IF(AI167="","",AI167*AJ167*AK167/1000/1000/1000)</f>
        <v/>
      </c>
      <c r="AI167" s="80"/>
      <c r="AJ167" s="80"/>
      <c r="AK167" s="80"/>
    </row>
    <row r="168" spans="1:37" ht="20.100000000000001" customHeight="1">
      <c r="A168" s="33">
        <f ca="1">COUNTIF(J$3:OFFSET(J168,-1,0),"Subtotal:")+1</f>
        <v>11</v>
      </c>
      <c r="B168" s="23" t="str">
        <f ca="1">IF(OFFSET(B168,1,0)&lt;&gt;"",OFFSET(B168,1,0),"")</f>
        <v/>
      </c>
      <c r="C168" s="42"/>
      <c r="D168" s="59" t="s">
        <v>106</v>
      </c>
      <c r="E168" s="60" t="str">
        <f>LEFT(F168,3)</f>
        <v>#20</v>
      </c>
      <c r="F168" s="59" t="s">
        <v>308</v>
      </c>
      <c r="G168" s="59" t="s">
        <v>320</v>
      </c>
      <c r="H168" s="60"/>
      <c r="I168" s="24">
        <f>IF(J168&lt;&gt;"",J168 - ('Shipping Program'!$D$9 + 'Shipping Program'!$F$9 + 'Shipping Program'!$H$9), "")</f>
        <v>46528</v>
      </c>
      <c r="J168" s="43">
        <v>46575</v>
      </c>
      <c r="K168" s="44" t="str">
        <f>IF(SUM(M168:N168)=0,"",SUM(M168:N168))</f>
        <v/>
      </c>
      <c r="L168" s="44"/>
      <c r="M168" s="44"/>
      <c r="N168" s="54"/>
      <c r="O168" s="25">
        <f>VLOOKUP(I168,'Shipping Program'!$A$32:$B$78,2)-1</f>
        <v>11</v>
      </c>
      <c r="P168" s="44">
        <f>O168</f>
        <v>11</v>
      </c>
      <c r="Q168" s="24">
        <f>R168-7</f>
        <v>46510</v>
      </c>
      <c r="R168" s="24">
        <f>IFERROR(_xlfn.XLOOKUP(P168,'Shipping Program'!$B$32:$B$78,'Shipping Program'!$A$32:$A$78),IFERROR(INDEX(_V7Batches!$B:$B,MATCH(P168&amp;"",_V7Batches!$A:$A,0)),""))</f>
        <v>46517</v>
      </c>
      <c r="S168" s="24">
        <f>IFERROR(_xlfn.XLOOKUP(P168,'Shipping Program'!$B$32:$B$78,'Shipping Program'!$E$32:$E$78),IFERROR(INDEX(_V7Batches!$D:$D,MATCH(P168&amp;"",_V7Batches!$A:$A,0)),""))</f>
        <v>46547</v>
      </c>
      <c r="T168" s="24">
        <f>S168+'Shipping Program'!$H$9</f>
        <v>46554</v>
      </c>
      <c r="U168" s="25">
        <f>IFERROR(IF(J168*T168&lt;&gt;0,J168-T168,""),"")</f>
        <v>21</v>
      </c>
      <c r="V168" s="25" t="str">
        <f>IF(U168&lt;&gt;"",IF(U168&gt;28,"Too early",IF(U168&lt;14,"Too late","")),"")</f>
        <v/>
      </c>
      <c r="W168" s="35"/>
      <c r="X168" s="26">
        <f ca="1">IF(OFFSET(X168,1,0)="",R168,OFFSET(X168,1,0))</f>
        <v>46517</v>
      </c>
      <c r="Y168" s="26">
        <f ca="1">IF(OFFSET(Y168,1,0)="",X168+'Shipping Program'!$F$9,OFFSET(Y168,1,0))</f>
        <v>46547</v>
      </c>
      <c r="Z168" s="26">
        <f ca="1">IF(OFFSET(Z168,1,0)="",Y168+'Shipping Program'!$H$9,OFFSET(Z168,1,0))</f>
        <v>46554</v>
      </c>
      <c r="AA168" s="27">
        <f ca="1">IFERROR(IF(J168*Z168&lt;&gt;0,J168-Z168,""),"")</f>
        <v>21</v>
      </c>
      <c r="AB168" s="27" t="str">
        <f ca="1">IF(AA168&lt;&gt;"",IF(AA168&gt;28,"Too early",IF(AA168&lt;14,"Too late","")),"")</f>
        <v/>
      </c>
      <c r="AC168" s="46"/>
      <c r="AE168" s="80" t="s">
        <v>43</v>
      </c>
      <c r="AF168" s="80" t="s">
        <v>46</v>
      </c>
      <c r="AG168" s="80" t="s">
        <v>42</v>
      </c>
      <c r="AH168" s="80" t="str">
        <f>IF(AI168="","",AI168*AJ168*AK168/1000/1000/1000)</f>
        <v/>
      </c>
      <c r="AI168" s="80"/>
      <c r="AJ168" s="80"/>
      <c r="AK168" s="80"/>
    </row>
    <row r="169" spans="1:37" ht="20.100000000000001" customHeight="1">
      <c r="A169" s="33">
        <f ca="1">COUNTIF(J$3:OFFSET(J169,-1,0),"Subtotal:")+1</f>
        <v>11</v>
      </c>
      <c r="B169" s="23" t="str">
        <f ca="1">IF(OFFSET(B169,1,0)&lt;&gt;"",OFFSET(B169,1,0),"")</f>
        <v/>
      </c>
      <c r="C169" s="42"/>
      <c r="D169" s="59" t="s">
        <v>106</v>
      </c>
      <c r="E169" s="60" t="str">
        <f>LEFT(F169,3)</f>
        <v>#20</v>
      </c>
      <c r="F169" s="59" t="s">
        <v>313</v>
      </c>
      <c r="G169" s="59" t="s">
        <v>320</v>
      </c>
      <c r="H169" s="60"/>
      <c r="I169" s="24">
        <f>IF(J169&lt;&gt;"",J169 - ('Shipping Program'!$D$9 + 'Shipping Program'!$F$9 + 'Shipping Program'!$H$9), "")</f>
        <v>46527</v>
      </c>
      <c r="J169" s="43">
        <v>46574</v>
      </c>
      <c r="K169" s="44" t="str">
        <f>IF(SUM(M169:N169)=0,"",SUM(M169:N169))</f>
        <v/>
      </c>
      <c r="L169" s="44"/>
      <c r="M169" s="44"/>
      <c r="N169" s="54"/>
      <c r="O169" s="25">
        <f>VLOOKUP(I169,'Shipping Program'!$A$32:$B$78,2)-1</f>
        <v>11</v>
      </c>
      <c r="P169" s="44">
        <f>O169</f>
        <v>11</v>
      </c>
      <c r="Q169" s="24">
        <f>R169-7</f>
        <v>46510</v>
      </c>
      <c r="R169" s="24">
        <f>IFERROR(_xlfn.XLOOKUP(P169,'Shipping Program'!$B$32:$B$78,'Shipping Program'!$A$32:$A$78),IFERROR(INDEX(_V7Batches!$B:$B,MATCH(P169&amp;"",_V7Batches!$A:$A,0)),""))</f>
        <v>46517</v>
      </c>
      <c r="S169" s="24">
        <f>IFERROR(_xlfn.XLOOKUP(P169,'Shipping Program'!$B$32:$B$78,'Shipping Program'!$E$32:$E$78),IFERROR(INDEX(_V7Batches!$D:$D,MATCH(P169&amp;"",_V7Batches!$A:$A,0)),""))</f>
        <v>46547</v>
      </c>
      <c r="T169" s="24">
        <f>S169+'Shipping Program'!$H$9</f>
        <v>46554</v>
      </c>
      <c r="U169" s="25">
        <f>IFERROR(IF(J169*T169&lt;&gt;0,J169-T169,""),"")</f>
        <v>20</v>
      </c>
      <c r="V169" s="25" t="str">
        <f>IF(U169&lt;&gt;"",IF(U169&gt;28,"Too early",IF(U169&lt;14,"Too late","")),"")</f>
        <v/>
      </c>
      <c r="W169" s="35"/>
      <c r="X169" s="26">
        <f ca="1">IF(OFFSET(X169,1,0)="",R169,OFFSET(X169,1,0))</f>
        <v>46517</v>
      </c>
      <c r="Y169" s="26">
        <f ca="1">IF(OFFSET(Y169,1,0)="",X169+'Shipping Program'!$F$9,OFFSET(Y169,1,0))</f>
        <v>46547</v>
      </c>
      <c r="Z169" s="26">
        <f ca="1">IF(OFFSET(Z169,1,0)="",Y169+'Shipping Program'!$H$9,OFFSET(Z169,1,0))</f>
        <v>46554</v>
      </c>
      <c r="AA169" s="27">
        <f ca="1">IFERROR(IF(J169*Z169&lt;&gt;0,J169-Z169,""),"")</f>
        <v>20</v>
      </c>
      <c r="AB169" s="27" t="str">
        <f ca="1">IF(AA169&lt;&gt;"",IF(AA169&gt;28,"Too early",IF(AA169&lt;14,"Too late","")),"")</f>
        <v/>
      </c>
      <c r="AC169" s="46"/>
      <c r="AE169" s="80" t="s">
        <v>43</v>
      </c>
      <c r="AF169" s="80" t="s">
        <v>41</v>
      </c>
      <c r="AG169" s="80" t="s">
        <v>42</v>
      </c>
      <c r="AH169" s="80" t="str">
        <f>IF(AI169="","",AI169*AJ169*AK169/1000/1000/1000)</f>
        <v/>
      </c>
      <c r="AI169" s="80"/>
      <c r="AJ169" s="80"/>
      <c r="AK169" s="80"/>
    </row>
    <row r="170" spans="1:37" ht="20.100000000000001" customHeight="1">
      <c r="A170" s="33">
        <f ca="1">COUNTIF(J$3:OFFSET(J170,-1,0),"Subtotal:")+1</f>
        <v>11</v>
      </c>
      <c r="B170" s="23" t="str">
        <f ca="1">IF(OFFSET(B170,1,0)&lt;&gt;"",OFFSET(B170,1,0),"")</f>
        <v/>
      </c>
      <c r="C170" s="42"/>
      <c r="D170" s="59" t="s">
        <v>106</v>
      </c>
      <c r="E170" s="60" t="str">
        <f>LEFT(F170,3)</f>
        <v>#20</v>
      </c>
      <c r="F170" s="59" t="s">
        <v>316</v>
      </c>
      <c r="G170" s="59" t="s">
        <v>320</v>
      </c>
      <c r="H170" s="60"/>
      <c r="I170" s="24">
        <f>IF(J170&lt;&gt;"",J170 - ('Shipping Program'!$D$9 + 'Shipping Program'!$F$9 + 'Shipping Program'!$H$9), "")</f>
        <v>46526</v>
      </c>
      <c r="J170" s="43">
        <v>46573</v>
      </c>
      <c r="K170" s="44" t="str">
        <f>IF(SUM(M170:N170)=0,"",SUM(M170:N170))</f>
        <v/>
      </c>
      <c r="L170" s="44"/>
      <c r="M170" s="44"/>
      <c r="N170" s="54"/>
      <c r="O170" s="25">
        <f>VLOOKUP(I170,'Shipping Program'!$A$32:$B$78,2)-1</f>
        <v>11</v>
      </c>
      <c r="P170" s="44">
        <f>O170</f>
        <v>11</v>
      </c>
      <c r="Q170" s="24">
        <f>R170-7</f>
        <v>46510</v>
      </c>
      <c r="R170" s="24">
        <f>IFERROR(_xlfn.XLOOKUP(P170,'Shipping Program'!$B$32:$B$78,'Shipping Program'!$A$32:$A$78),IFERROR(INDEX(_V7Batches!$B:$B,MATCH(P170&amp;"",_V7Batches!$A:$A,0)),""))</f>
        <v>46517</v>
      </c>
      <c r="S170" s="24">
        <f>IFERROR(_xlfn.XLOOKUP(P170,'Shipping Program'!$B$32:$B$78,'Shipping Program'!$E$32:$E$78),IFERROR(INDEX(_V7Batches!$D:$D,MATCH(P170&amp;"",_V7Batches!$A:$A,0)),""))</f>
        <v>46547</v>
      </c>
      <c r="T170" s="24">
        <f>S170+'Shipping Program'!$H$9</f>
        <v>46554</v>
      </c>
      <c r="U170" s="25">
        <f>IFERROR(IF(J170*T170&lt;&gt;0,J170-T170,""),"")</f>
        <v>19</v>
      </c>
      <c r="V170" s="25" t="str">
        <f>IF(U170&lt;&gt;"",IF(U170&gt;28,"Too early",IF(U170&lt;14,"Too late","")),"")</f>
        <v/>
      </c>
      <c r="W170" s="35"/>
      <c r="X170" s="26">
        <f ca="1">IF(OFFSET(X170,1,0)="",R170,OFFSET(X170,1,0))</f>
        <v>46517</v>
      </c>
      <c r="Y170" s="26">
        <f ca="1">IF(OFFSET(Y170,1,0)="",X170+'Shipping Program'!$F$9,OFFSET(Y170,1,0))</f>
        <v>46547</v>
      </c>
      <c r="Z170" s="26">
        <f ca="1">IF(OFFSET(Z170,1,0)="",Y170+'Shipping Program'!$H$9,OFFSET(Z170,1,0))</f>
        <v>46554</v>
      </c>
      <c r="AA170" s="27">
        <f ca="1">IFERROR(IF(J170*Z170&lt;&gt;0,J170-Z170,""),"")</f>
        <v>19</v>
      </c>
      <c r="AB170" s="27" t="str">
        <f ca="1">IF(AA170&lt;&gt;"",IF(AA170&gt;28,"Too early",IF(AA170&lt;14,"Too late","")),"")</f>
        <v/>
      </c>
      <c r="AC170" s="46"/>
      <c r="AE170" s="80" t="s">
        <v>43</v>
      </c>
      <c r="AF170" s="80" t="s">
        <v>46</v>
      </c>
      <c r="AG170" s="80" t="s">
        <v>42</v>
      </c>
      <c r="AH170" s="80" t="str">
        <f>IF(AI170="","",AI170*AJ170*AK170/1000/1000/1000)</f>
        <v/>
      </c>
      <c r="AI170" s="80"/>
      <c r="AJ170" s="80"/>
      <c r="AK170" s="80"/>
    </row>
    <row r="171" spans="1:37" ht="20.100000000000001" customHeight="1">
      <c r="A171" s="34">
        <f ca="1">COUNTIF(J$3:OFFSET(J171,-1,0),"Subtotal:")+1</f>
        <v>11</v>
      </c>
      <c r="B171" s="47"/>
      <c r="C171" s="48"/>
      <c r="D171" s="73"/>
      <c r="E171" s="49"/>
      <c r="F171" s="74"/>
      <c r="G171" s="74"/>
      <c r="H171" s="49"/>
      <c r="I171" s="49"/>
      <c r="J171" s="49" t="s">
        <v>6424</v>
      </c>
      <c r="K171" s="28">
        <f ca="1">SUMIF(A$3:OFFSET(A171,-1,0),A171,K$3:OFFSET(K171,-1,0))</f>
        <v>0</v>
      </c>
      <c r="L171" s="28">
        <f ca="1">SUMIF(A$3:OFFSET(A171,-1,0),A171,L$3:OFFSET(L171,-1,0))</f>
        <v>0</v>
      </c>
      <c r="M171" s="28"/>
      <c r="N171" s="55"/>
      <c r="O171" s="49"/>
      <c r="P171" s="49"/>
      <c r="Q171" s="29">
        <f ca="1">R171-7</f>
        <v>46510</v>
      </c>
      <c r="R171" s="29">
        <f ca="1">IF(J171="Subtotal:",OFFSET(R171,-1,0),"")</f>
        <v>46517</v>
      </c>
      <c r="S171" s="29">
        <f ca="1">IF(J171="Subtotal:",OFFSET(S171,-1,0),"")</f>
        <v>46547</v>
      </c>
      <c r="T171" s="29">
        <f ca="1">IF(J171="Subtotal:",OFFSET(T171,-1,0),"")</f>
        <v>46554</v>
      </c>
      <c r="U171" s="30" t="str">
        <f ca="1">IFERROR(IF(J171*T171&lt;&gt;0,J171-T171,""),"")</f>
        <v/>
      </c>
      <c r="V171" s="31" t="str">
        <f ca="1">IF(U171&lt;&gt;"",IF(U171&gt;28,"Too early",IF(U171&lt;14,"Too late","")),"")</f>
        <v/>
      </c>
      <c r="W171" s="28">
        <f ca="1">(SUMIFS($K:$K,$J:$J,"&lt;&gt;Subtotal:",$J:$J,"&gt;"&amp;S171,$S:$S,"&lt;="&amp;S171))*24*1.3+(SUMIFS($L:$L,$J:$J,"&lt;&gt;Subtotal:",$J:$J,"&gt;"&amp;S171,$S:$S,"&lt;="&amp;S171))/3*1.3</f>
        <v>0</v>
      </c>
      <c r="X171" s="50"/>
      <c r="Y171" s="50"/>
      <c r="Z171" s="50"/>
      <c r="AA171" s="30" t="str">
        <f>IFERROR(IF(J171*Z171&lt;&gt;0,J171-Z171,""),"")</f>
        <v/>
      </c>
      <c r="AB171" s="31" t="str">
        <f>IF(AA171&lt;&gt;"",IF(AA171&gt;28,"Too early",IF(AA171&lt;14,"Too late","")),"")</f>
        <v/>
      </c>
      <c r="AC171" s="32">
        <f>(SUMIFS($K:$K,$J:$J,"&lt;&gt;Subtotal:",$J:$J,"&gt;"&amp;Y171,$Y:$Y,"&lt;="&amp;Y171))*24*1.3+(SUMIFS($L:$L,$J:$J,"&lt;&gt;Subtotal:",$J:$J,"&gt;"&amp;Y171,$Y:$Y,"&lt;="&amp;Y171))/3*1.3</f>
        <v>0</v>
      </c>
      <c r="AD171" s="58"/>
      <c r="AE171" s="78"/>
      <c r="AF171" s="78"/>
      <c r="AG171" s="78"/>
      <c r="AH171" s="78"/>
      <c r="AI171" s="78"/>
      <c r="AJ171" s="78"/>
      <c r="AK171" s="78"/>
    </row>
    <row r="172" spans="1:37" ht="20.100000000000001" customHeight="1">
      <c r="A172" s="33">
        <f ca="1">COUNTIF(J$3:OFFSET(J172,-1,0),"Subtotal:")+1</f>
        <v>12</v>
      </c>
      <c r="B172" s="23" t="str">
        <f ca="1">IF(OFFSET(B172,1,0)&lt;&gt;"",OFFSET(B172,1,0),"")</f>
        <v/>
      </c>
      <c r="C172" s="42"/>
      <c r="D172" s="59" t="s">
        <v>59</v>
      </c>
      <c r="E172" s="60" t="str">
        <f>LEFT(F172,3)</f>
        <v>#02</v>
      </c>
      <c r="F172" s="59" t="s">
        <v>178</v>
      </c>
      <c r="G172" s="59" t="s">
        <v>205</v>
      </c>
      <c r="H172" s="60" t="s">
        <v>60</v>
      </c>
      <c r="I172" s="24">
        <f>IF(J172&lt;&gt;"",J172 - ('Shipping Program'!$D$9 + 'Shipping Program'!$F$9 + 'Shipping Program'!$H$9), "")</f>
        <v>46533</v>
      </c>
      <c r="J172" s="43">
        <v>46580</v>
      </c>
      <c r="K172" s="44" t="str">
        <f>IF(SUM(M172:N172)=0,"",SUM(M172:N172))</f>
        <v/>
      </c>
      <c r="L172" s="44"/>
      <c r="M172" s="44"/>
      <c r="N172" s="54"/>
      <c r="O172" s="25">
        <f>VLOOKUP(I172,'Shipping Program'!$A$32:$B$78,2)-1</f>
        <v>12</v>
      </c>
      <c r="P172" s="44">
        <f>O172</f>
        <v>12</v>
      </c>
      <c r="Q172" s="24">
        <f>R172-7</f>
        <v>46517</v>
      </c>
      <c r="R172" s="24">
        <f>IFERROR(_xlfn.XLOOKUP(P172,'Shipping Program'!$B$32:$B$78,'Shipping Program'!$A$32:$A$78),IFERROR(INDEX(_V7Batches!$B:$B,MATCH(P172&amp;"",_V7Batches!$A:$A,0)),""))</f>
        <v>46524</v>
      </c>
      <c r="S172" s="24">
        <f>IFERROR(_xlfn.XLOOKUP(P172,'Shipping Program'!$B$32:$B$78,'Shipping Program'!$E$32:$E$78),IFERROR(INDEX(_V7Batches!$D:$D,MATCH(P172&amp;"",_V7Batches!$A:$A,0)),""))</f>
        <v>46554</v>
      </c>
      <c r="T172" s="24">
        <f>S172+'Shipping Program'!$H$9</f>
        <v>46561</v>
      </c>
      <c r="U172" s="25">
        <f>IFERROR(IF(J172*T172&lt;&gt;0,J172-T172,""),"")</f>
        <v>19</v>
      </c>
      <c r="V172" s="25" t="str">
        <f>IF(U172&lt;&gt;"",IF(U172&gt;28,"Too early",IF(U172&lt;14,"Too late","")),"")</f>
        <v/>
      </c>
      <c r="W172" s="35"/>
      <c r="X172" s="26">
        <f ca="1">IF(OFFSET(X172,1,0)="",R172,OFFSET(X172,1,0))</f>
        <v>46524</v>
      </c>
      <c r="Y172" s="26">
        <f ca="1">IF(OFFSET(Y172,1,0)="",X172+'Shipping Program'!$F$9,OFFSET(Y172,1,0))</f>
        <v>46554</v>
      </c>
      <c r="Z172" s="26">
        <f ca="1">IF(OFFSET(Z172,1,0)="",Y172+'Shipping Program'!$H$9,OFFSET(Z172,1,0))</f>
        <v>46561</v>
      </c>
      <c r="AA172" s="27">
        <f ca="1">IFERROR(IF(J172*Z172&lt;&gt;0,J172-Z172,""),"")</f>
        <v>19</v>
      </c>
      <c r="AB172" s="27" t="str">
        <f ca="1">IF(AA172&lt;&gt;"",IF(AA172&gt;28,"Too early",IF(AA172&lt;14,"Too late","")),"")</f>
        <v/>
      </c>
      <c r="AC172" s="46"/>
      <c r="AE172" s="80" t="s">
        <v>43</v>
      </c>
      <c r="AF172" s="80" t="s">
        <v>41</v>
      </c>
      <c r="AG172" s="80" t="s">
        <v>42</v>
      </c>
      <c r="AH172" s="80" t="str">
        <f>IF(AI172="","",AI172*AJ172*AK172/1000/1000/1000)</f>
        <v/>
      </c>
      <c r="AI172" s="80"/>
      <c r="AJ172" s="80"/>
      <c r="AK172" s="80"/>
    </row>
    <row r="173" spans="1:37" ht="20.100000000000001" customHeight="1">
      <c r="A173" s="33">
        <f ca="1">COUNTIF(J$3:OFFSET(J173,-1,0),"Subtotal:")+1</f>
        <v>12</v>
      </c>
      <c r="B173" s="23" t="str">
        <f ca="1">IF(OFFSET(B173,1,0)&lt;&gt;"",OFFSET(B173,1,0),"")</f>
        <v/>
      </c>
      <c r="C173" s="42"/>
      <c r="D173" s="64" t="s">
        <v>97</v>
      </c>
      <c r="E173" s="60" t="str">
        <f>LEFT(F173,3)</f>
        <v>#10</v>
      </c>
      <c r="F173" s="59" t="s">
        <v>253</v>
      </c>
      <c r="G173" s="64" t="s">
        <v>294</v>
      </c>
      <c r="H173" s="64"/>
      <c r="I173" s="24">
        <f>IF(J173&lt;&gt;"",J173 - ('Shipping Program'!$D$9 + 'Shipping Program'!$F$9 + 'Shipping Program'!$H$9), "")</f>
        <v>46533</v>
      </c>
      <c r="J173" s="43">
        <v>46580</v>
      </c>
      <c r="K173" s="44" t="str">
        <f>IF(SUM(M173:N173)=0,"",SUM(M173:N173))</f>
        <v/>
      </c>
      <c r="L173" s="44"/>
      <c r="M173" s="44"/>
      <c r="N173" s="54"/>
      <c r="O173" s="25">
        <f>VLOOKUP(I173,'Shipping Program'!$A$32:$B$78,2)-1</f>
        <v>12</v>
      </c>
      <c r="P173" s="44">
        <f>O173</f>
        <v>12</v>
      </c>
      <c r="Q173" s="24">
        <f>R173-7</f>
        <v>46517</v>
      </c>
      <c r="R173" s="24">
        <f>IFERROR(_xlfn.XLOOKUP(P173,'Shipping Program'!$B$32:$B$78,'Shipping Program'!$A$32:$A$78),IFERROR(INDEX(_V7Batches!$B:$B,MATCH(P173&amp;"",_V7Batches!$A:$A,0)),""))</f>
        <v>46524</v>
      </c>
      <c r="S173" s="24">
        <f>IFERROR(_xlfn.XLOOKUP(P173,'Shipping Program'!$B$32:$B$78,'Shipping Program'!$E$32:$E$78),IFERROR(INDEX(_V7Batches!$D:$D,MATCH(P173&amp;"",_V7Batches!$A:$A,0)),""))</f>
        <v>46554</v>
      </c>
      <c r="T173" s="24">
        <f>S173+'Shipping Program'!$H$9</f>
        <v>46561</v>
      </c>
      <c r="U173" s="25">
        <f>IFERROR(IF(J173*T173&lt;&gt;0,J173-T173,""),"")</f>
        <v>19</v>
      </c>
      <c r="V173" s="25" t="str">
        <f>IF(U173&lt;&gt;"",IF(U173&gt;28,"Too early",IF(U173&lt;14,"Too late","")),"")</f>
        <v/>
      </c>
      <c r="W173" s="35"/>
      <c r="X173" s="26">
        <f ca="1">IF(OFFSET(X173,1,0)="",R173,OFFSET(X173,1,0))</f>
        <v>46524</v>
      </c>
      <c r="Y173" s="26">
        <f ca="1">IF(OFFSET(Y173,1,0)="",X173+'Shipping Program'!$F$9,OFFSET(Y173,1,0))</f>
        <v>46554</v>
      </c>
      <c r="Z173" s="26">
        <f ca="1">IF(OFFSET(Z173,1,0)="",Y173+'Shipping Program'!$H$9,OFFSET(Z173,1,0))</f>
        <v>46561</v>
      </c>
      <c r="AA173" s="27">
        <f ca="1">IFERROR(IF(J173*Z173&lt;&gt;0,J173-Z173,""),"")</f>
        <v>19</v>
      </c>
      <c r="AB173" s="27" t="str">
        <f ca="1">IF(AA173&lt;&gt;"",IF(AA173&gt;28,"Too early",IF(AA173&lt;14,"Too late","")),"")</f>
        <v/>
      </c>
      <c r="AC173" s="46"/>
      <c r="AE173" s="80" t="s">
        <v>43</v>
      </c>
      <c r="AF173" s="80" t="s">
        <v>41</v>
      </c>
      <c r="AG173" s="80" t="s">
        <v>42</v>
      </c>
      <c r="AH173" s="80" t="str">
        <f>IF(AI173="","",AI173*AJ173*AK173/1000/1000/1000)</f>
        <v/>
      </c>
      <c r="AI173" s="80"/>
      <c r="AJ173" s="80"/>
      <c r="AK173" s="80"/>
    </row>
    <row r="174" spans="1:37" ht="20.100000000000001" customHeight="1">
      <c r="A174" s="33">
        <f ca="1">COUNTIF(J$3:OFFSET(J174,-1,0),"Subtotal:")+1</f>
        <v>12</v>
      </c>
      <c r="B174" s="23" t="str">
        <f ca="1">IF(OFFSET(B174,1,0)&lt;&gt;"",OFFSET(B174,1,0),"")</f>
        <v/>
      </c>
      <c r="C174" s="42"/>
      <c r="D174" s="59" t="s">
        <v>49</v>
      </c>
      <c r="E174" s="60" t="str">
        <f>LEFT(F174,3)</f>
        <v>#01</v>
      </c>
      <c r="F174" s="59" t="s">
        <v>174</v>
      </c>
      <c r="G174" s="59" t="s">
        <v>182</v>
      </c>
      <c r="H174" s="60"/>
      <c r="I174" s="24">
        <f>IF(J174&lt;&gt;"",J174 - ('Shipping Program'!$D$9 + 'Shipping Program'!$F$9 + 'Shipping Program'!$H$9), "")</f>
        <v>46534</v>
      </c>
      <c r="J174" s="43">
        <v>46581</v>
      </c>
      <c r="K174" s="44" t="str">
        <f>IF(SUM(M174:N174)=0,"",SUM(M174:N174))</f>
        <v/>
      </c>
      <c r="L174" s="44"/>
      <c r="M174" s="44"/>
      <c r="N174" s="54"/>
      <c r="O174" s="25">
        <f>VLOOKUP(I174,'Shipping Program'!$A$32:$B$78,2)-1</f>
        <v>12</v>
      </c>
      <c r="P174" s="44">
        <f>O174</f>
        <v>12</v>
      </c>
      <c r="Q174" s="24">
        <f>R174-7</f>
        <v>46517</v>
      </c>
      <c r="R174" s="24">
        <f>IFERROR(_xlfn.XLOOKUP(P174,'Shipping Program'!$B$32:$B$78,'Shipping Program'!$A$32:$A$78),IFERROR(INDEX(_V7Batches!$B:$B,MATCH(P174&amp;"",_V7Batches!$A:$A,0)),""))</f>
        <v>46524</v>
      </c>
      <c r="S174" s="24">
        <f>IFERROR(_xlfn.XLOOKUP(P174,'Shipping Program'!$B$32:$B$78,'Shipping Program'!$E$32:$E$78),IFERROR(INDEX(_V7Batches!$D:$D,MATCH(P174&amp;"",_V7Batches!$A:$A,0)),""))</f>
        <v>46554</v>
      </c>
      <c r="T174" s="24">
        <f>S174+'Shipping Program'!$H$9</f>
        <v>46561</v>
      </c>
      <c r="U174" s="25">
        <f>IFERROR(IF(J174*T174&lt;&gt;0,J174-T174,""),"")</f>
        <v>20</v>
      </c>
      <c r="V174" s="25" t="str">
        <f>IF(U174&lt;&gt;"",IF(U174&gt;28,"Too early",IF(U174&lt;14,"Too late","")),"")</f>
        <v/>
      </c>
      <c r="W174" s="35"/>
      <c r="X174" s="26">
        <f ca="1">IF(OFFSET(X174,1,0)="",R174,OFFSET(X174,1,0))</f>
        <v>46524</v>
      </c>
      <c r="Y174" s="26">
        <f ca="1">IF(OFFSET(Y174,1,0)="",X174+'Shipping Program'!$F$9,OFFSET(Y174,1,0))</f>
        <v>46554</v>
      </c>
      <c r="Z174" s="26">
        <f ca="1">IF(OFFSET(Z174,1,0)="",Y174+'Shipping Program'!$H$9,OFFSET(Z174,1,0))</f>
        <v>46561</v>
      </c>
      <c r="AA174" s="27">
        <f ca="1">IFERROR(IF(J174*Z174&lt;&gt;0,J174-Z174,""),"")</f>
        <v>20</v>
      </c>
      <c r="AB174" s="27" t="str">
        <f ca="1">IF(AA174&lt;&gt;"",IF(AA174&gt;28,"Too early",IF(AA174&lt;14,"Too late","")),"")</f>
        <v/>
      </c>
      <c r="AC174" s="46"/>
      <c r="AE174" s="80" t="s">
        <v>43</v>
      </c>
      <c r="AF174" s="80" t="s">
        <v>46</v>
      </c>
      <c r="AG174" s="80" t="s">
        <v>42</v>
      </c>
      <c r="AH174" s="80" t="str">
        <f>IF(AI174="","",AI174*AJ174*AK174/1000/1000/1000)</f>
        <v/>
      </c>
      <c r="AI174" s="80"/>
      <c r="AJ174" s="80"/>
      <c r="AK174" s="80"/>
    </row>
    <row r="175" spans="1:37" ht="20.100000000000001" customHeight="1">
      <c r="A175" s="33">
        <f ca="1">COUNTIF(J$3:OFFSET(J175,-1,0),"Subtotal:")+1</f>
        <v>12</v>
      </c>
      <c r="B175" s="23" t="str">
        <f ca="1">IF(OFFSET(B175,1,0)&lt;&gt;"",OFFSET(B175,1,0),"")</f>
        <v/>
      </c>
      <c r="C175" s="42"/>
      <c r="D175" s="59" t="s">
        <v>72</v>
      </c>
      <c r="E175" s="60" t="str">
        <f>LEFT(F175,3)</f>
        <v>#01</v>
      </c>
      <c r="F175" s="59" t="s">
        <v>175</v>
      </c>
      <c r="G175" s="59" t="s">
        <v>73</v>
      </c>
      <c r="H175" s="60"/>
      <c r="I175" s="24">
        <f>IF(J175&lt;&gt;"",J175 - ('Shipping Program'!$D$9 + 'Shipping Program'!$F$9 + 'Shipping Program'!$H$9), "")</f>
        <v>46533</v>
      </c>
      <c r="J175" s="43">
        <v>46580</v>
      </c>
      <c r="K175" s="44" t="str">
        <f>IF(SUM(M175:N175)=0,"",SUM(M175:N175))</f>
        <v/>
      </c>
      <c r="L175" s="44"/>
      <c r="M175" s="44"/>
      <c r="N175" s="54"/>
      <c r="O175" s="25">
        <f>VLOOKUP(I175,'Shipping Program'!$A$32:$B$78,2)-1</f>
        <v>12</v>
      </c>
      <c r="P175" s="44">
        <f>O175</f>
        <v>12</v>
      </c>
      <c r="Q175" s="24">
        <f>R175-7</f>
        <v>46517</v>
      </c>
      <c r="R175" s="24">
        <f>IFERROR(_xlfn.XLOOKUP(P175,'Shipping Program'!$B$32:$B$78,'Shipping Program'!$A$32:$A$78),IFERROR(INDEX(_V7Batches!$B:$B,MATCH(P175&amp;"",_V7Batches!$A:$A,0)),""))</f>
        <v>46524</v>
      </c>
      <c r="S175" s="24">
        <f>IFERROR(_xlfn.XLOOKUP(P175,'Shipping Program'!$B$32:$B$78,'Shipping Program'!$E$32:$E$78),IFERROR(INDEX(_V7Batches!$D:$D,MATCH(P175&amp;"",_V7Batches!$A:$A,0)),""))</f>
        <v>46554</v>
      </c>
      <c r="T175" s="24">
        <f>S175+'Shipping Program'!$H$9</f>
        <v>46561</v>
      </c>
      <c r="U175" s="25">
        <f>IFERROR(IF(J175*T175&lt;&gt;0,J175-T175,""),"")</f>
        <v>19</v>
      </c>
      <c r="V175" s="25" t="str">
        <f>IF(U175&lt;&gt;"",IF(U175&gt;28,"Too early",IF(U175&lt;14,"Too late","")),"")</f>
        <v/>
      </c>
      <c r="W175" s="35"/>
      <c r="X175" s="26">
        <f ca="1">IF(OFFSET(X175,1,0)="",R175,OFFSET(X175,1,0))</f>
        <v>46524</v>
      </c>
      <c r="Y175" s="26">
        <f ca="1">IF(OFFSET(Y175,1,0)="",X175+'Shipping Program'!$F$9,OFFSET(Y175,1,0))</f>
        <v>46554</v>
      </c>
      <c r="Z175" s="26">
        <f ca="1">IF(OFFSET(Z175,1,0)="",Y175+'Shipping Program'!$H$9,OFFSET(Z175,1,0))</f>
        <v>46561</v>
      </c>
      <c r="AA175" s="27">
        <f ca="1">IFERROR(IF(J175*Z175&lt;&gt;0,J175-Z175,""),"")</f>
        <v>19</v>
      </c>
      <c r="AB175" s="27" t="str">
        <f ca="1">IF(AA175&lt;&gt;"",IF(AA175&gt;28,"Too early",IF(AA175&lt;14,"Too late","")),"")</f>
        <v/>
      </c>
      <c r="AC175" s="46"/>
      <c r="AE175" s="80" t="s">
        <v>43</v>
      </c>
      <c r="AF175" s="80" t="s">
        <v>46</v>
      </c>
      <c r="AG175" s="80" t="s">
        <v>42</v>
      </c>
      <c r="AH175" s="80" t="str">
        <f>IF(AI175="","",AI175*AJ175*AK175/1000/1000/1000)</f>
        <v/>
      </c>
      <c r="AI175" s="80"/>
      <c r="AJ175" s="80"/>
      <c r="AK175" s="80"/>
    </row>
    <row r="176" spans="1:37" ht="20.100000000000001" customHeight="1">
      <c r="A176" s="33">
        <f ca="1">COUNTIF(J$3:OFFSET(J176,-1,0),"Subtotal:")+1</f>
        <v>12</v>
      </c>
      <c r="B176" s="23" t="str">
        <f ca="1">IF(OFFSET(B176,1,0)&lt;&gt;"",OFFSET(B176,1,0),"")</f>
        <v/>
      </c>
      <c r="C176" s="42"/>
      <c r="D176" s="59" t="s">
        <v>78</v>
      </c>
      <c r="E176" s="60" t="str">
        <f>LEFT(F176,3)</f>
        <v>#13</v>
      </c>
      <c r="F176" s="59" t="s">
        <v>236</v>
      </c>
      <c r="G176" s="59" t="s">
        <v>240</v>
      </c>
      <c r="H176" s="60" t="s">
        <v>242</v>
      </c>
      <c r="I176" s="24">
        <f>IF(J176&lt;&gt;"",J176 - ('Shipping Program'!$D$9 + 'Shipping Program'!$F$9 + 'Shipping Program'!$H$9), "")</f>
        <v>46533</v>
      </c>
      <c r="J176" s="43">
        <v>46580</v>
      </c>
      <c r="K176" s="44" t="str">
        <f>IF(SUM(M176:N176)=0,"",SUM(M176:N176))</f>
        <v/>
      </c>
      <c r="L176" s="44"/>
      <c r="M176" s="44"/>
      <c r="N176" s="54"/>
      <c r="O176" s="25">
        <f>VLOOKUP(I176,'Shipping Program'!$A$32:$B$78,2)-1</f>
        <v>12</v>
      </c>
      <c r="P176" s="44">
        <f>O176</f>
        <v>12</v>
      </c>
      <c r="Q176" s="24">
        <f>R176-7</f>
        <v>46517</v>
      </c>
      <c r="R176" s="24">
        <f>IFERROR(_xlfn.XLOOKUP(P176,'Shipping Program'!$B$32:$B$78,'Shipping Program'!$A$32:$A$78),IFERROR(INDEX(_V7Batches!$B:$B,MATCH(P176&amp;"",_V7Batches!$A:$A,0)),""))</f>
        <v>46524</v>
      </c>
      <c r="S176" s="24">
        <f>IFERROR(_xlfn.XLOOKUP(P176,'Shipping Program'!$B$32:$B$78,'Shipping Program'!$E$32:$E$78),IFERROR(INDEX(_V7Batches!$D:$D,MATCH(P176&amp;"",_V7Batches!$A:$A,0)),""))</f>
        <v>46554</v>
      </c>
      <c r="T176" s="24">
        <f>S176+'Shipping Program'!$H$9</f>
        <v>46561</v>
      </c>
      <c r="U176" s="25">
        <f>IFERROR(IF(J176*T176&lt;&gt;0,J176-T176,""),"")</f>
        <v>19</v>
      </c>
      <c r="V176" s="25" t="str">
        <f>IF(U176&lt;&gt;"",IF(U176&gt;28,"Too early",IF(U176&lt;14,"Too late","")),"")</f>
        <v/>
      </c>
      <c r="W176" s="35"/>
      <c r="X176" s="26">
        <f ca="1">IF(OFFSET(X176,1,0)="",R176,OFFSET(X176,1,0))</f>
        <v>46524</v>
      </c>
      <c r="Y176" s="26">
        <f ca="1">IF(OFFSET(Y176,1,0)="",X176+'Shipping Program'!$F$9,OFFSET(Y176,1,0))</f>
        <v>46554</v>
      </c>
      <c r="Z176" s="26">
        <f ca="1">IF(OFFSET(Z176,1,0)="",Y176+'Shipping Program'!$H$9,OFFSET(Z176,1,0))</f>
        <v>46561</v>
      </c>
      <c r="AA176" s="27">
        <f ca="1">IFERROR(IF(J176*Z176&lt;&gt;0,J176-Z176,""),"")</f>
        <v>19</v>
      </c>
      <c r="AB176" s="27" t="str">
        <f ca="1">IF(AA176&lt;&gt;"",IF(AA176&gt;28,"Too early",IF(AA176&lt;14,"Too late","")),"")</f>
        <v/>
      </c>
      <c r="AC176" s="46"/>
      <c r="AE176" s="80" t="s">
        <v>43</v>
      </c>
      <c r="AF176" s="80" t="s">
        <v>46</v>
      </c>
      <c r="AG176" s="80" t="s">
        <v>42</v>
      </c>
      <c r="AH176" s="80" t="str">
        <f>IF(AI176="","",AI176*AJ176*AK176/1000/1000/1000)</f>
        <v/>
      </c>
      <c r="AI176" s="80"/>
      <c r="AJ176" s="80"/>
      <c r="AK176" s="80"/>
    </row>
    <row r="177" spans="1:37" ht="20.100000000000001" customHeight="1">
      <c r="A177" s="33">
        <f ca="1">COUNTIF(J$3:OFFSET(J177,-1,0),"Subtotal:")+1</f>
        <v>12</v>
      </c>
      <c r="B177" s="23" t="str">
        <f ca="1">IF(OFFSET(B177,1,0)&lt;&gt;"",OFFSET(B177,1,0),"")</f>
        <v/>
      </c>
      <c r="C177" s="42"/>
      <c r="D177" s="59" t="s">
        <v>77</v>
      </c>
      <c r="E177" s="60" t="str">
        <f>LEFT(F177,3)</f>
        <v>#11</v>
      </c>
      <c r="F177" s="59" t="s">
        <v>234</v>
      </c>
      <c r="G177" s="59" t="s">
        <v>239</v>
      </c>
      <c r="H177" s="60" t="s">
        <v>1</v>
      </c>
      <c r="I177" s="24">
        <f>IF(J177&lt;&gt;"",J177 - ('Shipping Program'!$D$9 + 'Shipping Program'!$F$9 + 'Shipping Program'!$H$9), "")</f>
        <v>46533</v>
      </c>
      <c r="J177" s="43">
        <v>46580</v>
      </c>
      <c r="K177" s="44" t="str">
        <f>IF(SUM(M177:N177)=0,"",SUM(M177:N177))</f>
        <v/>
      </c>
      <c r="L177" s="44"/>
      <c r="M177" s="44"/>
      <c r="N177" s="54"/>
      <c r="O177" s="25">
        <f>VLOOKUP(I177,'Shipping Program'!$A$32:$B$78,2)-1</f>
        <v>12</v>
      </c>
      <c r="P177" s="44">
        <f>O177</f>
        <v>12</v>
      </c>
      <c r="Q177" s="24">
        <f>R177-7</f>
        <v>46517</v>
      </c>
      <c r="R177" s="24">
        <f>IFERROR(_xlfn.XLOOKUP(P177,'Shipping Program'!$B$32:$B$78,'Shipping Program'!$A$32:$A$78),IFERROR(INDEX(_V7Batches!$B:$B,MATCH(P177&amp;"",_V7Batches!$A:$A,0)),""))</f>
        <v>46524</v>
      </c>
      <c r="S177" s="24">
        <f>IFERROR(_xlfn.XLOOKUP(P177,'Shipping Program'!$B$32:$B$78,'Shipping Program'!$E$32:$E$78),IFERROR(INDEX(_V7Batches!$D:$D,MATCH(P177&amp;"",_V7Batches!$A:$A,0)),""))</f>
        <v>46554</v>
      </c>
      <c r="T177" s="24">
        <f>S177+'Shipping Program'!$H$9</f>
        <v>46561</v>
      </c>
      <c r="U177" s="25">
        <f>IFERROR(IF(J177*T177&lt;&gt;0,J177-T177,""),"")</f>
        <v>19</v>
      </c>
      <c r="V177" s="25" t="str">
        <f>IF(U177&lt;&gt;"",IF(U177&gt;28,"Too early",IF(U177&lt;14,"Too late","")),"")</f>
        <v/>
      </c>
      <c r="W177" s="35"/>
      <c r="X177" s="26">
        <f ca="1">IF(OFFSET(X177,1,0)="",R177,OFFSET(X177,1,0))</f>
        <v>46524</v>
      </c>
      <c r="Y177" s="26">
        <f ca="1">IF(OFFSET(Y177,1,0)="",X177+'Shipping Program'!$F$9,OFFSET(Y177,1,0))</f>
        <v>46554</v>
      </c>
      <c r="Z177" s="26">
        <f ca="1">IF(OFFSET(Z177,1,0)="",Y177+'Shipping Program'!$H$9,OFFSET(Z177,1,0))</f>
        <v>46561</v>
      </c>
      <c r="AA177" s="27">
        <f ca="1">IFERROR(IF(J177*Z177&lt;&gt;0,J177-Z177,""),"")</f>
        <v>19</v>
      </c>
      <c r="AB177" s="27" t="str">
        <f ca="1">IF(AA177&lt;&gt;"",IF(AA177&gt;28,"Too early",IF(AA177&lt;14,"Too late","")),"")</f>
        <v/>
      </c>
      <c r="AC177" s="46"/>
      <c r="AE177" s="80" t="s">
        <v>43</v>
      </c>
      <c r="AF177" s="80" t="s">
        <v>46</v>
      </c>
      <c r="AG177" s="80" t="s">
        <v>63</v>
      </c>
      <c r="AH177" s="80" t="str">
        <f>IF(AI177="","",AI177*AJ177*AK177/1000/1000/1000)</f>
        <v/>
      </c>
      <c r="AI177" s="80"/>
      <c r="AJ177" s="80"/>
      <c r="AK177" s="80"/>
    </row>
    <row r="178" spans="1:37" ht="20.100000000000001" customHeight="1">
      <c r="A178" s="33">
        <f ca="1">COUNTIF(J$3:OFFSET(J178,-1,0),"Subtotal:")+1</f>
        <v>12</v>
      </c>
      <c r="B178" s="23" t="str">
        <f ca="1">IF(OFFSET(B178,1,0)&lt;&gt;"",OFFSET(B178,1,0),"")</f>
        <v/>
      </c>
      <c r="C178" s="42"/>
      <c r="D178" s="59" t="s">
        <v>78</v>
      </c>
      <c r="E178" s="60" t="str">
        <f>LEFT(F178,3)</f>
        <v>#13</v>
      </c>
      <c r="F178" s="59" t="s">
        <v>232</v>
      </c>
      <c r="G178" s="59" t="s">
        <v>240</v>
      </c>
      <c r="H178" s="60" t="s">
        <v>1</v>
      </c>
      <c r="I178" s="24">
        <f>IF(J178&lt;&gt;"",J178 - ('Shipping Program'!$D$9 + 'Shipping Program'!$F$9 + 'Shipping Program'!$H$9), "")</f>
        <v>46536</v>
      </c>
      <c r="J178" s="43">
        <v>46583</v>
      </c>
      <c r="K178" s="44" t="str">
        <f>IF(SUM(M178:N178)=0,"",SUM(M178:N178))</f>
        <v/>
      </c>
      <c r="L178" s="44"/>
      <c r="M178" s="44"/>
      <c r="N178" s="54"/>
      <c r="O178" s="25">
        <f>VLOOKUP(I178,'Shipping Program'!$A$32:$B$78,2)-1</f>
        <v>12</v>
      </c>
      <c r="P178" s="44">
        <f>O178</f>
        <v>12</v>
      </c>
      <c r="Q178" s="24">
        <f>R178-7</f>
        <v>46517</v>
      </c>
      <c r="R178" s="24">
        <f>IFERROR(_xlfn.XLOOKUP(P178,'Shipping Program'!$B$32:$B$78,'Shipping Program'!$A$32:$A$78),IFERROR(INDEX(_V7Batches!$B:$B,MATCH(P178&amp;"",_V7Batches!$A:$A,0)),""))</f>
        <v>46524</v>
      </c>
      <c r="S178" s="24">
        <f>IFERROR(_xlfn.XLOOKUP(P178,'Shipping Program'!$B$32:$B$78,'Shipping Program'!$E$32:$E$78),IFERROR(INDEX(_V7Batches!$D:$D,MATCH(P178&amp;"",_V7Batches!$A:$A,0)),""))</f>
        <v>46554</v>
      </c>
      <c r="T178" s="24">
        <f>S178+'Shipping Program'!$H$9</f>
        <v>46561</v>
      </c>
      <c r="U178" s="25">
        <f>IFERROR(IF(J178*T178&lt;&gt;0,J178-T178,""),"")</f>
        <v>22</v>
      </c>
      <c r="V178" s="25" t="str">
        <f>IF(U178&lt;&gt;"",IF(U178&gt;28,"Too early",IF(U178&lt;14,"Too late","")),"")</f>
        <v/>
      </c>
      <c r="W178" s="35"/>
      <c r="X178" s="26">
        <f ca="1">IF(OFFSET(X178,1,0)="",R178,OFFSET(X178,1,0))</f>
        <v>46524</v>
      </c>
      <c r="Y178" s="26">
        <f ca="1">IF(OFFSET(Y178,1,0)="",X178+'Shipping Program'!$F$9,OFFSET(Y178,1,0))</f>
        <v>46554</v>
      </c>
      <c r="Z178" s="26">
        <f ca="1">IF(OFFSET(Z178,1,0)="",Y178+'Shipping Program'!$H$9,OFFSET(Z178,1,0))</f>
        <v>46561</v>
      </c>
      <c r="AA178" s="27">
        <f ca="1">IFERROR(IF(J178*Z178&lt;&gt;0,J178-Z178,""),"")</f>
        <v>22</v>
      </c>
      <c r="AB178" s="27" t="str">
        <f ca="1">IF(AA178&lt;&gt;"",IF(AA178&gt;28,"Too early",IF(AA178&lt;14,"Too late","")),"")</f>
        <v/>
      </c>
      <c r="AC178" s="46"/>
      <c r="AE178" s="80" t="s">
        <v>43</v>
      </c>
      <c r="AF178" s="80" t="s">
        <v>46</v>
      </c>
      <c r="AG178" s="80" t="s">
        <v>42</v>
      </c>
      <c r="AH178" s="80" t="str">
        <f>IF(AI178="","",AI178*AJ178*AK178/1000/1000/1000)</f>
        <v/>
      </c>
      <c r="AI178" s="80"/>
      <c r="AJ178" s="80"/>
      <c r="AK178" s="80"/>
    </row>
    <row r="179" spans="1:37" ht="20.100000000000001" customHeight="1">
      <c r="A179" s="33">
        <f ca="1">COUNTIF(J$3:OFFSET(J179,-1,0),"Subtotal:")+1</f>
        <v>12</v>
      </c>
      <c r="B179" s="23" t="str">
        <f ca="1">IF(OFFSET(B179,1,0)&lt;&gt;"",OFFSET(B179,1,0),"")</f>
        <v/>
      </c>
      <c r="C179" s="42"/>
      <c r="D179" s="59" t="s">
        <v>78</v>
      </c>
      <c r="E179" s="60" t="str">
        <f>LEFT(F179,3)</f>
        <v>#13</v>
      </c>
      <c r="F179" s="59" t="s">
        <v>237</v>
      </c>
      <c r="G179" s="59" t="s">
        <v>183</v>
      </c>
      <c r="H179" s="60" t="s">
        <v>2</v>
      </c>
      <c r="I179" s="24">
        <f>IF(J179&lt;&gt;"",J179 - ('Shipping Program'!$D$9 + 'Shipping Program'!$F$9 + 'Shipping Program'!$H$9), "")</f>
        <v>46534</v>
      </c>
      <c r="J179" s="43">
        <v>46581</v>
      </c>
      <c r="K179" s="44" t="str">
        <f>IF(SUM(M179:N179)=0,"",SUM(M179:N179))</f>
        <v/>
      </c>
      <c r="L179" s="44"/>
      <c r="M179" s="44"/>
      <c r="N179" s="54"/>
      <c r="O179" s="25">
        <f>VLOOKUP(I179,'Shipping Program'!$A$32:$B$78,2)-1</f>
        <v>12</v>
      </c>
      <c r="P179" s="44">
        <f>O179</f>
        <v>12</v>
      </c>
      <c r="Q179" s="24">
        <f>R179-7</f>
        <v>46517</v>
      </c>
      <c r="R179" s="24">
        <f>IFERROR(_xlfn.XLOOKUP(P179,'Shipping Program'!$B$32:$B$78,'Shipping Program'!$A$32:$A$78),IFERROR(INDEX(_V7Batches!$B:$B,MATCH(P179&amp;"",_V7Batches!$A:$A,0)),""))</f>
        <v>46524</v>
      </c>
      <c r="S179" s="24">
        <f>IFERROR(_xlfn.XLOOKUP(P179,'Shipping Program'!$B$32:$B$78,'Shipping Program'!$E$32:$E$78),IFERROR(INDEX(_V7Batches!$D:$D,MATCH(P179&amp;"",_V7Batches!$A:$A,0)),""))</f>
        <v>46554</v>
      </c>
      <c r="T179" s="24">
        <f>S179+'Shipping Program'!$H$9</f>
        <v>46561</v>
      </c>
      <c r="U179" s="25">
        <f>IFERROR(IF(J179*T179&lt;&gt;0,J179-T179,""),"")</f>
        <v>20</v>
      </c>
      <c r="V179" s="25" t="str">
        <f>IF(U179&lt;&gt;"",IF(U179&gt;28,"Too early",IF(U179&lt;14,"Too late","")),"")</f>
        <v/>
      </c>
      <c r="W179" s="35"/>
      <c r="X179" s="26">
        <f ca="1">IF(OFFSET(X179,1,0)="",R179,OFFSET(X179,1,0))</f>
        <v>46524</v>
      </c>
      <c r="Y179" s="26">
        <f ca="1">IF(OFFSET(Y179,1,0)="",X179+'Shipping Program'!$F$9,OFFSET(Y179,1,0))</f>
        <v>46554</v>
      </c>
      <c r="Z179" s="26">
        <f ca="1">IF(OFFSET(Z179,1,0)="",Y179+'Shipping Program'!$H$9,OFFSET(Z179,1,0))</f>
        <v>46561</v>
      </c>
      <c r="AA179" s="27">
        <f ca="1">IFERROR(IF(J179*Z179&lt;&gt;0,J179-Z179,""),"")</f>
        <v>20</v>
      </c>
      <c r="AB179" s="27" t="str">
        <f ca="1">IF(AA179&lt;&gt;"",IF(AA179&gt;28,"Too early",IF(AA179&lt;14,"Too late","")),"")</f>
        <v/>
      </c>
      <c r="AC179" s="46"/>
      <c r="AE179" s="80" t="s">
        <v>54</v>
      </c>
      <c r="AF179" s="80"/>
      <c r="AG179" s="80"/>
      <c r="AH179" s="80" t="str">
        <f>IF(AI179="","",AI179*AJ179*AK179/1000/1000/1000)</f>
        <v/>
      </c>
      <c r="AI179" s="80"/>
      <c r="AJ179" s="80"/>
      <c r="AK179" s="80"/>
    </row>
    <row r="180" spans="1:37" ht="20.100000000000001" customHeight="1">
      <c r="A180" s="33">
        <f ca="1">COUNTIF(J$3:OFFSET(J180,-1,0),"Subtotal:")+1</f>
        <v>12</v>
      </c>
      <c r="B180" s="23" t="str">
        <f ca="1">IF(OFFSET(B180,1,0)&lt;&gt;"",OFFSET(B180,1,0),"")</f>
        <v/>
      </c>
      <c r="C180" s="42"/>
      <c r="D180" s="59" t="s">
        <v>78</v>
      </c>
      <c r="E180" s="60" t="str">
        <f>LEFT(F180,3)</f>
        <v>#13</v>
      </c>
      <c r="F180" s="59" t="s">
        <v>237</v>
      </c>
      <c r="G180" s="59" t="s">
        <v>185</v>
      </c>
      <c r="H180" s="60" t="s">
        <v>2</v>
      </c>
      <c r="I180" s="24">
        <f>IF(J180&lt;&gt;"",J180 - ('Shipping Program'!$D$9 + 'Shipping Program'!$F$9 + 'Shipping Program'!$H$9), "")</f>
        <v>46537</v>
      </c>
      <c r="J180" s="43">
        <v>46584</v>
      </c>
      <c r="K180" s="44" t="str">
        <f>IF(SUM(M180:N180)=0,"",SUM(M180:N180))</f>
        <v/>
      </c>
      <c r="L180" s="44"/>
      <c r="M180" s="44"/>
      <c r="N180" s="54"/>
      <c r="O180" s="25">
        <f>VLOOKUP(I180,'Shipping Program'!$A$32:$B$78,2)-1</f>
        <v>12</v>
      </c>
      <c r="P180" s="44">
        <f>O180</f>
        <v>12</v>
      </c>
      <c r="Q180" s="24">
        <f>R180-7</f>
        <v>46517</v>
      </c>
      <c r="R180" s="24">
        <f>IFERROR(_xlfn.XLOOKUP(P180,'Shipping Program'!$B$32:$B$78,'Shipping Program'!$A$32:$A$78),IFERROR(INDEX(_V7Batches!$B:$B,MATCH(P180&amp;"",_V7Batches!$A:$A,0)),""))</f>
        <v>46524</v>
      </c>
      <c r="S180" s="24">
        <f>IFERROR(_xlfn.XLOOKUP(P180,'Shipping Program'!$B$32:$B$78,'Shipping Program'!$E$32:$E$78),IFERROR(INDEX(_V7Batches!$D:$D,MATCH(P180&amp;"",_V7Batches!$A:$A,0)),""))</f>
        <v>46554</v>
      </c>
      <c r="T180" s="24">
        <f>S180+'Shipping Program'!$H$9</f>
        <v>46561</v>
      </c>
      <c r="U180" s="25">
        <f>IFERROR(IF(J180*T180&lt;&gt;0,J180-T180,""),"")</f>
        <v>23</v>
      </c>
      <c r="V180" s="25" t="str">
        <f>IF(U180&lt;&gt;"",IF(U180&gt;28,"Too early",IF(U180&lt;14,"Too late","")),"")</f>
        <v/>
      </c>
      <c r="W180" s="35"/>
      <c r="X180" s="26">
        <f ca="1">IF(OFFSET(X180,1,0)="",R180,OFFSET(X180,1,0))</f>
        <v>46524</v>
      </c>
      <c r="Y180" s="26">
        <f ca="1">IF(OFFSET(Y180,1,0)="",X180+'Shipping Program'!$F$9,OFFSET(Y180,1,0))</f>
        <v>46554</v>
      </c>
      <c r="Z180" s="26">
        <f ca="1">IF(OFFSET(Z180,1,0)="",Y180+'Shipping Program'!$H$9,OFFSET(Z180,1,0))</f>
        <v>46561</v>
      </c>
      <c r="AA180" s="27">
        <f ca="1">IFERROR(IF(J180*Z180&lt;&gt;0,J180-Z180,""),"")</f>
        <v>23</v>
      </c>
      <c r="AB180" s="27" t="str">
        <f ca="1">IF(AA180&lt;&gt;"",IF(AA180&gt;28,"Too early",IF(AA180&lt;14,"Too late","")),"")</f>
        <v/>
      </c>
      <c r="AC180" s="46"/>
      <c r="AE180" s="80" t="s">
        <v>54</v>
      </c>
      <c r="AF180" s="80"/>
      <c r="AG180" s="80"/>
      <c r="AH180" s="80" t="str">
        <f>IF(AI180="","",AI180*AJ180*AK180/1000/1000/1000)</f>
        <v/>
      </c>
      <c r="AI180" s="80"/>
      <c r="AJ180" s="80"/>
      <c r="AK180" s="80"/>
    </row>
    <row r="181" spans="1:37" ht="20.100000000000001" customHeight="1">
      <c r="A181" s="33">
        <f ca="1">COUNTIF(J$3:OFFSET(J181,-1,0),"Subtotal:")+1</f>
        <v>12</v>
      </c>
      <c r="B181" s="62" t="str">
        <f ca="1">IF(OFFSET(B181,1,0)&lt;&gt;"",OFFSET(B181,1,0),"")</f>
        <v/>
      </c>
      <c r="C181" s="63"/>
      <c r="D181" s="59" t="s">
        <v>95</v>
      </c>
      <c r="E181" s="60" t="str">
        <f>LEFT(F181,3)</f>
        <v>#06</v>
      </c>
      <c r="F181" s="59" t="s">
        <v>228</v>
      </c>
      <c r="G181" s="59" t="s">
        <v>244</v>
      </c>
      <c r="H181" s="60"/>
      <c r="I181" s="24">
        <f>IF(J181&lt;&gt;"",J181 - ('Shipping Program'!$D$9 + 'Shipping Program'!$F$9 + 'Shipping Program'!$H$9), "")</f>
        <v>46533</v>
      </c>
      <c r="J181" s="43">
        <v>46580</v>
      </c>
      <c r="K181" s="44" t="str">
        <f>IF(SUM(M181:N181)=0,"",SUM(M181:N181))</f>
        <v/>
      </c>
      <c r="L181" s="64"/>
      <c r="M181" s="44"/>
      <c r="N181" s="54"/>
      <c r="O181" s="25">
        <f>VLOOKUP(I181,'Shipping Program'!$A$32:$B$78,2)-1</f>
        <v>12</v>
      </c>
      <c r="P181" s="44">
        <f>O181</f>
        <v>12</v>
      </c>
      <c r="Q181" s="24">
        <f>R181-7</f>
        <v>46517</v>
      </c>
      <c r="R181" s="24">
        <f>IFERROR(_xlfn.XLOOKUP(P181,'Shipping Program'!$B$32:$B$78,'Shipping Program'!$A$32:$A$78),IFERROR(INDEX(_V7Batches!$B:$B,MATCH(P181&amp;"",_V7Batches!$A:$A,0)),""))</f>
        <v>46524</v>
      </c>
      <c r="S181" s="24">
        <f>IFERROR(_xlfn.XLOOKUP(P181,'Shipping Program'!$B$32:$B$78,'Shipping Program'!$E$32:$E$78),IFERROR(INDEX(_V7Batches!$D:$D,MATCH(P181&amp;"",_V7Batches!$A:$A,0)),""))</f>
        <v>46554</v>
      </c>
      <c r="T181" s="24">
        <f>S181+'Shipping Program'!$H$9</f>
        <v>46561</v>
      </c>
      <c r="U181" s="25">
        <f>IFERROR(IF(J181*T181&lt;&gt;0,J181-T181,""),"")</f>
        <v>19</v>
      </c>
      <c r="V181" s="25" t="str">
        <f>IF(U181&lt;&gt;"",IF(U181&gt;28,"Too early",IF(U181&lt;14,"Too late","")),"")</f>
        <v/>
      </c>
      <c r="W181" s="35"/>
      <c r="X181" s="26">
        <f ca="1">IF(OFFSET(X181,1,0)="",R181,OFFSET(X181,1,0))</f>
        <v>46524</v>
      </c>
      <c r="Y181" s="26">
        <f ca="1">IF(OFFSET(Y181,1,0)="",X181+'Shipping Program'!$F$9,OFFSET(Y181,1,0))</f>
        <v>46554</v>
      </c>
      <c r="Z181" s="26">
        <f ca="1">IF(OFFSET(Z181,1,0)="",Y181+'Shipping Program'!$H$9,OFFSET(Z181,1,0))</f>
        <v>46561</v>
      </c>
      <c r="AA181" s="27">
        <f ca="1">IFERROR(IF(J181*Z181&lt;&gt;0,J181-Z181,""),"")</f>
        <v>19</v>
      </c>
      <c r="AB181" s="27" t="str">
        <f ca="1">IF(AA181&lt;&gt;"",IF(AA181&gt;28,"Too early",IF(AA181&lt;14,"Too late","")),"")</f>
        <v/>
      </c>
      <c r="AC181" s="46"/>
      <c r="AE181" s="80" t="s">
        <v>43</v>
      </c>
      <c r="AF181" s="80" t="s">
        <v>46</v>
      </c>
      <c r="AG181" s="80" t="s">
        <v>42</v>
      </c>
      <c r="AH181" s="80" t="str">
        <f>IF(AI181="","",AI181*AJ181*AK181/1000/1000/1000)</f>
        <v/>
      </c>
      <c r="AI181" s="80"/>
      <c r="AJ181" s="80"/>
      <c r="AK181" s="80"/>
    </row>
    <row r="182" spans="1:37" ht="20.100000000000001" customHeight="1">
      <c r="A182" s="33">
        <f ca="1">COUNTIF(J$3:OFFSET(J182,-1,0),"Subtotal:")+1</f>
        <v>12</v>
      </c>
      <c r="B182" s="62" t="str">
        <f ca="1">IF(OFFSET(B182,1,0)&lt;&gt;"",OFFSET(B182,1,0),"")</f>
        <v/>
      </c>
      <c r="C182" s="63"/>
      <c r="D182" s="59" t="s">
        <v>95</v>
      </c>
      <c r="E182" s="60" t="str">
        <f>LEFT(F182,3)</f>
        <v>#06</v>
      </c>
      <c r="F182" s="59" t="s">
        <v>230</v>
      </c>
      <c r="G182" s="59" t="s">
        <v>246</v>
      </c>
      <c r="H182" s="60"/>
      <c r="I182" s="24">
        <f>IF(J182&lt;&gt;"",J182 - ('Shipping Program'!$D$9 + 'Shipping Program'!$F$9 + 'Shipping Program'!$H$9), "")</f>
        <v>46533</v>
      </c>
      <c r="J182" s="43">
        <v>46580</v>
      </c>
      <c r="K182" s="44" t="str">
        <f>IF(SUM(M182:N182)=0,"",SUM(M182:N182))</f>
        <v/>
      </c>
      <c r="L182" s="64"/>
      <c r="M182" s="44"/>
      <c r="N182" s="54"/>
      <c r="O182" s="25">
        <f>VLOOKUP(I182,'Shipping Program'!$A$32:$B$78,2)-1</f>
        <v>12</v>
      </c>
      <c r="P182" s="44">
        <f>O182</f>
        <v>12</v>
      </c>
      <c r="Q182" s="24">
        <f>R182-7</f>
        <v>46517</v>
      </c>
      <c r="R182" s="24">
        <f>IFERROR(_xlfn.XLOOKUP(P182,'Shipping Program'!$B$32:$B$78,'Shipping Program'!$A$32:$A$78),IFERROR(INDEX(_V7Batches!$B:$B,MATCH(P182&amp;"",_V7Batches!$A:$A,0)),""))</f>
        <v>46524</v>
      </c>
      <c r="S182" s="24">
        <f>IFERROR(_xlfn.XLOOKUP(P182,'Shipping Program'!$B$32:$B$78,'Shipping Program'!$E$32:$E$78),IFERROR(INDEX(_V7Batches!$D:$D,MATCH(P182&amp;"",_V7Batches!$A:$A,0)),""))</f>
        <v>46554</v>
      </c>
      <c r="T182" s="24">
        <f>S182+'Shipping Program'!$H$9</f>
        <v>46561</v>
      </c>
      <c r="U182" s="25">
        <f>IFERROR(IF(J182*T182&lt;&gt;0,J182-T182,""),"")</f>
        <v>19</v>
      </c>
      <c r="V182" s="25" t="str">
        <f>IF(U182&lt;&gt;"",IF(U182&gt;28,"Too early",IF(U182&lt;14,"Too late","")),"")</f>
        <v/>
      </c>
      <c r="W182" s="35"/>
      <c r="X182" s="26">
        <f ca="1">IF(OFFSET(X182,1,0)="",R182,OFFSET(X182,1,0))</f>
        <v>46524</v>
      </c>
      <c r="Y182" s="26">
        <f ca="1">IF(OFFSET(Y182,1,0)="",X182+'Shipping Program'!$F$9,OFFSET(Y182,1,0))</f>
        <v>46554</v>
      </c>
      <c r="Z182" s="26">
        <f ca="1">IF(OFFSET(Z182,1,0)="",Y182+'Shipping Program'!$H$9,OFFSET(Z182,1,0))</f>
        <v>46561</v>
      </c>
      <c r="AA182" s="27">
        <f ca="1">IFERROR(IF(J182*Z182&lt;&gt;0,J182-Z182,""),"")</f>
        <v>19</v>
      </c>
      <c r="AB182" s="27" t="str">
        <f ca="1">IF(AA182&lt;&gt;"",IF(AA182&gt;28,"Too early",IF(AA182&lt;14,"Too late","")),"")</f>
        <v/>
      </c>
      <c r="AC182" s="46"/>
      <c r="AE182" s="80" t="s">
        <v>43</v>
      </c>
      <c r="AF182" s="80" t="s">
        <v>46</v>
      </c>
      <c r="AG182" s="80" t="s">
        <v>42</v>
      </c>
      <c r="AH182" s="80" t="str">
        <f>IF(AI182="","",AI182*AJ182*AK182/1000/1000/1000)</f>
        <v/>
      </c>
      <c r="AI182" s="80"/>
      <c r="AJ182" s="80"/>
      <c r="AK182" s="80"/>
    </row>
    <row r="183" spans="1:37" ht="20.100000000000001" customHeight="1">
      <c r="A183" s="33">
        <f ca="1">COUNTIF(J$3:OFFSET(J183,-1,0),"Subtotal:")+1</f>
        <v>12</v>
      </c>
      <c r="B183" s="23" t="str">
        <f ca="1">IF(OFFSET(B183,1,0)&lt;&gt;"",OFFSET(B183,1,0),"")</f>
        <v/>
      </c>
      <c r="C183" s="42"/>
      <c r="D183" s="64" t="s">
        <v>97</v>
      </c>
      <c r="E183" s="60" t="str">
        <f>LEFT(F183,3)</f>
        <v>#10</v>
      </c>
      <c r="F183" s="59" t="s">
        <v>248</v>
      </c>
      <c r="G183" s="64" t="s">
        <v>269</v>
      </c>
      <c r="H183" s="64"/>
      <c r="I183" s="24">
        <f>IF(J183&lt;&gt;"",J183 - ('Shipping Program'!$D$9 + 'Shipping Program'!$F$9 + 'Shipping Program'!$H$9), "")</f>
        <v>46535</v>
      </c>
      <c r="J183" s="43">
        <v>46582</v>
      </c>
      <c r="K183" s="44" t="str">
        <f>IF(SUM(M183:N183)=0,"",SUM(M183:N183))</f>
        <v/>
      </c>
      <c r="L183" s="44"/>
      <c r="M183" s="44"/>
      <c r="N183" s="54"/>
      <c r="O183" s="25">
        <f>VLOOKUP(I183,'Shipping Program'!$A$32:$B$78,2)-1</f>
        <v>12</v>
      </c>
      <c r="P183" s="44">
        <f>O183</f>
        <v>12</v>
      </c>
      <c r="Q183" s="24">
        <f>R183-7</f>
        <v>46517</v>
      </c>
      <c r="R183" s="24">
        <f>IFERROR(_xlfn.XLOOKUP(P183,'Shipping Program'!$B$32:$B$78,'Shipping Program'!$A$32:$A$78),IFERROR(INDEX(_V7Batches!$B:$B,MATCH(P183&amp;"",_V7Batches!$A:$A,0)),""))</f>
        <v>46524</v>
      </c>
      <c r="S183" s="24">
        <f>IFERROR(_xlfn.XLOOKUP(P183,'Shipping Program'!$B$32:$B$78,'Shipping Program'!$E$32:$E$78),IFERROR(INDEX(_V7Batches!$D:$D,MATCH(P183&amp;"",_V7Batches!$A:$A,0)),""))</f>
        <v>46554</v>
      </c>
      <c r="T183" s="24">
        <f>S183+'Shipping Program'!$H$9</f>
        <v>46561</v>
      </c>
      <c r="U183" s="25">
        <f>IFERROR(IF(J183*T183&lt;&gt;0,J183-T183,""),"")</f>
        <v>21</v>
      </c>
      <c r="V183" s="25" t="str">
        <f>IF(U183&lt;&gt;"",IF(U183&gt;28,"Too early",IF(U183&lt;14,"Too late","")),"")</f>
        <v/>
      </c>
      <c r="W183" s="35"/>
      <c r="X183" s="26">
        <f ca="1">IF(OFFSET(X183,1,0)="",R183,OFFSET(X183,1,0))</f>
        <v>46524</v>
      </c>
      <c r="Y183" s="26">
        <f ca="1">IF(OFFSET(Y183,1,0)="",X183+'Shipping Program'!$F$9,OFFSET(Y183,1,0))</f>
        <v>46554</v>
      </c>
      <c r="Z183" s="26">
        <f ca="1">IF(OFFSET(Z183,1,0)="",Y183+'Shipping Program'!$H$9,OFFSET(Z183,1,0))</f>
        <v>46561</v>
      </c>
      <c r="AA183" s="27">
        <f ca="1">IFERROR(IF(J183*Z183&lt;&gt;0,J183-Z183,""),"")</f>
        <v>21</v>
      </c>
      <c r="AB183" s="27" t="str">
        <f ca="1">IF(AA183&lt;&gt;"",IF(AA183&gt;28,"Too early",IF(AA183&lt;14,"Too late","")),"")</f>
        <v/>
      </c>
      <c r="AC183" s="46"/>
      <c r="AE183" s="80" t="s">
        <v>43</v>
      </c>
      <c r="AF183" s="80" t="s">
        <v>41</v>
      </c>
      <c r="AG183" s="80" t="s">
        <v>42</v>
      </c>
      <c r="AH183" s="80" t="str">
        <f>IF(AI183="","",AI183*AJ183*AK183/1000/1000/1000)</f>
        <v/>
      </c>
      <c r="AI183" s="80"/>
      <c r="AJ183" s="80"/>
      <c r="AK183" s="80"/>
    </row>
    <row r="184" spans="1:37" ht="20.100000000000001" customHeight="1">
      <c r="A184" s="33">
        <f ca="1">COUNTIF(J$3:OFFSET(J184,-1,0),"Subtotal:")+1</f>
        <v>12</v>
      </c>
      <c r="B184" s="23" t="str">
        <f ca="1">IF(OFFSET(B184,1,0)&lt;&gt;"",OFFSET(B184,1,0),"")</f>
        <v/>
      </c>
      <c r="C184" s="42"/>
      <c r="D184" s="64" t="s">
        <v>97</v>
      </c>
      <c r="E184" s="60" t="str">
        <f>LEFT(F184,3)</f>
        <v>#10</v>
      </c>
      <c r="F184" s="59" t="s">
        <v>254</v>
      </c>
      <c r="G184" s="64" t="s">
        <v>275</v>
      </c>
      <c r="H184" s="64"/>
      <c r="I184" s="24">
        <f>IF(J184&lt;&gt;"",J184 - ('Shipping Program'!$D$9 + 'Shipping Program'!$F$9 + 'Shipping Program'!$H$9), "")</f>
        <v>46535</v>
      </c>
      <c r="J184" s="43">
        <v>46582</v>
      </c>
      <c r="K184" s="44" t="str">
        <f>IF(SUM(M184:N184)=0,"",SUM(M184:N184))</f>
        <v/>
      </c>
      <c r="L184" s="44"/>
      <c r="M184" s="44"/>
      <c r="N184" s="54"/>
      <c r="O184" s="25">
        <f>VLOOKUP(I184,'Shipping Program'!$A$32:$B$78,2)-1</f>
        <v>12</v>
      </c>
      <c r="P184" s="44">
        <f>O184</f>
        <v>12</v>
      </c>
      <c r="Q184" s="24">
        <f>R184-7</f>
        <v>46517</v>
      </c>
      <c r="R184" s="24">
        <f>IFERROR(_xlfn.XLOOKUP(P184,'Shipping Program'!$B$32:$B$78,'Shipping Program'!$A$32:$A$78),IFERROR(INDEX(_V7Batches!$B:$B,MATCH(P184&amp;"",_V7Batches!$A:$A,0)),""))</f>
        <v>46524</v>
      </c>
      <c r="S184" s="24">
        <f>IFERROR(_xlfn.XLOOKUP(P184,'Shipping Program'!$B$32:$B$78,'Shipping Program'!$E$32:$E$78),IFERROR(INDEX(_V7Batches!$D:$D,MATCH(P184&amp;"",_V7Batches!$A:$A,0)),""))</f>
        <v>46554</v>
      </c>
      <c r="T184" s="24">
        <f>S184+'Shipping Program'!$H$9</f>
        <v>46561</v>
      </c>
      <c r="U184" s="25">
        <f>IFERROR(IF(J184*T184&lt;&gt;0,J184-T184,""),"")</f>
        <v>21</v>
      </c>
      <c r="V184" s="25" t="str">
        <f>IF(U184&lt;&gt;"",IF(U184&gt;28,"Too early",IF(U184&lt;14,"Too late","")),"")</f>
        <v/>
      </c>
      <c r="W184" s="35"/>
      <c r="X184" s="26">
        <f ca="1">IF(OFFSET(X184,1,0)="",R184,OFFSET(X184,1,0))</f>
        <v>46524</v>
      </c>
      <c r="Y184" s="26">
        <f ca="1">IF(OFFSET(Y184,1,0)="",X184+'Shipping Program'!$F$9,OFFSET(Y184,1,0))</f>
        <v>46554</v>
      </c>
      <c r="Z184" s="26">
        <f ca="1">IF(OFFSET(Z184,1,0)="",Y184+'Shipping Program'!$H$9,OFFSET(Z184,1,0))</f>
        <v>46561</v>
      </c>
      <c r="AA184" s="27">
        <f ca="1">IFERROR(IF(J184*Z184&lt;&gt;0,J184-Z184,""),"")</f>
        <v>21</v>
      </c>
      <c r="AB184" s="27" t="str">
        <f ca="1">IF(AA184&lt;&gt;"",IF(AA184&gt;28,"Too early",IF(AA184&lt;14,"Too late","")),"")</f>
        <v/>
      </c>
      <c r="AC184" s="46"/>
      <c r="AE184" s="80" t="s">
        <v>43</v>
      </c>
      <c r="AF184" s="80" t="s">
        <v>41</v>
      </c>
      <c r="AG184" s="80" t="s">
        <v>42</v>
      </c>
      <c r="AH184" s="80" t="str">
        <f>IF(AI184="","",AI184*AJ184*AK184/1000/1000/1000)</f>
        <v/>
      </c>
      <c r="AI184" s="80"/>
      <c r="AJ184" s="80"/>
      <c r="AK184" s="80"/>
    </row>
    <row r="185" spans="1:37" ht="20.100000000000001" customHeight="1">
      <c r="A185" s="33">
        <f ca="1">COUNTIF(J$3:OFFSET(J185,-1,0),"Subtotal:")+1</f>
        <v>12</v>
      </c>
      <c r="B185" s="23" t="str">
        <f ca="1">IF(OFFSET(B185,1,0)&lt;&gt;"",OFFSET(B185,1,0),"")</f>
        <v/>
      </c>
      <c r="C185" s="42"/>
      <c r="D185" s="64" t="s">
        <v>97</v>
      </c>
      <c r="E185" s="60" t="str">
        <f>LEFT(F185,3)</f>
        <v>#10</v>
      </c>
      <c r="F185" s="59" t="s">
        <v>253</v>
      </c>
      <c r="G185" s="64" t="s">
        <v>293</v>
      </c>
      <c r="H185" s="64"/>
      <c r="I185" s="24">
        <f>IF(J185&lt;&gt;"",J185 - ('Shipping Program'!$D$9 + 'Shipping Program'!$F$9 + 'Shipping Program'!$H$9), "")</f>
        <v>46533</v>
      </c>
      <c r="J185" s="43">
        <v>46580</v>
      </c>
      <c r="K185" s="44" t="str">
        <f>IF(SUM(M185:N185)=0,"",SUM(M185:N185))</f>
        <v/>
      </c>
      <c r="L185" s="44"/>
      <c r="M185" s="44"/>
      <c r="N185" s="54"/>
      <c r="O185" s="25">
        <f>VLOOKUP(I185,'Shipping Program'!$A$32:$B$78,2)-1</f>
        <v>12</v>
      </c>
      <c r="P185" s="44">
        <f>O185</f>
        <v>12</v>
      </c>
      <c r="Q185" s="24">
        <f>R185-7</f>
        <v>46517</v>
      </c>
      <c r="R185" s="24">
        <f>IFERROR(_xlfn.XLOOKUP(P185,'Shipping Program'!$B$32:$B$78,'Shipping Program'!$A$32:$A$78),IFERROR(INDEX(_V7Batches!$B:$B,MATCH(P185&amp;"",_V7Batches!$A:$A,0)),""))</f>
        <v>46524</v>
      </c>
      <c r="S185" s="24">
        <f>IFERROR(_xlfn.XLOOKUP(P185,'Shipping Program'!$B$32:$B$78,'Shipping Program'!$E$32:$E$78),IFERROR(INDEX(_V7Batches!$D:$D,MATCH(P185&amp;"",_V7Batches!$A:$A,0)),""))</f>
        <v>46554</v>
      </c>
      <c r="T185" s="24">
        <f>S185+'Shipping Program'!$H$9</f>
        <v>46561</v>
      </c>
      <c r="U185" s="25">
        <f>IFERROR(IF(J185*T185&lt;&gt;0,J185-T185,""),"")</f>
        <v>19</v>
      </c>
      <c r="V185" s="25" t="str">
        <f>IF(U185&lt;&gt;"",IF(U185&gt;28,"Too early",IF(U185&lt;14,"Too late","")),"")</f>
        <v/>
      </c>
      <c r="W185" s="35"/>
      <c r="X185" s="26">
        <f ca="1">IF(OFFSET(X185,1,0)="",R185,OFFSET(X185,1,0))</f>
        <v>46524</v>
      </c>
      <c r="Y185" s="26">
        <f ca="1">IF(OFFSET(Y185,1,0)="",X185+'Shipping Program'!$F$9,OFFSET(Y185,1,0))</f>
        <v>46554</v>
      </c>
      <c r="Z185" s="26">
        <f ca="1">IF(OFFSET(Z185,1,0)="",Y185+'Shipping Program'!$H$9,OFFSET(Z185,1,0))</f>
        <v>46561</v>
      </c>
      <c r="AA185" s="27">
        <f ca="1">IFERROR(IF(J185*Z185&lt;&gt;0,J185-Z185,""),"")</f>
        <v>19</v>
      </c>
      <c r="AB185" s="27" t="str">
        <f ca="1">IF(AA185&lt;&gt;"",IF(AA185&gt;28,"Too early",IF(AA185&lt;14,"Too late","")),"")</f>
        <v/>
      </c>
      <c r="AC185" s="46"/>
      <c r="AE185" s="80" t="s">
        <v>43</v>
      </c>
      <c r="AF185" s="80" t="s">
        <v>41</v>
      </c>
      <c r="AG185" s="80" t="s">
        <v>42</v>
      </c>
      <c r="AH185" s="80" t="str">
        <f>IF(AI185="","",AI185*AJ185*AK185/1000/1000/1000)</f>
        <v/>
      </c>
      <c r="AI185" s="80"/>
      <c r="AJ185" s="80"/>
      <c r="AK185" s="80"/>
    </row>
    <row r="186" spans="1:37" ht="20.100000000000001" customHeight="1">
      <c r="A186" s="33">
        <f ca="1">COUNTIF(J$3:OFFSET(J186,-1,0),"Subtotal:")+1</f>
        <v>12</v>
      </c>
      <c r="B186" s="23" t="str">
        <f ca="1">IF(OFFSET(B186,1,0)&lt;&gt;"",OFFSET(B186,1,0),"")</f>
        <v/>
      </c>
      <c r="C186" s="42"/>
      <c r="D186" s="64" t="s">
        <v>97</v>
      </c>
      <c r="E186" s="60" t="str">
        <f>LEFT(F186,3)</f>
        <v>#10</v>
      </c>
      <c r="F186" s="59" t="s">
        <v>253</v>
      </c>
      <c r="G186" s="64" t="s">
        <v>283</v>
      </c>
      <c r="H186" s="64"/>
      <c r="I186" s="24">
        <f>IF(J186&lt;&gt;"",J186 - ('Shipping Program'!$D$9 + 'Shipping Program'!$F$9 + 'Shipping Program'!$H$9), "")</f>
        <v>46533</v>
      </c>
      <c r="J186" s="43">
        <v>46580</v>
      </c>
      <c r="K186" s="44" t="str">
        <f>IF(SUM(M186:N186)=0,"",SUM(M186:N186))</f>
        <v/>
      </c>
      <c r="L186" s="44"/>
      <c r="M186" s="44"/>
      <c r="N186" s="54"/>
      <c r="O186" s="25">
        <f>VLOOKUP(I186,'Shipping Program'!$A$32:$B$78,2)-1</f>
        <v>12</v>
      </c>
      <c r="P186" s="44">
        <f>O186</f>
        <v>12</v>
      </c>
      <c r="Q186" s="24">
        <f>R186-7</f>
        <v>46517</v>
      </c>
      <c r="R186" s="24">
        <f>IFERROR(_xlfn.XLOOKUP(P186,'Shipping Program'!$B$32:$B$78,'Shipping Program'!$A$32:$A$78),IFERROR(INDEX(_V7Batches!$B:$B,MATCH(P186&amp;"",_V7Batches!$A:$A,0)),""))</f>
        <v>46524</v>
      </c>
      <c r="S186" s="24">
        <f>IFERROR(_xlfn.XLOOKUP(P186,'Shipping Program'!$B$32:$B$78,'Shipping Program'!$E$32:$E$78),IFERROR(INDEX(_V7Batches!$D:$D,MATCH(P186&amp;"",_V7Batches!$A:$A,0)),""))</f>
        <v>46554</v>
      </c>
      <c r="T186" s="24">
        <f>S186+'Shipping Program'!$H$9</f>
        <v>46561</v>
      </c>
      <c r="U186" s="25">
        <f>IFERROR(IF(J186*T186&lt;&gt;0,J186-T186,""),"")</f>
        <v>19</v>
      </c>
      <c r="V186" s="25" t="str">
        <f>IF(U186&lt;&gt;"",IF(U186&gt;28,"Too early",IF(U186&lt;14,"Too late","")),"")</f>
        <v/>
      </c>
      <c r="W186" s="35"/>
      <c r="X186" s="26">
        <f ca="1">IF(OFFSET(X186,1,0)="",R186,OFFSET(X186,1,0))</f>
        <v>46524</v>
      </c>
      <c r="Y186" s="26">
        <f ca="1">IF(OFFSET(Y186,1,0)="",X186+'Shipping Program'!$F$9,OFFSET(Y186,1,0))</f>
        <v>46554</v>
      </c>
      <c r="Z186" s="26">
        <f ca="1">IF(OFFSET(Z186,1,0)="",Y186+'Shipping Program'!$H$9,OFFSET(Z186,1,0))</f>
        <v>46561</v>
      </c>
      <c r="AA186" s="27">
        <f ca="1">IFERROR(IF(J186*Z186&lt;&gt;0,J186-Z186,""),"")</f>
        <v>19</v>
      </c>
      <c r="AB186" s="27" t="str">
        <f ca="1">IF(AA186&lt;&gt;"",IF(AA186&gt;28,"Too early",IF(AA186&lt;14,"Too late","")),"")</f>
        <v/>
      </c>
      <c r="AC186" s="46"/>
      <c r="AE186" s="80" t="s">
        <v>43</v>
      </c>
      <c r="AF186" s="80" t="s">
        <v>41</v>
      </c>
      <c r="AG186" s="80" t="s">
        <v>42</v>
      </c>
      <c r="AH186" s="80" t="str">
        <f>IF(AI186="","",AI186*AJ186*AK186/1000/1000/1000)</f>
        <v/>
      </c>
      <c r="AI186" s="80"/>
      <c r="AJ186" s="80"/>
      <c r="AK186" s="80"/>
    </row>
    <row r="187" spans="1:37" ht="20.100000000000001" customHeight="1">
      <c r="A187" s="33">
        <f ca="1">COUNTIF(J$3:OFFSET(J187,-1,0),"Subtotal:")+1</f>
        <v>12</v>
      </c>
      <c r="B187" s="23" t="str">
        <f ca="1">IF(OFFSET(B187,1,0)&lt;&gt;"",OFFSET(B187,1,0),"")</f>
        <v/>
      </c>
      <c r="C187" s="42"/>
      <c r="D187" s="64" t="s">
        <v>97</v>
      </c>
      <c r="E187" s="60" t="str">
        <f>LEFT(F187,3)</f>
        <v>#10</v>
      </c>
      <c r="F187" s="59" t="s">
        <v>253</v>
      </c>
      <c r="G187" s="64" t="s">
        <v>98</v>
      </c>
      <c r="H187" s="64"/>
      <c r="I187" s="24">
        <f>IF(J187&lt;&gt;"",J187 - ('Shipping Program'!$D$9 + 'Shipping Program'!$F$9 + 'Shipping Program'!$H$9), "")</f>
        <v>46533</v>
      </c>
      <c r="J187" s="43">
        <v>46580</v>
      </c>
      <c r="K187" s="44" t="str">
        <f>IF(SUM(M187:N187)=0,"",SUM(M187:N187))</f>
        <v/>
      </c>
      <c r="L187" s="44"/>
      <c r="M187" s="44"/>
      <c r="N187" s="54"/>
      <c r="O187" s="25">
        <f>VLOOKUP(I187,'Shipping Program'!$A$32:$B$78,2)-1</f>
        <v>12</v>
      </c>
      <c r="P187" s="44">
        <f>O187</f>
        <v>12</v>
      </c>
      <c r="Q187" s="24">
        <f>R187-7</f>
        <v>46517</v>
      </c>
      <c r="R187" s="24">
        <f>IFERROR(_xlfn.XLOOKUP(P187,'Shipping Program'!$B$32:$B$78,'Shipping Program'!$A$32:$A$78),IFERROR(INDEX(_V7Batches!$B:$B,MATCH(P187&amp;"",_V7Batches!$A:$A,0)),""))</f>
        <v>46524</v>
      </c>
      <c r="S187" s="24">
        <f>IFERROR(_xlfn.XLOOKUP(P187,'Shipping Program'!$B$32:$B$78,'Shipping Program'!$E$32:$E$78),IFERROR(INDEX(_V7Batches!$D:$D,MATCH(P187&amp;"",_V7Batches!$A:$A,0)),""))</f>
        <v>46554</v>
      </c>
      <c r="T187" s="24">
        <f>S187+'Shipping Program'!$H$9</f>
        <v>46561</v>
      </c>
      <c r="U187" s="25">
        <f>IFERROR(IF(J187*T187&lt;&gt;0,J187-T187,""),"")</f>
        <v>19</v>
      </c>
      <c r="V187" s="25" t="str">
        <f>IF(U187&lt;&gt;"",IF(U187&gt;28,"Too early",IF(U187&lt;14,"Too late","")),"")</f>
        <v/>
      </c>
      <c r="W187" s="35"/>
      <c r="X187" s="26">
        <f ca="1">IF(OFFSET(X187,1,0)="",R187,OFFSET(X187,1,0))</f>
        <v>46524</v>
      </c>
      <c r="Y187" s="26">
        <f ca="1">IF(OFFSET(Y187,1,0)="",X187+'Shipping Program'!$F$9,OFFSET(Y187,1,0))</f>
        <v>46554</v>
      </c>
      <c r="Z187" s="26">
        <f ca="1">IF(OFFSET(Z187,1,0)="",Y187+'Shipping Program'!$H$9,OFFSET(Z187,1,0))</f>
        <v>46561</v>
      </c>
      <c r="AA187" s="27">
        <f ca="1">IFERROR(IF(J187*Z187&lt;&gt;0,J187-Z187,""),"")</f>
        <v>19</v>
      </c>
      <c r="AB187" s="27" t="str">
        <f ca="1">IF(AA187&lt;&gt;"",IF(AA187&gt;28,"Too early",IF(AA187&lt;14,"Too late","")),"")</f>
        <v/>
      </c>
      <c r="AC187" s="46"/>
      <c r="AE187" s="80" t="s">
        <v>43</v>
      </c>
      <c r="AF187" s="80" t="s">
        <v>41</v>
      </c>
      <c r="AG187" s="80" t="s">
        <v>42</v>
      </c>
      <c r="AH187" s="80" t="str">
        <f>IF(AI187="","",AI187*AJ187*AK187/1000/1000/1000)</f>
        <v/>
      </c>
      <c r="AI187" s="80"/>
      <c r="AJ187" s="80"/>
      <c r="AK187" s="80"/>
    </row>
    <row r="188" spans="1:37" ht="20.100000000000001" customHeight="1">
      <c r="A188" s="33">
        <f ca="1">COUNTIF(J$3:OFFSET(J188,-1,0),"Subtotal:")+1</f>
        <v>12</v>
      </c>
      <c r="B188" s="23" t="str">
        <f ca="1">IF(OFFSET(B188,1,0)&lt;&gt;"",OFFSET(B188,1,0),"")</f>
        <v/>
      </c>
      <c r="C188" s="42"/>
      <c r="D188" s="59" t="s">
        <v>106</v>
      </c>
      <c r="E188" s="60" t="str">
        <f>LEFT(F188,3)</f>
        <v>#20</v>
      </c>
      <c r="F188" s="59" t="s">
        <v>307</v>
      </c>
      <c r="G188" s="59" t="s">
        <v>320</v>
      </c>
      <c r="H188" s="60"/>
      <c r="I188" s="24">
        <f>IF(J188&lt;&gt;"",J188 - ('Shipping Program'!$D$9 + 'Shipping Program'!$F$9 + 'Shipping Program'!$H$9), "")</f>
        <v>46536</v>
      </c>
      <c r="J188" s="43">
        <v>46583</v>
      </c>
      <c r="K188" s="44" t="str">
        <f>IF(SUM(M188:N188)=0,"",SUM(M188:N188))</f>
        <v/>
      </c>
      <c r="L188" s="44"/>
      <c r="M188" s="44"/>
      <c r="N188" s="54"/>
      <c r="O188" s="25">
        <f>VLOOKUP(I188,'Shipping Program'!$A$32:$B$78,2)-1</f>
        <v>12</v>
      </c>
      <c r="P188" s="44">
        <f>O188</f>
        <v>12</v>
      </c>
      <c r="Q188" s="24">
        <f>R188-7</f>
        <v>46517</v>
      </c>
      <c r="R188" s="24">
        <f>IFERROR(_xlfn.XLOOKUP(P188,'Shipping Program'!$B$32:$B$78,'Shipping Program'!$A$32:$A$78),IFERROR(INDEX(_V7Batches!$B:$B,MATCH(P188&amp;"",_V7Batches!$A:$A,0)),""))</f>
        <v>46524</v>
      </c>
      <c r="S188" s="24">
        <f>IFERROR(_xlfn.XLOOKUP(P188,'Shipping Program'!$B$32:$B$78,'Shipping Program'!$E$32:$E$78),IFERROR(INDEX(_V7Batches!$D:$D,MATCH(P188&amp;"",_V7Batches!$A:$A,0)),""))</f>
        <v>46554</v>
      </c>
      <c r="T188" s="24">
        <f>S188+'Shipping Program'!$H$9</f>
        <v>46561</v>
      </c>
      <c r="U188" s="25">
        <f>IFERROR(IF(J188*T188&lt;&gt;0,J188-T188,""),"")</f>
        <v>22</v>
      </c>
      <c r="V188" s="25" t="str">
        <f>IF(U188&lt;&gt;"",IF(U188&gt;28,"Too early",IF(U188&lt;14,"Too late","")),"")</f>
        <v/>
      </c>
      <c r="W188" s="35"/>
      <c r="X188" s="26">
        <f ca="1">IF(OFFSET(X188,1,0)="",R188,OFFSET(X188,1,0))</f>
        <v>46524</v>
      </c>
      <c r="Y188" s="26">
        <f ca="1">IF(OFFSET(Y188,1,0)="",X188+'Shipping Program'!$F$9,OFFSET(Y188,1,0))</f>
        <v>46554</v>
      </c>
      <c r="Z188" s="26">
        <f ca="1">IF(OFFSET(Z188,1,0)="",Y188+'Shipping Program'!$H$9,OFFSET(Z188,1,0))</f>
        <v>46561</v>
      </c>
      <c r="AA188" s="27">
        <f ca="1">IFERROR(IF(J188*Z188&lt;&gt;0,J188-Z188,""),"")</f>
        <v>22</v>
      </c>
      <c r="AB188" s="27" t="str">
        <f ca="1">IF(AA188&lt;&gt;"",IF(AA188&gt;28,"Too early",IF(AA188&lt;14,"Too late","")),"")</f>
        <v/>
      </c>
      <c r="AC188" s="46"/>
      <c r="AE188" s="80" t="s">
        <v>43</v>
      </c>
      <c r="AF188" s="80" t="s">
        <v>46</v>
      </c>
      <c r="AG188" s="80" t="s">
        <v>42</v>
      </c>
      <c r="AH188" s="80" t="str">
        <f>IF(AI188="","",AI188*AJ188*AK188/1000/1000/1000)</f>
        <v/>
      </c>
      <c r="AI188" s="80"/>
      <c r="AJ188" s="80"/>
      <c r="AK188" s="80"/>
    </row>
    <row r="189" spans="1:37" ht="20.100000000000001" customHeight="1">
      <c r="A189" s="33">
        <f ca="1">COUNTIF(J$3:OFFSET(J189,-1,0),"Subtotal:")+1</f>
        <v>12</v>
      </c>
      <c r="B189" s="23" t="str">
        <f ca="1">IF(OFFSET(B189,1,0)&lt;&gt;"",OFFSET(B189,1,0),"")</f>
        <v/>
      </c>
      <c r="C189" s="42"/>
      <c r="D189" s="59" t="s">
        <v>105</v>
      </c>
      <c r="E189" s="60" t="str">
        <f>LEFT(F189,3)</f>
        <v>#20</v>
      </c>
      <c r="F189" s="59" t="s">
        <v>309</v>
      </c>
      <c r="G189" s="59" t="s">
        <v>320</v>
      </c>
      <c r="H189" s="60"/>
      <c r="I189" s="24">
        <f>IF(J189&lt;&gt;"",J189 - ('Shipping Program'!$D$9 + 'Shipping Program'!$F$9 + 'Shipping Program'!$H$9), "")</f>
        <v>46535</v>
      </c>
      <c r="J189" s="43">
        <v>46582</v>
      </c>
      <c r="K189" s="44" t="str">
        <f>IF(SUM(M189:N189)=0,"",SUM(M189:N189))</f>
        <v/>
      </c>
      <c r="L189" s="44"/>
      <c r="M189" s="44"/>
      <c r="N189" s="54"/>
      <c r="O189" s="25">
        <f>VLOOKUP(I189,'Shipping Program'!$A$32:$B$78,2)-1</f>
        <v>12</v>
      </c>
      <c r="P189" s="44">
        <f>O189</f>
        <v>12</v>
      </c>
      <c r="Q189" s="24">
        <f>R189-7</f>
        <v>46517</v>
      </c>
      <c r="R189" s="24">
        <f>IFERROR(_xlfn.XLOOKUP(P189,'Shipping Program'!$B$32:$B$78,'Shipping Program'!$A$32:$A$78),IFERROR(INDEX(_V7Batches!$B:$B,MATCH(P189&amp;"",_V7Batches!$A:$A,0)),""))</f>
        <v>46524</v>
      </c>
      <c r="S189" s="24">
        <f>IFERROR(_xlfn.XLOOKUP(P189,'Shipping Program'!$B$32:$B$78,'Shipping Program'!$E$32:$E$78),IFERROR(INDEX(_V7Batches!$D:$D,MATCH(P189&amp;"",_V7Batches!$A:$A,0)),""))</f>
        <v>46554</v>
      </c>
      <c r="T189" s="24">
        <f>S189+'Shipping Program'!$H$9</f>
        <v>46561</v>
      </c>
      <c r="U189" s="25">
        <f>IFERROR(IF(J189*T189&lt;&gt;0,J189-T189,""),"")</f>
        <v>21</v>
      </c>
      <c r="V189" s="25" t="str">
        <f>IF(U189&lt;&gt;"",IF(U189&gt;28,"Too early",IF(U189&lt;14,"Too late","")),"")</f>
        <v/>
      </c>
      <c r="W189" s="35"/>
      <c r="X189" s="26">
        <f ca="1">IF(OFFSET(X189,1,0)="",R189,OFFSET(X189,1,0))</f>
        <v>46524</v>
      </c>
      <c r="Y189" s="26">
        <f ca="1">IF(OFFSET(Y189,1,0)="",X189+'Shipping Program'!$F$9,OFFSET(Y189,1,0))</f>
        <v>46554</v>
      </c>
      <c r="Z189" s="26">
        <f ca="1">IF(OFFSET(Z189,1,0)="",Y189+'Shipping Program'!$H$9,OFFSET(Z189,1,0))</f>
        <v>46561</v>
      </c>
      <c r="AA189" s="27">
        <f ca="1">IFERROR(IF(J189*Z189&lt;&gt;0,J189-Z189,""),"")</f>
        <v>21</v>
      </c>
      <c r="AB189" s="27" t="str">
        <f ca="1">IF(AA189&lt;&gt;"",IF(AA189&gt;28,"Too early",IF(AA189&lt;14,"Too late","")),"")</f>
        <v/>
      </c>
      <c r="AC189" s="46"/>
      <c r="AE189" s="80" t="s">
        <v>43</v>
      </c>
      <c r="AF189" s="80" t="s">
        <v>41</v>
      </c>
      <c r="AG189" s="80" t="s">
        <v>42</v>
      </c>
      <c r="AH189" s="80" t="str">
        <f>IF(AI189="","",AI189*AJ189*AK189/1000/1000/1000)</f>
        <v/>
      </c>
      <c r="AI189" s="80"/>
      <c r="AJ189" s="80"/>
      <c r="AK189" s="80"/>
    </row>
    <row r="190" spans="1:37" ht="20.100000000000001" customHeight="1" outlineLevel="1">
      <c r="A190" s="33">
        <f ca="1">COUNTIF(J$3:OFFSET(J190,-1,0),"Subtotal:")+1</f>
        <v>12</v>
      </c>
      <c r="B190" s="23" t="str">
        <f ca="1">IF(OFFSET(B190,1,0)&lt;&gt;"",OFFSET(B190,1,0),"")</f>
        <v/>
      </c>
      <c r="C190" s="42"/>
      <c r="D190" s="59" t="s">
        <v>106</v>
      </c>
      <c r="E190" s="60" t="str">
        <f>LEFT(F190,3)</f>
        <v>#20</v>
      </c>
      <c r="F190" s="59" t="s">
        <v>310</v>
      </c>
      <c r="G190" s="59" t="s">
        <v>320</v>
      </c>
      <c r="H190" s="60"/>
      <c r="I190" s="24">
        <f>IF(J190&lt;&gt;"",J190 - ('Shipping Program'!$D$9 + 'Shipping Program'!$F$9 + 'Shipping Program'!$H$9), "")</f>
        <v>46533</v>
      </c>
      <c r="J190" s="43">
        <v>46580</v>
      </c>
      <c r="K190" s="44" t="str">
        <f>IF(SUM(M190:N190)=0,"",SUM(M190:N190))</f>
        <v/>
      </c>
      <c r="L190" s="44"/>
      <c r="M190" s="44"/>
      <c r="N190" s="54"/>
      <c r="O190" s="25">
        <f>VLOOKUP(I190,'Shipping Program'!$A$32:$B$78,2)-1</f>
        <v>12</v>
      </c>
      <c r="P190" s="44">
        <f>O190</f>
        <v>12</v>
      </c>
      <c r="Q190" s="24">
        <f>R190-7</f>
        <v>46517</v>
      </c>
      <c r="R190" s="24">
        <f>IFERROR(_xlfn.XLOOKUP(P190,'Shipping Program'!$B$32:$B$78,'Shipping Program'!$A$32:$A$78),IFERROR(INDEX(_V7Batches!$B:$B,MATCH(P190&amp;"",_V7Batches!$A:$A,0)),""))</f>
        <v>46524</v>
      </c>
      <c r="S190" s="24">
        <f>IFERROR(_xlfn.XLOOKUP(P190,'Shipping Program'!$B$32:$B$78,'Shipping Program'!$E$32:$E$78),IFERROR(INDEX(_V7Batches!$D:$D,MATCH(P190&amp;"",_V7Batches!$A:$A,0)),""))</f>
        <v>46554</v>
      </c>
      <c r="T190" s="24">
        <f>S190+'Shipping Program'!$H$9</f>
        <v>46561</v>
      </c>
      <c r="U190" s="25">
        <f>IFERROR(IF(J190*T190&lt;&gt;0,J190-T190,""),"")</f>
        <v>19</v>
      </c>
      <c r="V190" s="25" t="str">
        <f>IF(U190&lt;&gt;"",IF(U190&gt;28,"Too early",IF(U190&lt;14,"Too late","")),"")</f>
        <v/>
      </c>
      <c r="W190" s="35"/>
      <c r="X190" s="26">
        <f ca="1">IF(OFFSET(X190,1,0)="",R190,OFFSET(X190,1,0))</f>
        <v>46524</v>
      </c>
      <c r="Y190" s="26">
        <f ca="1">IF(OFFSET(Y190,1,0)="",X190+'Shipping Program'!$F$9,OFFSET(Y190,1,0))</f>
        <v>46554</v>
      </c>
      <c r="Z190" s="26">
        <f ca="1">IF(OFFSET(Z190,1,0)="",Y190+'Shipping Program'!$H$9,OFFSET(Z190,1,0))</f>
        <v>46561</v>
      </c>
      <c r="AA190" s="27">
        <f ca="1">IFERROR(IF(J190*Z190&lt;&gt;0,J190-Z190,""),"")</f>
        <v>19</v>
      </c>
      <c r="AB190" s="27" t="str">
        <f ca="1">IF(AA190&lt;&gt;"",IF(AA190&gt;28,"Too early",IF(AA190&lt;14,"Too late","")),"")</f>
        <v/>
      </c>
      <c r="AC190" s="46"/>
      <c r="AE190" s="80" t="s">
        <v>43</v>
      </c>
      <c r="AF190" s="80" t="s">
        <v>41</v>
      </c>
      <c r="AG190" s="80" t="s">
        <v>42</v>
      </c>
      <c r="AH190" s="80" t="str">
        <f>IF(AI190="","",AI190*AJ190*AK190/1000/1000/1000)</f>
        <v/>
      </c>
      <c r="AI190" s="80"/>
      <c r="AJ190" s="80"/>
      <c r="AK190" s="80"/>
    </row>
    <row r="191" spans="1:37" ht="20.100000000000001" customHeight="1">
      <c r="A191" s="33">
        <f ca="1">COUNTIF(J$3:OFFSET(J191,-1,0),"Subtotal:")+1</f>
        <v>12</v>
      </c>
      <c r="B191" s="23" t="str">
        <f ca="1">IF(OFFSET(B191,1,0)&lt;&gt;"",OFFSET(B191,1,0),"")</f>
        <v/>
      </c>
      <c r="C191" s="42"/>
      <c r="D191" s="59" t="s">
        <v>106</v>
      </c>
      <c r="E191" s="60" t="str">
        <f>LEFT(F191,3)</f>
        <v>#20</v>
      </c>
      <c r="F191" s="59" t="s">
        <v>315</v>
      </c>
      <c r="G191" s="59" t="s">
        <v>320</v>
      </c>
      <c r="H191" s="60"/>
      <c r="I191" s="24">
        <f>IF(J191&lt;&gt;"",J191 - ('Shipping Program'!$D$9 + 'Shipping Program'!$F$9 + 'Shipping Program'!$H$9), "")</f>
        <v>46533</v>
      </c>
      <c r="J191" s="43">
        <v>46580</v>
      </c>
      <c r="K191" s="44" t="str">
        <f>IF(SUM(M191:N191)=0,"",SUM(M191:N191))</f>
        <v/>
      </c>
      <c r="L191" s="44"/>
      <c r="M191" s="44"/>
      <c r="N191" s="54"/>
      <c r="O191" s="25">
        <f>VLOOKUP(I191,'Shipping Program'!$A$32:$B$78,2)-1</f>
        <v>12</v>
      </c>
      <c r="P191" s="44">
        <f>O191</f>
        <v>12</v>
      </c>
      <c r="Q191" s="24">
        <f>R191-7</f>
        <v>46517</v>
      </c>
      <c r="R191" s="24">
        <f>IFERROR(_xlfn.XLOOKUP(P191,'Shipping Program'!$B$32:$B$78,'Shipping Program'!$A$32:$A$78),IFERROR(INDEX(_V7Batches!$B:$B,MATCH(P191&amp;"",_V7Batches!$A:$A,0)),""))</f>
        <v>46524</v>
      </c>
      <c r="S191" s="24">
        <f>IFERROR(_xlfn.XLOOKUP(P191,'Shipping Program'!$B$32:$B$78,'Shipping Program'!$E$32:$E$78),IFERROR(INDEX(_V7Batches!$D:$D,MATCH(P191&amp;"",_V7Batches!$A:$A,0)),""))</f>
        <v>46554</v>
      </c>
      <c r="T191" s="24">
        <f>S191+'Shipping Program'!$H$9</f>
        <v>46561</v>
      </c>
      <c r="U191" s="25">
        <f>IFERROR(IF(J191*T191&lt;&gt;0,J191-T191,""),"")</f>
        <v>19</v>
      </c>
      <c r="V191" s="25" t="str">
        <f>IF(U191&lt;&gt;"",IF(U191&gt;28,"Too early",IF(U191&lt;14,"Too late","")),"")</f>
        <v/>
      </c>
      <c r="W191" s="35"/>
      <c r="X191" s="26">
        <f ca="1">IF(OFFSET(X191,1,0)="",R191,OFFSET(X191,1,0))</f>
        <v>46524</v>
      </c>
      <c r="Y191" s="26">
        <f ca="1">IF(OFFSET(Y191,1,0)="",X191+'Shipping Program'!$F$9,OFFSET(Y191,1,0))</f>
        <v>46554</v>
      </c>
      <c r="Z191" s="26">
        <f ca="1">IF(OFFSET(Z191,1,0)="",Y191+'Shipping Program'!$H$9,OFFSET(Z191,1,0))</f>
        <v>46561</v>
      </c>
      <c r="AA191" s="27">
        <f ca="1">IFERROR(IF(J191*Z191&lt;&gt;0,J191-Z191,""),"")</f>
        <v>19</v>
      </c>
      <c r="AB191" s="27" t="str">
        <f ca="1">IF(AA191&lt;&gt;"",IF(AA191&gt;28,"Too early",IF(AA191&lt;14,"Too late","")),"")</f>
        <v/>
      </c>
      <c r="AC191" s="46"/>
      <c r="AE191" s="80" t="s">
        <v>43</v>
      </c>
      <c r="AF191" s="80" t="s">
        <v>46</v>
      </c>
      <c r="AG191" s="80" t="s">
        <v>42</v>
      </c>
      <c r="AH191" s="80" t="str">
        <f>IF(AI191="","",AI191*AJ191*AK191/1000/1000/1000)</f>
        <v/>
      </c>
      <c r="AI191" s="80"/>
      <c r="AJ191" s="80"/>
      <c r="AK191" s="80"/>
    </row>
    <row r="192" spans="1:37" ht="20.100000000000001" customHeight="1">
      <c r="A192" s="34">
        <f ca="1">COUNTIF(J$3:OFFSET(J192,-1,0),"Subtotal:")+1</f>
        <v>12</v>
      </c>
      <c r="B192" s="47"/>
      <c r="C192" s="48"/>
      <c r="D192" s="73"/>
      <c r="E192" s="49"/>
      <c r="F192" s="74"/>
      <c r="G192" s="74"/>
      <c r="H192" s="49"/>
      <c r="I192" s="49"/>
      <c r="J192" s="49" t="s">
        <v>6424</v>
      </c>
      <c r="K192" s="28">
        <f ca="1">SUMIF(A$3:OFFSET(A192,-1,0),A192,K$3:OFFSET(K192,-1,0))</f>
        <v>0</v>
      </c>
      <c r="L192" s="28">
        <f ca="1">SUMIF(A$3:OFFSET(A192,-1,0),A192,L$3:OFFSET(L192,-1,0))</f>
        <v>0</v>
      </c>
      <c r="M192" s="28"/>
      <c r="N192" s="55"/>
      <c r="O192" s="49"/>
      <c r="P192" s="49"/>
      <c r="Q192" s="29">
        <f ca="1">R192-7</f>
        <v>46517</v>
      </c>
      <c r="R192" s="29">
        <f ca="1">IF(J192="Subtotal:",OFFSET(R192,-1,0),"")</f>
        <v>46524</v>
      </c>
      <c r="S192" s="29">
        <f ca="1">IF(J192="Subtotal:",OFFSET(S192,-1,0),"")</f>
        <v>46554</v>
      </c>
      <c r="T192" s="29">
        <f ca="1">IF(J192="Subtotal:",OFFSET(T192,-1,0),"")</f>
        <v>46561</v>
      </c>
      <c r="U192" s="30" t="str">
        <f ca="1">IFERROR(IF(J192*T192&lt;&gt;0,J192-T192,""),"")</f>
        <v/>
      </c>
      <c r="V192" s="31" t="str">
        <f ca="1">IF(U192&lt;&gt;"",IF(U192&gt;28,"Too early",IF(U192&lt;14,"Too late","")),"")</f>
        <v/>
      </c>
      <c r="W192" s="28">
        <f ca="1">(SUMIFS($K:$K,$J:$J,"&lt;&gt;Subtotal:",$J:$J,"&gt;"&amp;S192,$S:$S,"&lt;="&amp;S192))*24*1.3+(SUMIFS($L:$L,$J:$J,"&lt;&gt;Subtotal:",$J:$J,"&gt;"&amp;S192,$S:$S,"&lt;="&amp;S192))/3*1.3</f>
        <v>0</v>
      </c>
      <c r="X192" s="50"/>
      <c r="Y192" s="50"/>
      <c r="Z192" s="50"/>
      <c r="AA192" s="30" t="str">
        <f>IFERROR(IF(J192*Z192&lt;&gt;0,J192-Z192,""),"")</f>
        <v/>
      </c>
      <c r="AB192" s="31" t="str">
        <f>IF(AA192&lt;&gt;"",IF(AA192&gt;28,"Too early",IF(AA192&lt;14,"Too late","")),"")</f>
        <v/>
      </c>
      <c r="AC192" s="32">
        <f>(SUMIFS($K:$K,$J:$J,"&lt;&gt;Subtotal:",$J:$J,"&gt;"&amp;Y192,$Y:$Y,"&lt;="&amp;Y192))*24*1.3+(SUMIFS($L:$L,$J:$J,"&lt;&gt;Subtotal:",$J:$J,"&gt;"&amp;Y192,$Y:$Y,"&lt;="&amp;Y192))/3*1.3</f>
        <v>0</v>
      </c>
      <c r="AD192" s="58"/>
      <c r="AE192" s="78"/>
      <c r="AF192" s="78"/>
      <c r="AG192" s="78"/>
      <c r="AH192" s="78"/>
      <c r="AI192" s="78"/>
      <c r="AJ192" s="78"/>
      <c r="AK192" s="78"/>
    </row>
    <row r="193" spans="1:37" ht="20.100000000000001" customHeight="1">
      <c r="A193" s="33">
        <f ca="1">COUNTIF(J$3:OFFSET(J193,-1,0),"Subtotal:")+1</f>
        <v>13</v>
      </c>
      <c r="B193" s="23" t="str">
        <f ca="1">IF(OFFSET(B193,1,0)&lt;&gt;"",OFFSET(B193,1,0),"")</f>
        <v/>
      </c>
      <c r="C193" s="42"/>
      <c r="D193" s="59" t="s">
        <v>65</v>
      </c>
      <c r="E193" s="60" t="str">
        <f>LEFT(F193,3)</f>
        <v>#04</v>
      </c>
      <c r="F193" s="59" t="s">
        <v>222</v>
      </c>
      <c r="G193" s="59" t="s">
        <v>185</v>
      </c>
      <c r="H193" s="60"/>
      <c r="I193" s="24">
        <f>IF(J193&lt;&gt;"",J193 - ('Shipping Program'!$D$9 + 'Shipping Program'!$F$9 + 'Shipping Program'!$H$9), "")</f>
        <v>46543</v>
      </c>
      <c r="J193" s="43">
        <v>46590</v>
      </c>
      <c r="K193" s="44" t="str">
        <f>IF(SUM(M193:N193)=0,"",SUM(M193:N193))</f>
        <v/>
      </c>
      <c r="L193" s="44"/>
      <c r="M193" s="44"/>
      <c r="N193" s="54"/>
      <c r="O193" s="25">
        <f>VLOOKUP(I193,'Shipping Program'!$A$32:$B$78,2)-1</f>
        <v>13</v>
      </c>
      <c r="P193" s="44">
        <f>O193</f>
        <v>13</v>
      </c>
      <c r="Q193" s="24">
        <f>R193-7</f>
        <v>46524</v>
      </c>
      <c r="R193" s="24">
        <f>IFERROR(_xlfn.XLOOKUP(P193,'Shipping Program'!$B$32:$B$78,'Shipping Program'!$A$32:$A$78),IFERROR(INDEX(_V7Batches!$B:$B,MATCH(P193&amp;"",_V7Batches!$A:$A,0)),""))</f>
        <v>46531</v>
      </c>
      <c r="S193" s="24">
        <f>IFERROR(_xlfn.XLOOKUP(P193,'Shipping Program'!$B$32:$B$78,'Shipping Program'!$E$32:$E$78),IFERROR(INDEX(_V7Batches!$D:$D,MATCH(P193&amp;"",_V7Batches!$A:$A,0)),""))</f>
        <v>46561</v>
      </c>
      <c r="T193" s="24">
        <f>S193+'Shipping Program'!$H$9</f>
        <v>46568</v>
      </c>
      <c r="U193" s="25">
        <f>IFERROR(IF(J193*T193&lt;&gt;0,J193-T193,""),"")</f>
        <v>22</v>
      </c>
      <c r="V193" s="25" t="str">
        <f>IF(U193&lt;&gt;"",IF(U193&gt;28,"Too early",IF(U193&lt;14,"Too late","")),"")</f>
        <v/>
      </c>
      <c r="W193" s="35"/>
      <c r="X193" s="26">
        <f ca="1">IF(OFFSET(X193,1,0)="",R193,OFFSET(X193,1,0))</f>
        <v>46531</v>
      </c>
      <c r="Y193" s="26">
        <f ca="1">IF(OFFSET(Y193,1,0)="",X193+'Shipping Program'!$F$9,OFFSET(Y193,1,0))</f>
        <v>46561</v>
      </c>
      <c r="Z193" s="26">
        <f ca="1">IF(OFFSET(Z193,1,0)="",Y193+'Shipping Program'!$H$9,OFFSET(Z193,1,0))</f>
        <v>46568</v>
      </c>
      <c r="AA193" s="27">
        <f ca="1">IFERROR(IF(J193*Z193&lt;&gt;0,J193-Z193,""),"")</f>
        <v>22</v>
      </c>
      <c r="AB193" s="27" t="str">
        <f ca="1">IF(AA193&lt;&gt;"",IF(AA193&gt;28,"Too early",IF(AA193&lt;14,"Too late","")),"")</f>
        <v/>
      </c>
      <c r="AC193" s="46"/>
      <c r="AE193" s="80" t="s">
        <v>54</v>
      </c>
      <c r="AF193" s="80"/>
      <c r="AG193" s="80"/>
      <c r="AH193" s="80" t="str">
        <f>IF(AI193="","",AI193*AJ193*AK193/1000/1000/1000)</f>
        <v/>
      </c>
      <c r="AI193" s="80"/>
      <c r="AJ193" s="80"/>
      <c r="AK193" s="80"/>
    </row>
    <row r="194" spans="1:37" ht="20.100000000000001" customHeight="1">
      <c r="A194" s="33">
        <f ca="1">COUNTIF(J$3:OFFSET(J194,-1,0),"Subtotal:")+1</f>
        <v>13</v>
      </c>
      <c r="B194" s="23" t="str">
        <f ca="1">IF(OFFSET(B194,1,0)&lt;&gt;"",OFFSET(B194,1,0),"")</f>
        <v/>
      </c>
      <c r="C194" s="42"/>
      <c r="D194" s="59" t="s">
        <v>70</v>
      </c>
      <c r="E194" s="60" t="str">
        <f>LEFT(F194,3)</f>
        <v>#01</v>
      </c>
      <c r="F194" s="59" t="s">
        <v>176</v>
      </c>
      <c r="G194" s="59" t="s">
        <v>191</v>
      </c>
      <c r="H194" s="60"/>
      <c r="I194" s="24">
        <f>IF(J194&lt;&gt;"",J194 - ('Shipping Program'!$D$9 + 'Shipping Program'!$F$9 + 'Shipping Program'!$H$9), "")</f>
        <v>46544</v>
      </c>
      <c r="J194" s="43">
        <v>46591</v>
      </c>
      <c r="K194" s="44" t="str">
        <f>IF(SUM(M194:N194)=0,"",SUM(M194:N194))</f>
        <v/>
      </c>
      <c r="L194" s="44"/>
      <c r="M194" s="44"/>
      <c r="N194" s="54"/>
      <c r="O194" s="25">
        <f>VLOOKUP(I194,'Shipping Program'!$A$32:$B$78,2)-1</f>
        <v>13</v>
      </c>
      <c r="P194" s="44">
        <f>O194</f>
        <v>13</v>
      </c>
      <c r="Q194" s="24">
        <f>R194-7</f>
        <v>46524</v>
      </c>
      <c r="R194" s="24">
        <f>IFERROR(_xlfn.XLOOKUP(P194,'Shipping Program'!$B$32:$B$78,'Shipping Program'!$A$32:$A$78),IFERROR(INDEX(_V7Batches!$B:$B,MATCH(P194&amp;"",_V7Batches!$A:$A,0)),""))</f>
        <v>46531</v>
      </c>
      <c r="S194" s="24">
        <f>IFERROR(_xlfn.XLOOKUP(P194,'Shipping Program'!$B$32:$B$78,'Shipping Program'!$E$32:$E$78),IFERROR(INDEX(_V7Batches!$D:$D,MATCH(P194&amp;"",_V7Batches!$A:$A,0)),""))</f>
        <v>46561</v>
      </c>
      <c r="T194" s="24">
        <f>S194+'Shipping Program'!$H$9</f>
        <v>46568</v>
      </c>
      <c r="U194" s="25">
        <f>IFERROR(IF(J194*T194&lt;&gt;0,J194-T194,""),"")</f>
        <v>23</v>
      </c>
      <c r="V194" s="25" t="str">
        <f>IF(U194&lt;&gt;"",IF(U194&gt;28,"Too early",IF(U194&lt;14,"Too late","")),"")</f>
        <v/>
      </c>
      <c r="W194" s="35"/>
      <c r="X194" s="26">
        <f ca="1">IF(OFFSET(X194,1,0)="",R194,OFFSET(X194,1,0))</f>
        <v>46531</v>
      </c>
      <c r="Y194" s="26">
        <f ca="1">IF(OFFSET(Y194,1,0)="",X194+'Shipping Program'!$F$9,OFFSET(Y194,1,0))</f>
        <v>46561</v>
      </c>
      <c r="Z194" s="26">
        <f ca="1">IF(OFFSET(Z194,1,0)="",Y194+'Shipping Program'!$H$9,OFFSET(Z194,1,0))</f>
        <v>46568</v>
      </c>
      <c r="AA194" s="27">
        <f ca="1">IFERROR(IF(J194*Z194&lt;&gt;0,J194-Z194,""),"")</f>
        <v>23</v>
      </c>
      <c r="AB194" s="27" t="str">
        <f ca="1">IF(AA194&lt;&gt;"",IF(AA194&gt;28,"Too early",IF(AA194&lt;14,"Too late","")),"")</f>
        <v/>
      </c>
      <c r="AC194" s="46"/>
      <c r="AE194" s="80" t="s">
        <v>43</v>
      </c>
      <c r="AF194" s="80" t="s">
        <v>41</v>
      </c>
      <c r="AG194" s="80" t="s">
        <v>63</v>
      </c>
      <c r="AH194" s="80" t="str">
        <f>IF(AI194="","",AI194*AJ194*AK194/1000/1000/1000)</f>
        <v/>
      </c>
      <c r="AI194" s="80"/>
      <c r="AJ194" s="80"/>
      <c r="AK194" s="80"/>
    </row>
    <row r="195" spans="1:37" ht="20.100000000000001" customHeight="1">
      <c r="A195" s="33">
        <f ca="1">COUNTIF(J$3:OFFSET(J195,-1,0),"Subtotal:")+1</f>
        <v>13</v>
      </c>
      <c r="B195" s="23" t="str">
        <f ca="1">IF(OFFSET(B195,1,0)&lt;&gt;"",OFFSET(B195,1,0),"")</f>
        <v/>
      </c>
      <c r="C195" s="42"/>
      <c r="D195" s="59" t="s">
        <v>72</v>
      </c>
      <c r="E195" s="60" t="str">
        <f>LEFT(F195,3)</f>
        <v>#01</v>
      </c>
      <c r="F195" s="59" t="s">
        <v>174</v>
      </c>
      <c r="G195" s="59" t="s">
        <v>73</v>
      </c>
      <c r="H195" s="60"/>
      <c r="I195" s="24">
        <f>IF(J195&lt;&gt;"",J195 - ('Shipping Program'!$D$9 + 'Shipping Program'!$F$9 + 'Shipping Program'!$H$9), "")</f>
        <v>46538</v>
      </c>
      <c r="J195" s="43">
        <v>46585</v>
      </c>
      <c r="K195" s="44" t="str">
        <f>IF(SUM(M195:N195)=0,"",SUM(M195:N195))</f>
        <v/>
      </c>
      <c r="L195" s="44"/>
      <c r="M195" s="44"/>
      <c r="N195" s="54"/>
      <c r="O195" s="25">
        <f>VLOOKUP(I195,'Shipping Program'!$A$32:$B$78,2)-1</f>
        <v>13</v>
      </c>
      <c r="P195" s="44">
        <f>O195</f>
        <v>13</v>
      </c>
      <c r="Q195" s="24">
        <f>R195-7</f>
        <v>46524</v>
      </c>
      <c r="R195" s="24">
        <f>IFERROR(_xlfn.XLOOKUP(P195,'Shipping Program'!$B$32:$B$78,'Shipping Program'!$A$32:$A$78),IFERROR(INDEX(_V7Batches!$B:$B,MATCH(P195&amp;"",_V7Batches!$A:$A,0)),""))</f>
        <v>46531</v>
      </c>
      <c r="S195" s="24">
        <f>IFERROR(_xlfn.XLOOKUP(P195,'Shipping Program'!$B$32:$B$78,'Shipping Program'!$E$32:$E$78),IFERROR(INDEX(_V7Batches!$D:$D,MATCH(P195&amp;"",_V7Batches!$A:$A,0)),""))</f>
        <v>46561</v>
      </c>
      <c r="T195" s="24">
        <f>S195+'Shipping Program'!$H$9</f>
        <v>46568</v>
      </c>
      <c r="U195" s="25">
        <f>IFERROR(IF(J195*T195&lt;&gt;0,J195-T195,""),"")</f>
        <v>17</v>
      </c>
      <c r="V195" s="25" t="str">
        <f>IF(U195&lt;&gt;"",IF(U195&gt;28,"Too early",IF(U195&lt;14,"Too late","")),"")</f>
        <v/>
      </c>
      <c r="W195" s="35"/>
      <c r="X195" s="26">
        <f ca="1">IF(OFFSET(X195,1,0)="",R195,OFFSET(X195,1,0))</f>
        <v>46531</v>
      </c>
      <c r="Y195" s="26">
        <f ca="1">IF(OFFSET(Y195,1,0)="",X195+'Shipping Program'!$F$9,OFFSET(Y195,1,0))</f>
        <v>46561</v>
      </c>
      <c r="Z195" s="26">
        <f ca="1">IF(OFFSET(Z195,1,0)="",Y195+'Shipping Program'!$H$9,OFFSET(Z195,1,0))</f>
        <v>46568</v>
      </c>
      <c r="AA195" s="27">
        <f ca="1">IFERROR(IF(J195*Z195&lt;&gt;0,J195-Z195,""),"")</f>
        <v>17</v>
      </c>
      <c r="AB195" s="27" t="str">
        <f ca="1">IF(AA195&lt;&gt;"",IF(AA195&gt;28,"Too early",IF(AA195&lt;14,"Too late","")),"")</f>
        <v/>
      </c>
      <c r="AC195" s="46"/>
      <c r="AE195" s="80" t="s">
        <v>43</v>
      </c>
      <c r="AF195" s="80" t="s">
        <v>46</v>
      </c>
      <c r="AG195" s="80" t="s">
        <v>42</v>
      </c>
      <c r="AH195" s="80" t="str">
        <f>IF(AI195="","",AI195*AJ195*AK195/1000/1000/1000)</f>
        <v/>
      </c>
      <c r="AI195" s="80"/>
      <c r="AJ195" s="80"/>
      <c r="AK195" s="80"/>
    </row>
    <row r="196" spans="1:37" ht="20.100000000000001" customHeight="1">
      <c r="A196" s="33">
        <f ca="1">COUNTIF(J$3:OFFSET(J196,-1,0),"Subtotal:")+1</f>
        <v>13</v>
      </c>
      <c r="B196" s="23" t="str">
        <f ca="1">IF(OFFSET(B196,1,0)&lt;&gt;"",OFFSET(B196,1,0),"")</f>
        <v/>
      </c>
      <c r="C196" s="42"/>
      <c r="D196" s="59" t="s">
        <v>77</v>
      </c>
      <c r="E196" s="60" t="str">
        <f>LEFT(F196,3)</f>
        <v>#11</v>
      </c>
      <c r="F196" s="59" t="s">
        <v>233</v>
      </c>
      <c r="G196" s="59" t="s">
        <v>239</v>
      </c>
      <c r="H196" s="60" t="s">
        <v>1</v>
      </c>
      <c r="I196" s="24">
        <f>IF(J196&lt;&gt;"",J196 - ('Shipping Program'!$D$9 + 'Shipping Program'!$F$9 + 'Shipping Program'!$H$9), "")</f>
        <v>46544</v>
      </c>
      <c r="J196" s="43">
        <v>46591</v>
      </c>
      <c r="K196" s="44" t="str">
        <f>IF(SUM(M196:N196)=0,"",SUM(M196:N196))</f>
        <v/>
      </c>
      <c r="L196" s="44"/>
      <c r="M196" s="44"/>
      <c r="N196" s="54"/>
      <c r="O196" s="25">
        <f>VLOOKUP(I196,'Shipping Program'!$A$32:$B$78,2)-1</f>
        <v>13</v>
      </c>
      <c r="P196" s="44">
        <f>O196</f>
        <v>13</v>
      </c>
      <c r="Q196" s="24">
        <f>R196-7</f>
        <v>46524</v>
      </c>
      <c r="R196" s="24">
        <f>IFERROR(_xlfn.XLOOKUP(P196,'Shipping Program'!$B$32:$B$78,'Shipping Program'!$A$32:$A$78),IFERROR(INDEX(_V7Batches!$B:$B,MATCH(P196&amp;"",_V7Batches!$A:$A,0)),""))</f>
        <v>46531</v>
      </c>
      <c r="S196" s="24">
        <f>IFERROR(_xlfn.XLOOKUP(P196,'Shipping Program'!$B$32:$B$78,'Shipping Program'!$E$32:$E$78),IFERROR(INDEX(_V7Batches!$D:$D,MATCH(P196&amp;"",_V7Batches!$A:$A,0)),""))</f>
        <v>46561</v>
      </c>
      <c r="T196" s="24">
        <f>S196+'Shipping Program'!$H$9</f>
        <v>46568</v>
      </c>
      <c r="U196" s="25">
        <f>IFERROR(IF(J196*T196&lt;&gt;0,J196-T196,""),"")</f>
        <v>23</v>
      </c>
      <c r="V196" s="25" t="str">
        <f>IF(U196&lt;&gt;"",IF(U196&gt;28,"Too early",IF(U196&lt;14,"Too late","")),"")</f>
        <v/>
      </c>
      <c r="W196" s="35"/>
      <c r="X196" s="26">
        <f ca="1">IF(OFFSET(X196,1,0)="",R196,OFFSET(X196,1,0))</f>
        <v>46531</v>
      </c>
      <c r="Y196" s="26">
        <f ca="1">IF(OFFSET(Y196,1,0)="",X196+'Shipping Program'!$F$9,OFFSET(Y196,1,0))</f>
        <v>46561</v>
      </c>
      <c r="Z196" s="26">
        <f ca="1">IF(OFFSET(Z196,1,0)="",Y196+'Shipping Program'!$H$9,OFFSET(Z196,1,0))</f>
        <v>46568</v>
      </c>
      <c r="AA196" s="27">
        <f ca="1">IFERROR(IF(J196*Z196&lt;&gt;0,J196-Z196,""),"")</f>
        <v>23</v>
      </c>
      <c r="AB196" s="27" t="str">
        <f ca="1">IF(AA196&lt;&gt;"",IF(AA196&gt;28,"Too early",IF(AA196&lt;14,"Too late","")),"")</f>
        <v/>
      </c>
      <c r="AC196" s="46"/>
      <c r="AE196" s="80" t="s">
        <v>43</v>
      </c>
      <c r="AF196" s="80" t="s">
        <v>46</v>
      </c>
      <c r="AG196" s="80" t="s">
        <v>63</v>
      </c>
      <c r="AH196" s="80" t="str">
        <f>IF(AI196="","",AI196*AJ196*AK196/1000/1000/1000)</f>
        <v/>
      </c>
      <c r="AI196" s="80"/>
      <c r="AJ196" s="80"/>
      <c r="AK196" s="80"/>
    </row>
    <row r="197" spans="1:37" ht="20.100000000000001" customHeight="1">
      <c r="A197" s="33">
        <f ca="1">COUNTIF(J$3:OFFSET(J197,-1,0),"Subtotal:")+1</f>
        <v>13</v>
      </c>
      <c r="B197" s="23" t="str">
        <f ca="1">IF(OFFSET(B197,1,0)&lt;&gt;"",OFFSET(B197,1,0),"")</f>
        <v/>
      </c>
      <c r="C197" s="42"/>
      <c r="D197" s="59" t="s">
        <v>78</v>
      </c>
      <c r="E197" s="60" t="str">
        <f>LEFT(F197,3)</f>
        <v>#13</v>
      </c>
      <c r="F197" s="59" t="s">
        <v>236</v>
      </c>
      <c r="G197" s="59" t="s">
        <v>183</v>
      </c>
      <c r="H197" s="60" t="s">
        <v>242</v>
      </c>
      <c r="I197" s="24">
        <f>IF(J197&lt;&gt;"",J197 - ('Shipping Program'!$D$9 + 'Shipping Program'!$F$9 + 'Shipping Program'!$H$9), "")</f>
        <v>46540</v>
      </c>
      <c r="J197" s="43">
        <v>46587</v>
      </c>
      <c r="K197" s="44" t="str">
        <f>IF(SUM(M197:N197)=0,"",SUM(M197:N197))</f>
        <v/>
      </c>
      <c r="L197" s="44"/>
      <c r="M197" s="44"/>
      <c r="N197" s="54"/>
      <c r="O197" s="25">
        <f>VLOOKUP(I197,'Shipping Program'!$A$32:$B$78,2)-1</f>
        <v>13</v>
      </c>
      <c r="P197" s="44">
        <f>O197</f>
        <v>13</v>
      </c>
      <c r="Q197" s="24">
        <f>R197-7</f>
        <v>46524</v>
      </c>
      <c r="R197" s="24">
        <f>IFERROR(_xlfn.XLOOKUP(P197,'Shipping Program'!$B$32:$B$78,'Shipping Program'!$A$32:$A$78),IFERROR(INDEX(_V7Batches!$B:$B,MATCH(P197&amp;"",_V7Batches!$A:$A,0)),""))</f>
        <v>46531</v>
      </c>
      <c r="S197" s="24">
        <f>IFERROR(_xlfn.XLOOKUP(P197,'Shipping Program'!$B$32:$B$78,'Shipping Program'!$E$32:$E$78),IFERROR(INDEX(_V7Batches!$D:$D,MATCH(P197&amp;"",_V7Batches!$A:$A,0)),""))</f>
        <v>46561</v>
      </c>
      <c r="T197" s="24">
        <f>S197+'Shipping Program'!$H$9</f>
        <v>46568</v>
      </c>
      <c r="U197" s="25">
        <f>IFERROR(IF(J197*T197&lt;&gt;0,J197-T197,""),"")</f>
        <v>19</v>
      </c>
      <c r="V197" s="25" t="str">
        <f>IF(U197&lt;&gt;"",IF(U197&gt;28,"Too early",IF(U197&lt;14,"Too late","")),"")</f>
        <v/>
      </c>
      <c r="W197" s="35"/>
      <c r="X197" s="26">
        <f ca="1">IF(OFFSET(X197,1,0)="",R197,OFFSET(X197,1,0))</f>
        <v>46531</v>
      </c>
      <c r="Y197" s="26">
        <f ca="1">IF(OFFSET(Y197,1,0)="",X197+'Shipping Program'!$F$9,OFFSET(Y197,1,0))</f>
        <v>46561</v>
      </c>
      <c r="Z197" s="26">
        <f ca="1">IF(OFFSET(Z197,1,0)="",Y197+'Shipping Program'!$H$9,OFFSET(Z197,1,0))</f>
        <v>46568</v>
      </c>
      <c r="AA197" s="27">
        <f ca="1">IFERROR(IF(J197*Z197&lt;&gt;0,J197-Z197,""),"")</f>
        <v>19</v>
      </c>
      <c r="AB197" s="27" t="str">
        <f ca="1">IF(AA197&lt;&gt;"",IF(AA197&gt;28,"Too early",IF(AA197&lt;14,"Too late","")),"")</f>
        <v/>
      </c>
      <c r="AC197" s="46"/>
      <c r="AE197" s="80" t="s">
        <v>54</v>
      </c>
      <c r="AF197" s="80"/>
      <c r="AG197" s="80"/>
      <c r="AH197" s="80" t="str">
        <f>IF(AI197="","",AI197*AJ197*AK197/1000/1000/1000)</f>
        <v/>
      </c>
      <c r="AI197" s="80"/>
      <c r="AJ197" s="80"/>
      <c r="AK197" s="80"/>
    </row>
    <row r="198" spans="1:37" ht="20.100000000000001" customHeight="1">
      <c r="A198" s="33">
        <f ca="1">COUNTIF(J$3:OFFSET(J198,-1,0),"Subtotal:")+1</f>
        <v>13</v>
      </c>
      <c r="B198" s="23" t="str">
        <f ca="1">IF(OFFSET(B198,1,0)&lt;&gt;"",OFFSET(B198,1,0),"")</f>
        <v/>
      </c>
      <c r="C198" s="42"/>
      <c r="D198" s="59" t="s">
        <v>78</v>
      </c>
      <c r="E198" s="60" t="str">
        <f>LEFT(F198,3)</f>
        <v>#13</v>
      </c>
      <c r="F198" s="59" t="s">
        <v>232</v>
      </c>
      <c r="G198" s="59" t="s">
        <v>183</v>
      </c>
      <c r="H198" s="60" t="s">
        <v>1</v>
      </c>
      <c r="I198" s="24">
        <f>IF(J198&lt;&gt;"",J198 - ('Shipping Program'!$D$9 + 'Shipping Program'!$F$9 + 'Shipping Program'!$H$9), "")</f>
        <v>46543</v>
      </c>
      <c r="J198" s="43">
        <v>46590</v>
      </c>
      <c r="K198" s="44" t="str">
        <f>IF(SUM(M198:N198)=0,"",SUM(M198:N198))</f>
        <v/>
      </c>
      <c r="L198" s="44"/>
      <c r="M198" s="44"/>
      <c r="N198" s="54"/>
      <c r="O198" s="25">
        <f>VLOOKUP(I198,'Shipping Program'!$A$32:$B$78,2)-1</f>
        <v>13</v>
      </c>
      <c r="P198" s="44">
        <f>O198</f>
        <v>13</v>
      </c>
      <c r="Q198" s="24">
        <f>R198-7</f>
        <v>46524</v>
      </c>
      <c r="R198" s="24">
        <f>IFERROR(_xlfn.XLOOKUP(P198,'Shipping Program'!$B$32:$B$78,'Shipping Program'!$A$32:$A$78),IFERROR(INDEX(_V7Batches!$B:$B,MATCH(P198&amp;"",_V7Batches!$A:$A,0)),""))</f>
        <v>46531</v>
      </c>
      <c r="S198" s="24">
        <f>IFERROR(_xlfn.XLOOKUP(P198,'Shipping Program'!$B$32:$B$78,'Shipping Program'!$E$32:$E$78),IFERROR(INDEX(_V7Batches!$D:$D,MATCH(P198&amp;"",_V7Batches!$A:$A,0)),""))</f>
        <v>46561</v>
      </c>
      <c r="T198" s="24">
        <f>S198+'Shipping Program'!$H$9</f>
        <v>46568</v>
      </c>
      <c r="U198" s="25">
        <f>IFERROR(IF(J198*T198&lt;&gt;0,J198-T198,""),"")</f>
        <v>22</v>
      </c>
      <c r="V198" s="25" t="str">
        <f>IF(U198&lt;&gt;"",IF(U198&gt;28,"Too early",IF(U198&lt;14,"Too late","")),"")</f>
        <v/>
      </c>
      <c r="W198" s="35"/>
      <c r="X198" s="26">
        <f ca="1">IF(OFFSET(X198,1,0)="",R198,OFFSET(X198,1,0))</f>
        <v>46531</v>
      </c>
      <c r="Y198" s="26">
        <f ca="1">IF(OFFSET(Y198,1,0)="",X198+'Shipping Program'!$F$9,OFFSET(Y198,1,0))</f>
        <v>46561</v>
      </c>
      <c r="Z198" s="26">
        <f ca="1">IF(OFFSET(Z198,1,0)="",Y198+'Shipping Program'!$H$9,OFFSET(Z198,1,0))</f>
        <v>46568</v>
      </c>
      <c r="AA198" s="27">
        <f ca="1">IFERROR(IF(J198*Z198&lt;&gt;0,J198-Z198,""),"")</f>
        <v>22</v>
      </c>
      <c r="AB198" s="27" t="str">
        <f ca="1">IF(AA198&lt;&gt;"",IF(AA198&gt;28,"Too early",IF(AA198&lt;14,"Too late","")),"")</f>
        <v/>
      </c>
      <c r="AC198" s="46"/>
      <c r="AE198" s="80" t="s">
        <v>54</v>
      </c>
      <c r="AF198" s="80"/>
      <c r="AG198" s="80"/>
      <c r="AH198" s="80" t="str">
        <f>IF(AI198="","",AI198*AJ198*AK198/1000/1000/1000)</f>
        <v/>
      </c>
      <c r="AI198" s="80"/>
      <c r="AJ198" s="80"/>
      <c r="AK198" s="80"/>
    </row>
    <row r="199" spans="1:37" ht="20.100000000000001" customHeight="1">
      <c r="A199" s="33">
        <f ca="1">COUNTIF(J$3:OFFSET(J199,-1,0),"Subtotal:")+1</f>
        <v>13</v>
      </c>
      <c r="B199" s="62" t="str">
        <f ca="1">IF(OFFSET(B199,1,0)&lt;&gt;"",OFFSET(B199,1,0),"")</f>
        <v/>
      </c>
      <c r="C199" s="63"/>
      <c r="D199" s="59" t="s">
        <v>95</v>
      </c>
      <c r="E199" s="60" t="str">
        <f>LEFT(F199,3)</f>
        <v>#06</v>
      </c>
      <c r="F199" s="59" t="s">
        <v>227</v>
      </c>
      <c r="G199" s="59" t="s">
        <v>244</v>
      </c>
      <c r="H199" s="60"/>
      <c r="I199" s="24">
        <f>IF(J199&lt;&gt;"",J199 - ('Shipping Program'!$D$9 + 'Shipping Program'!$F$9 + 'Shipping Program'!$H$9), "")</f>
        <v>46541</v>
      </c>
      <c r="J199" s="43">
        <v>46588</v>
      </c>
      <c r="K199" s="44" t="str">
        <f>IF(SUM(M199:N199)=0,"",SUM(M199:N199))</f>
        <v/>
      </c>
      <c r="L199" s="64"/>
      <c r="M199" s="44"/>
      <c r="N199" s="54"/>
      <c r="O199" s="25">
        <f>VLOOKUP(I199,'Shipping Program'!$A$32:$B$78,2)-1</f>
        <v>13</v>
      </c>
      <c r="P199" s="44">
        <f>O199</f>
        <v>13</v>
      </c>
      <c r="Q199" s="24">
        <f>R199-7</f>
        <v>46524</v>
      </c>
      <c r="R199" s="24">
        <f>IFERROR(_xlfn.XLOOKUP(P199,'Shipping Program'!$B$32:$B$78,'Shipping Program'!$A$32:$A$78),IFERROR(INDEX(_V7Batches!$B:$B,MATCH(P199&amp;"",_V7Batches!$A:$A,0)),""))</f>
        <v>46531</v>
      </c>
      <c r="S199" s="24">
        <f>IFERROR(_xlfn.XLOOKUP(P199,'Shipping Program'!$B$32:$B$78,'Shipping Program'!$E$32:$E$78),IFERROR(INDEX(_V7Batches!$D:$D,MATCH(P199&amp;"",_V7Batches!$A:$A,0)),""))</f>
        <v>46561</v>
      </c>
      <c r="T199" s="24">
        <f>S199+'Shipping Program'!$H$9</f>
        <v>46568</v>
      </c>
      <c r="U199" s="25">
        <f>IFERROR(IF(J199*T199&lt;&gt;0,J199-T199,""),"")</f>
        <v>20</v>
      </c>
      <c r="V199" s="25" t="str">
        <f>IF(U199&lt;&gt;"",IF(U199&gt;28,"Too early",IF(U199&lt;14,"Too late","")),"")</f>
        <v/>
      </c>
      <c r="W199" s="35"/>
      <c r="X199" s="26">
        <f ca="1">IF(OFFSET(X199,1,0)="",R199,OFFSET(X199,1,0))</f>
        <v>46531</v>
      </c>
      <c r="Y199" s="26">
        <f ca="1">IF(OFFSET(Y199,1,0)="",X199+'Shipping Program'!$F$9,OFFSET(Y199,1,0))</f>
        <v>46561</v>
      </c>
      <c r="Z199" s="26">
        <f ca="1">IF(OFFSET(Z199,1,0)="",Y199+'Shipping Program'!$H$9,OFFSET(Z199,1,0))</f>
        <v>46568</v>
      </c>
      <c r="AA199" s="27">
        <f ca="1">IFERROR(IF(J199*Z199&lt;&gt;0,J199-Z199,""),"")</f>
        <v>20</v>
      </c>
      <c r="AB199" s="27" t="str">
        <f ca="1">IF(AA199&lt;&gt;"",IF(AA199&gt;28,"Too early",IF(AA199&lt;14,"Too late","")),"")</f>
        <v/>
      </c>
      <c r="AC199" s="46"/>
      <c r="AE199" s="80" t="s">
        <v>43</v>
      </c>
      <c r="AF199" s="80" t="s">
        <v>46</v>
      </c>
      <c r="AG199" s="80" t="s">
        <v>42</v>
      </c>
      <c r="AH199" s="80" t="str">
        <f>IF(AI199="","",AI199*AJ199*AK199/1000/1000/1000)</f>
        <v/>
      </c>
      <c r="AI199" s="80"/>
      <c r="AJ199" s="80"/>
      <c r="AK199" s="80"/>
    </row>
    <row r="200" spans="1:37" ht="20.100000000000001" customHeight="1">
      <c r="A200" s="33">
        <f ca="1">COUNTIF(J$3:OFFSET(J200,-1,0),"Subtotal:")+1</f>
        <v>13</v>
      </c>
      <c r="B200" s="62" t="str">
        <f ca="1">IF(OFFSET(B200,1,0)&lt;&gt;"",OFFSET(B200,1,0),"")</f>
        <v/>
      </c>
      <c r="C200" s="63"/>
      <c r="D200" s="59" t="s">
        <v>95</v>
      </c>
      <c r="E200" s="60" t="str">
        <f>LEFT(F200,3)</f>
        <v>#06</v>
      </c>
      <c r="F200" s="59" t="s">
        <v>228</v>
      </c>
      <c r="G200" s="59" t="s">
        <v>245</v>
      </c>
      <c r="H200" s="60"/>
      <c r="I200" s="24">
        <f>IF(J200&lt;&gt;"",J200 - ('Shipping Program'!$D$9 + 'Shipping Program'!$F$9 + 'Shipping Program'!$H$9), "")</f>
        <v>46539</v>
      </c>
      <c r="J200" s="43">
        <v>46586</v>
      </c>
      <c r="K200" s="44" t="str">
        <f>IF(SUM(M200:N200)=0,"",SUM(M200:N200))</f>
        <v/>
      </c>
      <c r="L200" s="64"/>
      <c r="M200" s="44"/>
      <c r="N200" s="54"/>
      <c r="O200" s="25">
        <f>VLOOKUP(I200,'Shipping Program'!$A$32:$B$78,2)-1</f>
        <v>13</v>
      </c>
      <c r="P200" s="44">
        <f>O200</f>
        <v>13</v>
      </c>
      <c r="Q200" s="24">
        <f>R200-7</f>
        <v>46524</v>
      </c>
      <c r="R200" s="24">
        <f>IFERROR(_xlfn.XLOOKUP(P200,'Shipping Program'!$B$32:$B$78,'Shipping Program'!$A$32:$A$78),IFERROR(INDEX(_V7Batches!$B:$B,MATCH(P200&amp;"",_V7Batches!$A:$A,0)),""))</f>
        <v>46531</v>
      </c>
      <c r="S200" s="24">
        <f>IFERROR(_xlfn.XLOOKUP(P200,'Shipping Program'!$B$32:$B$78,'Shipping Program'!$E$32:$E$78),IFERROR(INDEX(_V7Batches!$D:$D,MATCH(P200&amp;"",_V7Batches!$A:$A,0)),""))</f>
        <v>46561</v>
      </c>
      <c r="T200" s="24">
        <f>S200+'Shipping Program'!$H$9</f>
        <v>46568</v>
      </c>
      <c r="U200" s="25">
        <f>IFERROR(IF(J200*T200&lt;&gt;0,J200-T200,""),"")</f>
        <v>18</v>
      </c>
      <c r="V200" s="25" t="str">
        <f>IF(U200&lt;&gt;"",IF(U200&gt;28,"Too early",IF(U200&lt;14,"Too late","")),"")</f>
        <v/>
      </c>
      <c r="W200" s="35"/>
      <c r="X200" s="26">
        <f ca="1">IF(OFFSET(X200,1,0)="",R200,OFFSET(X200,1,0))</f>
        <v>46531</v>
      </c>
      <c r="Y200" s="26">
        <f ca="1">IF(OFFSET(Y200,1,0)="",X200+'Shipping Program'!$F$9,OFFSET(Y200,1,0))</f>
        <v>46561</v>
      </c>
      <c r="Z200" s="26">
        <f ca="1">IF(OFFSET(Z200,1,0)="",Y200+'Shipping Program'!$H$9,OFFSET(Z200,1,0))</f>
        <v>46568</v>
      </c>
      <c r="AA200" s="27">
        <f ca="1">IFERROR(IF(J200*Z200&lt;&gt;0,J200-Z200,""),"")</f>
        <v>18</v>
      </c>
      <c r="AB200" s="27" t="str">
        <f ca="1">IF(AA200&lt;&gt;"",IF(AA200&gt;28,"Too early",IF(AA200&lt;14,"Too late","")),"")</f>
        <v/>
      </c>
      <c r="AC200" s="46"/>
      <c r="AE200" s="80" t="s">
        <v>43</v>
      </c>
      <c r="AF200" s="80" t="s">
        <v>46</v>
      </c>
      <c r="AG200" s="80" t="s">
        <v>42</v>
      </c>
      <c r="AH200" s="80" t="str">
        <f>IF(AI200="","",AI200*AJ200*AK200/1000/1000/1000)</f>
        <v/>
      </c>
      <c r="AI200" s="80"/>
      <c r="AJ200" s="80"/>
      <c r="AK200" s="80"/>
    </row>
    <row r="201" spans="1:37" ht="20.100000000000001" customHeight="1">
      <c r="A201" s="33">
        <f ca="1">COUNTIF(J$3:OFFSET(J201,-1,0),"Subtotal:")+1</f>
        <v>13</v>
      </c>
      <c r="B201" s="23" t="str">
        <f ca="1">IF(OFFSET(B201,1,0)&lt;&gt;"",OFFSET(B201,1,0),"")</f>
        <v/>
      </c>
      <c r="C201" s="42"/>
      <c r="D201" s="59" t="s">
        <v>105</v>
      </c>
      <c r="E201" s="60" t="str">
        <f>LEFT(F201,3)</f>
        <v>#20</v>
      </c>
      <c r="F201" s="59" t="s">
        <v>305</v>
      </c>
      <c r="G201" s="59" t="s">
        <v>320</v>
      </c>
      <c r="H201" s="60"/>
      <c r="I201" s="24">
        <f>IF(J201&lt;&gt;"",J201 - ('Shipping Program'!$D$9 + 'Shipping Program'!$F$9 + 'Shipping Program'!$H$9), "")</f>
        <v>46542</v>
      </c>
      <c r="J201" s="43">
        <v>46589</v>
      </c>
      <c r="K201" s="44" t="str">
        <f>IF(SUM(M201:N201)=0,"",SUM(M201:N201))</f>
        <v/>
      </c>
      <c r="L201" s="44"/>
      <c r="M201" s="44"/>
      <c r="N201" s="54"/>
      <c r="O201" s="25">
        <f>VLOOKUP(I201,'Shipping Program'!$A$32:$B$78,2)-1</f>
        <v>13</v>
      </c>
      <c r="P201" s="44">
        <f>O201</f>
        <v>13</v>
      </c>
      <c r="Q201" s="24">
        <f>R201-7</f>
        <v>46524</v>
      </c>
      <c r="R201" s="24">
        <f>IFERROR(_xlfn.XLOOKUP(P201,'Shipping Program'!$B$32:$B$78,'Shipping Program'!$A$32:$A$78),IFERROR(INDEX(_V7Batches!$B:$B,MATCH(P201&amp;"",_V7Batches!$A:$A,0)),""))</f>
        <v>46531</v>
      </c>
      <c r="S201" s="24">
        <f>IFERROR(_xlfn.XLOOKUP(P201,'Shipping Program'!$B$32:$B$78,'Shipping Program'!$E$32:$E$78),IFERROR(INDEX(_V7Batches!$D:$D,MATCH(P201&amp;"",_V7Batches!$A:$A,0)),""))</f>
        <v>46561</v>
      </c>
      <c r="T201" s="24">
        <f>S201+'Shipping Program'!$H$9</f>
        <v>46568</v>
      </c>
      <c r="U201" s="25">
        <f>IFERROR(IF(J201*T201&lt;&gt;0,J201-T201,""),"")</f>
        <v>21</v>
      </c>
      <c r="V201" s="25" t="str">
        <f>IF(U201&lt;&gt;"",IF(U201&gt;28,"Too early",IF(U201&lt;14,"Too late","")),"")</f>
        <v/>
      </c>
      <c r="W201" s="35"/>
      <c r="X201" s="26">
        <f ca="1">IF(OFFSET(X201,1,0)="",R201,OFFSET(X201,1,0))</f>
        <v>46531</v>
      </c>
      <c r="Y201" s="26">
        <f ca="1">IF(OFFSET(Y201,1,0)="",X201+'Shipping Program'!$F$9,OFFSET(Y201,1,0))</f>
        <v>46561</v>
      </c>
      <c r="Z201" s="26">
        <f ca="1">IF(OFFSET(Z201,1,0)="",Y201+'Shipping Program'!$H$9,OFFSET(Z201,1,0))</f>
        <v>46568</v>
      </c>
      <c r="AA201" s="27">
        <f ca="1">IFERROR(IF(J201*Z201&lt;&gt;0,J201-Z201,""),"")</f>
        <v>21</v>
      </c>
      <c r="AB201" s="27" t="str">
        <f ca="1">IF(AA201&lt;&gt;"",IF(AA201&gt;28,"Too early",IF(AA201&lt;14,"Too late","")),"")</f>
        <v/>
      </c>
      <c r="AC201" s="46"/>
      <c r="AE201" s="80" t="s">
        <v>43</v>
      </c>
      <c r="AF201" s="80" t="s">
        <v>41</v>
      </c>
      <c r="AG201" s="80" t="s">
        <v>42</v>
      </c>
      <c r="AH201" s="80" t="str">
        <f>IF(AI201="","",AI201*AJ201*AK201/1000/1000/1000)</f>
        <v/>
      </c>
      <c r="AI201" s="80"/>
      <c r="AJ201" s="80"/>
      <c r="AK201" s="80"/>
    </row>
    <row r="202" spans="1:37" ht="20.100000000000001" customHeight="1">
      <c r="A202" s="33">
        <f ca="1">COUNTIF(J$3:OFFSET(J202,-1,0),"Subtotal:")+1</f>
        <v>13</v>
      </c>
      <c r="B202" s="23" t="str">
        <f ca="1">IF(OFFSET(B202,1,0)&lt;&gt;"",OFFSET(B202,1,0),"")</f>
        <v/>
      </c>
      <c r="C202" s="42"/>
      <c r="D202" s="59" t="s">
        <v>106</v>
      </c>
      <c r="E202" s="60" t="str">
        <f>LEFT(F202,3)</f>
        <v>#20</v>
      </c>
      <c r="F202" s="59" t="s">
        <v>306</v>
      </c>
      <c r="G202" s="59" t="s">
        <v>320</v>
      </c>
      <c r="H202" s="60"/>
      <c r="I202" s="24">
        <f>IF(J202&lt;&gt;"",J202 - ('Shipping Program'!$D$9 + 'Shipping Program'!$F$9 + 'Shipping Program'!$H$9), "")</f>
        <v>46542</v>
      </c>
      <c r="J202" s="43">
        <v>46589</v>
      </c>
      <c r="K202" s="44" t="str">
        <f>IF(SUM(M202:N202)=0,"",SUM(M202:N202))</f>
        <v/>
      </c>
      <c r="L202" s="44"/>
      <c r="M202" s="44"/>
      <c r="N202" s="54"/>
      <c r="O202" s="25">
        <f>VLOOKUP(I202,'Shipping Program'!$A$32:$B$78,2)-1</f>
        <v>13</v>
      </c>
      <c r="P202" s="44">
        <f>O202</f>
        <v>13</v>
      </c>
      <c r="Q202" s="24">
        <f>R202-7</f>
        <v>46524</v>
      </c>
      <c r="R202" s="24">
        <f>IFERROR(_xlfn.XLOOKUP(P202,'Shipping Program'!$B$32:$B$78,'Shipping Program'!$A$32:$A$78),IFERROR(INDEX(_V7Batches!$B:$B,MATCH(P202&amp;"",_V7Batches!$A:$A,0)),""))</f>
        <v>46531</v>
      </c>
      <c r="S202" s="24">
        <f>IFERROR(_xlfn.XLOOKUP(P202,'Shipping Program'!$B$32:$B$78,'Shipping Program'!$E$32:$E$78),IFERROR(INDEX(_V7Batches!$D:$D,MATCH(P202&amp;"",_V7Batches!$A:$A,0)),""))</f>
        <v>46561</v>
      </c>
      <c r="T202" s="24">
        <f>S202+'Shipping Program'!$H$9</f>
        <v>46568</v>
      </c>
      <c r="U202" s="25">
        <f>IFERROR(IF(J202*T202&lt;&gt;0,J202-T202,""),"")</f>
        <v>21</v>
      </c>
      <c r="V202" s="25" t="str">
        <f>IF(U202&lt;&gt;"",IF(U202&gt;28,"Too early",IF(U202&lt;14,"Too late","")),"")</f>
        <v/>
      </c>
      <c r="W202" s="35"/>
      <c r="X202" s="26">
        <f ca="1">IF(OFFSET(X202,1,0)="",R202,OFFSET(X202,1,0))</f>
        <v>46531</v>
      </c>
      <c r="Y202" s="26">
        <f ca="1">IF(OFFSET(Y202,1,0)="",X202+'Shipping Program'!$F$9,OFFSET(Y202,1,0))</f>
        <v>46561</v>
      </c>
      <c r="Z202" s="26">
        <f ca="1">IF(OFFSET(Z202,1,0)="",Y202+'Shipping Program'!$H$9,OFFSET(Z202,1,0))</f>
        <v>46568</v>
      </c>
      <c r="AA202" s="27">
        <f ca="1">IFERROR(IF(J202*Z202&lt;&gt;0,J202-Z202,""),"")</f>
        <v>21</v>
      </c>
      <c r="AB202" s="27" t="str">
        <f ca="1">IF(AA202&lt;&gt;"",IF(AA202&gt;28,"Too early",IF(AA202&lt;14,"Too late","")),"")</f>
        <v/>
      </c>
      <c r="AC202" s="46"/>
      <c r="AE202" s="80" t="s">
        <v>43</v>
      </c>
      <c r="AF202" s="80" t="s">
        <v>41</v>
      </c>
      <c r="AG202" s="80" t="s">
        <v>42</v>
      </c>
      <c r="AH202" s="80" t="str">
        <f>IF(AI202="","",AI202*AJ202*AK202/1000/1000/1000)</f>
        <v/>
      </c>
      <c r="AI202" s="80"/>
      <c r="AJ202" s="80"/>
      <c r="AK202" s="80"/>
    </row>
    <row r="203" spans="1:37" ht="20.100000000000001" customHeight="1">
      <c r="A203" s="34">
        <f ca="1">COUNTIF(J$3:OFFSET(J203,-1,0),"Subtotal:")+1</f>
        <v>13</v>
      </c>
      <c r="B203" s="47"/>
      <c r="C203" s="48"/>
      <c r="D203" s="73"/>
      <c r="E203" s="49"/>
      <c r="F203" s="74"/>
      <c r="G203" s="74"/>
      <c r="H203" s="49"/>
      <c r="I203" s="49"/>
      <c r="J203" s="49" t="s">
        <v>6424</v>
      </c>
      <c r="K203" s="28">
        <f ca="1">SUMIF(A$3:OFFSET(A203,-1,0),A203,K$3:OFFSET(K203,-1,0))</f>
        <v>0</v>
      </c>
      <c r="L203" s="28">
        <f ca="1">SUMIF(A$3:OFFSET(A203,-1,0),A203,L$3:OFFSET(L203,-1,0))</f>
        <v>0</v>
      </c>
      <c r="M203" s="28"/>
      <c r="N203" s="55"/>
      <c r="O203" s="49"/>
      <c r="P203" s="49"/>
      <c r="Q203" s="29">
        <f ca="1">R203-7</f>
        <v>46524</v>
      </c>
      <c r="R203" s="29">
        <f ca="1">IF(J203="Subtotal:",OFFSET(R203,-1,0),"")</f>
        <v>46531</v>
      </c>
      <c r="S203" s="29">
        <f ca="1">IF(J203="Subtotal:",OFFSET(S203,-1,0),"")</f>
        <v>46561</v>
      </c>
      <c r="T203" s="29">
        <f ca="1">IF(J203="Subtotal:",OFFSET(T203,-1,0),"")</f>
        <v>46568</v>
      </c>
      <c r="U203" s="30" t="str">
        <f ca="1">IFERROR(IF(J203*T203&lt;&gt;0,J203-T203,""),"")</f>
        <v/>
      </c>
      <c r="V203" s="31" t="str">
        <f ca="1">IF(U203&lt;&gt;"",IF(U203&gt;28,"Too early",IF(U203&lt;14,"Too late","")),"")</f>
        <v/>
      </c>
      <c r="W203" s="28">
        <f ca="1">(SUMIFS($K:$K,$J:$J,"&lt;&gt;Subtotal:",$J:$J,"&gt;"&amp;S203,$S:$S,"&lt;="&amp;S203))*24*1.3+(SUMIFS($L:$L,$J:$J,"&lt;&gt;Subtotal:",$J:$J,"&gt;"&amp;S203,$S:$S,"&lt;="&amp;S203))/3*1.3</f>
        <v>0</v>
      </c>
      <c r="X203" s="50"/>
      <c r="Y203" s="50"/>
      <c r="Z203" s="50"/>
      <c r="AA203" s="30" t="str">
        <f>IFERROR(IF(J203*Z203&lt;&gt;0,J203-Z203,""),"")</f>
        <v/>
      </c>
      <c r="AB203" s="31" t="str">
        <f>IF(AA203&lt;&gt;"",IF(AA203&gt;28,"Too early",IF(AA203&lt;14,"Too late","")),"")</f>
        <v/>
      </c>
      <c r="AC203" s="32">
        <f>(SUMIFS($K:$K,$J:$J,"&lt;&gt;Subtotal:",$J:$J,"&gt;"&amp;Y203,$Y:$Y,"&lt;="&amp;Y203))*24*1.3+(SUMIFS($L:$L,$J:$J,"&lt;&gt;Subtotal:",$J:$J,"&gt;"&amp;Y203,$Y:$Y,"&lt;="&amp;Y203))/3*1.3</f>
        <v>0</v>
      </c>
      <c r="AD203" s="58"/>
      <c r="AE203" s="78"/>
      <c r="AF203" s="78"/>
      <c r="AG203" s="78"/>
      <c r="AH203" s="78"/>
      <c r="AI203" s="78"/>
      <c r="AJ203" s="78"/>
      <c r="AK203" s="78"/>
    </row>
    <row r="204" spans="1:37" ht="20.100000000000001" customHeight="1">
      <c r="A204" s="33">
        <f ca="1">COUNTIF(J$3:OFFSET(J204,-1,0),"Subtotal:")+1</f>
        <v>14</v>
      </c>
      <c r="B204" s="23" t="str">
        <f ca="1">IF(OFFSET(B204,1,0)&lt;&gt;"",OFFSET(B204,1,0),"")</f>
        <v/>
      </c>
      <c r="C204" s="42"/>
      <c r="D204" s="59" t="s">
        <v>78</v>
      </c>
      <c r="E204" s="60" t="str">
        <f>LEFT(F204,3)</f>
        <v>#11</v>
      </c>
      <c r="F204" s="59" t="s">
        <v>233</v>
      </c>
      <c r="G204" s="59" t="s">
        <v>241</v>
      </c>
      <c r="H204" s="60" t="s">
        <v>1</v>
      </c>
      <c r="I204" s="24">
        <f>IF(J204&lt;&gt;"",J204 - ('Shipping Program'!$D$9 + 'Shipping Program'!$F$9 + 'Shipping Program'!$H$9), "")</f>
        <v>46547</v>
      </c>
      <c r="J204" s="43">
        <v>46594</v>
      </c>
      <c r="K204" s="44" t="str">
        <f>IF(SUM(M204:N204)=0,"",SUM(M204:N204))</f>
        <v/>
      </c>
      <c r="L204" s="44"/>
      <c r="M204" s="44"/>
      <c r="N204" s="54"/>
      <c r="O204" s="25">
        <f>VLOOKUP(I204,'Shipping Program'!$A$32:$B$78,2)-1</f>
        <v>14</v>
      </c>
      <c r="P204" s="44">
        <f>O204</f>
        <v>14</v>
      </c>
      <c r="Q204" s="24">
        <f>R204-7</f>
        <v>46531</v>
      </c>
      <c r="R204" s="24">
        <f>IFERROR(_xlfn.XLOOKUP(P204,'Shipping Program'!$B$32:$B$78,'Shipping Program'!$A$32:$A$78),IFERROR(INDEX(_V7Batches!$B:$B,MATCH(P204&amp;"",_V7Batches!$A:$A,0)),""))</f>
        <v>46538</v>
      </c>
      <c r="S204" s="24">
        <f>IFERROR(_xlfn.XLOOKUP(P204,'Shipping Program'!$B$32:$B$78,'Shipping Program'!$E$32:$E$78),IFERROR(INDEX(_V7Batches!$D:$D,MATCH(P204&amp;"",_V7Batches!$A:$A,0)),""))</f>
        <v>46568</v>
      </c>
      <c r="T204" s="24">
        <f>S204+'Shipping Program'!$H$9</f>
        <v>46575</v>
      </c>
      <c r="U204" s="25">
        <f>IFERROR(IF(J204*T204&lt;&gt;0,J204-T204,""),"")</f>
        <v>19</v>
      </c>
      <c r="V204" s="25" t="str">
        <f>IF(U204&lt;&gt;"",IF(U204&gt;28,"Too early",IF(U204&lt;14,"Too late","")),"")</f>
        <v/>
      </c>
      <c r="W204" s="35"/>
      <c r="X204" s="26">
        <f ca="1">IF(OFFSET(X204,1,0)="",R204,OFFSET(X204,1,0))</f>
        <v>46538</v>
      </c>
      <c r="Y204" s="26">
        <f ca="1">IF(OFFSET(Y204,1,0)="",X204+'Shipping Program'!$F$9,OFFSET(Y204,1,0))</f>
        <v>46568</v>
      </c>
      <c r="Z204" s="26">
        <f ca="1">IF(OFFSET(Z204,1,0)="",Y204+'Shipping Program'!$H$9,OFFSET(Z204,1,0))</f>
        <v>46575</v>
      </c>
      <c r="AA204" s="27">
        <f ca="1">IFERROR(IF(J204*Z204&lt;&gt;0,J204-Z204,""),"")</f>
        <v>19</v>
      </c>
      <c r="AB204" s="27" t="str">
        <f ca="1">IF(AA204&lt;&gt;"",IF(AA204&gt;28,"Too early",IF(AA204&lt;14,"Too late","")),"")</f>
        <v/>
      </c>
      <c r="AC204" s="46"/>
      <c r="AE204" s="80" t="s">
        <v>43</v>
      </c>
      <c r="AF204" s="80" t="s">
        <v>46</v>
      </c>
      <c r="AG204" s="80" t="s">
        <v>42</v>
      </c>
      <c r="AH204" s="80" t="str">
        <f>IF(AI204="","",AI204*AJ204*AK204/1000/1000/1000)</f>
        <v/>
      </c>
      <c r="AI204" s="80"/>
      <c r="AJ204" s="80"/>
      <c r="AK204" s="80"/>
    </row>
    <row r="205" spans="1:37" ht="20.100000000000001" customHeight="1">
      <c r="A205" s="33">
        <f ca="1">COUNTIF(J$3:OFFSET(J205,-1,0),"Subtotal:")+1</f>
        <v>14</v>
      </c>
      <c r="B205" s="23" t="str">
        <f ca="1">IF(OFFSET(B205,1,0)&lt;&gt;"",OFFSET(B205,1,0),"")</f>
        <v/>
      </c>
      <c r="C205" s="42"/>
      <c r="D205" s="59" t="s">
        <v>78</v>
      </c>
      <c r="E205" s="60" t="str">
        <f>LEFT(F205,3)</f>
        <v>#13</v>
      </c>
      <c r="F205" s="59" t="s">
        <v>236</v>
      </c>
      <c r="G205" s="59" t="s">
        <v>185</v>
      </c>
      <c r="H205" s="60" t="s">
        <v>242</v>
      </c>
      <c r="I205" s="24">
        <f>IF(J205&lt;&gt;"",J205 - ('Shipping Program'!$D$9 + 'Shipping Program'!$F$9 + 'Shipping Program'!$H$9), "")</f>
        <v>46547</v>
      </c>
      <c r="J205" s="43">
        <v>46594</v>
      </c>
      <c r="K205" s="44" t="str">
        <f>IF(SUM(M205:N205)=0,"",SUM(M205:N205))</f>
        <v/>
      </c>
      <c r="L205" s="44"/>
      <c r="M205" s="44"/>
      <c r="N205" s="54"/>
      <c r="O205" s="25">
        <f>VLOOKUP(I205,'Shipping Program'!$A$32:$B$78,2)-1</f>
        <v>14</v>
      </c>
      <c r="P205" s="44">
        <f>O205</f>
        <v>14</v>
      </c>
      <c r="Q205" s="24">
        <f>R205-7</f>
        <v>46531</v>
      </c>
      <c r="R205" s="24">
        <f>IFERROR(_xlfn.XLOOKUP(P205,'Shipping Program'!$B$32:$B$78,'Shipping Program'!$A$32:$A$78),IFERROR(INDEX(_V7Batches!$B:$B,MATCH(P205&amp;"",_V7Batches!$A:$A,0)),""))</f>
        <v>46538</v>
      </c>
      <c r="S205" s="24">
        <f>IFERROR(_xlfn.XLOOKUP(P205,'Shipping Program'!$B$32:$B$78,'Shipping Program'!$E$32:$E$78),IFERROR(INDEX(_V7Batches!$D:$D,MATCH(P205&amp;"",_V7Batches!$A:$A,0)),""))</f>
        <v>46568</v>
      </c>
      <c r="T205" s="24">
        <f>S205+'Shipping Program'!$H$9</f>
        <v>46575</v>
      </c>
      <c r="U205" s="25">
        <f>IFERROR(IF(J205*T205&lt;&gt;0,J205-T205,""),"")</f>
        <v>19</v>
      </c>
      <c r="V205" s="25" t="str">
        <f>IF(U205&lt;&gt;"",IF(U205&gt;28,"Too early",IF(U205&lt;14,"Too late","")),"")</f>
        <v/>
      </c>
      <c r="W205" s="35"/>
      <c r="X205" s="26">
        <f ca="1">IF(OFFSET(X205,1,0)="",R205,OFFSET(X205,1,0))</f>
        <v>46538</v>
      </c>
      <c r="Y205" s="26">
        <f ca="1">IF(OFFSET(Y205,1,0)="",X205+'Shipping Program'!$F$9,OFFSET(Y205,1,0))</f>
        <v>46568</v>
      </c>
      <c r="Z205" s="26">
        <f ca="1">IF(OFFSET(Z205,1,0)="",Y205+'Shipping Program'!$H$9,OFFSET(Z205,1,0))</f>
        <v>46575</v>
      </c>
      <c r="AA205" s="27">
        <f ca="1">IFERROR(IF(J205*Z205&lt;&gt;0,J205-Z205,""),"")</f>
        <v>19</v>
      </c>
      <c r="AB205" s="27" t="str">
        <f ca="1">IF(AA205&lt;&gt;"",IF(AA205&gt;28,"Too early",IF(AA205&lt;14,"Too late","")),"")</f>
        <v/>
      </c>
      <c r="AC205" s="46"/>
      <c r="AE205" s="80" t="s">
        <v>54</v>
      </c>
      <c r="AF205" s="80"/>
      <c r="AG205" s="80"/>
      <c r="AH205" s="80" t="str">
        <f>IF(AI205="","",AI205*AJ205*AK205/1000/1000/1000)</f>
        <v/>
      </c>
      <c r="AI205" s="80"/>
      <c r="AJ205" s="80"/>
      <c r="AK205" s="80"/>
    </row>
    <row r="206" spans="1:37" ht="20.100000000000001" customHeight="1">
      <c r="A206" s="33">
        <f ca="1">COUNTIF(J$3:OFFSET(J206,-1,0),"Subtotal:")+1</f>
        <v>14</v>
      </c>
      <c r="B206" s="23" t="str">
        <f ca="1">IF(OFFSET(B206,1,0)&lt;&gt;"",OFFSET(B206,1,0),"")</f>
        <v/>
      </c>
      <c r="C206" s="42"/>
      <c r="D206" s="59" t="s">
        <v>78</v>
      </c>
      <c r="E206" s="60" t="str">
        <f>LEFT(F206,3)</f>
        <v>#11</v>
      </c>
      <c r="F206" s="59" t="s">
        <v>234</v>
      </c>
      <c r="G206" s="59" t="s">
        <v>240</v>
      </c>
      <c r="H206" s="60" t="s">
        <v>1</v>
      </c>
      <c r="I206" s="24">
        <f>IF(J206&lt;&gt;"",J206 - ('Shipping Program'!$D$9 + 'Shipping Program'!$F$9 + 'Shipping Program'!$H$9), "")</f>
        <v>46549</v>
      </c>
      <c r="J206" s="43">
        <v>46596</v>
      </c>
      <c r="K206" s="44" t="str">
        <f>IF(SUM(M206:N206)=0,"",SUM(M206:N206))</f>
        <v/>
      </c>
      <c r="L206" s="44"/>
      <c r="M206" s="44"/>
      <c r="N206" s="54"/>
      <c r="O206" s="25">
        <f>VLOOKUP(I206,'Shipping Program'!$A$32:$B$78,2)-1</f>
        <v>14</v>
      </c>
      <c r="P206" s="44">
        <f>O206</f>
        <v>14</v>
      </c>
      <c r="Q206" s="24">
        <f>R206-7</f>
        <v>46531</v>
      </c>
      <c r="R206" s="24">
        <f>IFERROR(_xlfn.XLOOKUP(P206,'Shipping Program'!$B$32:$B$78,'Shipping Program'!$A$32:$A$78),IFERROR(INDEX(_V7Batches!$B:$B,MATCH(P206&amp;"",_V7Batches!$A:$A,0)),""))</f>
        <v>46538</v>
      </c>
      <c r="S206" s="24">
        <f>IFERROR(_xlfn.XLOOKUP(P206,'Shipping Program'!$B$32:$B$78,'Shipping Program'!$E$32:$E$78),IFERROR(INDEX(_V7Batches!$D:$D,MATCH(P206&amp;"",_V7Batches!$A:$A,0)),""))</f>
        <v>46568</v>
      </c>
      <c r="T206" s="24">
        <f>S206+'Shipping Program'!$H$9</f>
        <v>46575</v>
      </c>
      <c r="U206" s="25">
        <f>IFERROR(IF(J206*T206&lt;&gt;0,J206-T206,""),"")</f>
        <v>21</v>
      </c>
      <c r="V206" s="25" t="str">
        <f>IF(U206&lt;&gt;"",IF(U206&gt;28,"Too early",IF(U206&lt;14,"Too late","")),"")</f>
        <v/>
      </c>
      <c r="W206" s="35"/>
      <c r="X206" s="26">
        <f ca="1">IF(OFFSET(X206,1,0)="",R206,OFFSET(X206,1,0))</f>
        <v>46538</v>
      </c>
      <c r="Y206" s="26">
        <f ca="1">IF(OFFSET(Y206,1,0)="",X206+'Shipping Program'!$F$9,OFFSET(Y206,1,0))</f>
        <v>46568</v>
      </c>
      <c r="Z206" s="26">
        <f ca="1">IF(OFFSET(Z206,1,0)="",Y206+'Shipping Program'!$H$9,OFFSET(Z206,1,0))</f>
        <v>46575</v>
      </c>
      <c r="AA206" s="27">
        <f ca="1">IFERROR(IF(J206*Z206&lt;&gt;0,J206-Z206,""),"")</f>
        <v>21</v>
      </c>
      <c r="AB206" s="27" t="str">
        <f ca="1">IF(AA206&lt;&gt;"",IF(AA206&gt;28,"Too early",IF(AA206&lt;14,"Too late","")),"")</f>
        <v/>
      </c>
      <c r="AC206" s="46"/>
      <c r="AE206" s="80" t="s">
        <v>43</v>
      </c>
      <c r="AF206" s="80" t="s">
        <v>46</v>
      </c>
      <c r="AG206" s="80" t="s">
        <v>42</v>
      </c>
      <c r="AH206" s="80" t="str">
        <f>IF(AI206="","",AI206*AJ206*AK206/1000/1000/1000)</f>
        <v/>
      </c>
      <c r="AI206" s="80"/>
      <c r="AJ206" s="80"/>
      <c r="AK206" s="80"/>
    </row>
    <row r="207" spans="1:37" ht="20.100000000000001" customHeight="1">
      <c r="A207" s="33">
        <f ca="1">COUNTIF(J$3:OFFSET(J207,-1,0),"Subtotal:")+1</f>
        <v>14</v>
      </c>
      <c r="B207" s="23" t="str">
        <f ca="1">IF(OFFSET(B207,1,0)&lt;&gt;"",OFFSET(B207,1,0),"")</f>
        <v/>
      </c>
      <c r="C207" s="42"/>
      <c r="D207" s="59" t="s">
        <v>78</v>
      </c>
      <c r="E207" s="60" t="str">
        <f>LEFT(F207,3)</f>
        <v>#13</v>
      </c>
      <c r="F207" s="59" t="s">
        <v>232</v>
      </c>
      <c r="G207" s="59" t="s">
        <v>185</v>
      </c>
      <c r="H207" s="60" t="s">
        <v>1</v>
      </c>
      <c r="I207" s="24">
        <f>IF(J207&lt;&gt;"",J207 - ('Shipping Program'!$D$9 + 'Shipping Program'!$F$9 + 'Shipping Program'!$H$9), "")</f>
        <v>46548</v>
      </c>
      <c r="J207" s="43">
        <v>46595</v>
      </c>
      <c r="K207" s="44" t="str">
        <f>IF(SUM(M207:N207)=0,"",SUM(M207:N207))</f>
        <v/>
      </c>
      <c r="L207" s="44"/>
      <c r="M207" s="44"/>
      <c r="N207" s="54"/>
      <c r="O207" s="25">
        <f>VLOOKUP(I207,'Shipping Program'!$A$32:$B$78,2)-1</f>
        <v>14</v>
      </c>
      <c r="P207" s="44">
        <f>O207</f>
        <v>14</v>
      </c>
      <c r="Q207" s="24">
        <f>R207-7</f>
        <v>46531</v>
      </c>
      <c r="R207" s="24">
        <f>IFERROR(_xlfn.XLOOKUP(P207,'Shipping Program'!$B$32:$B$78,'Shipping Program'!$A$32:$A$78),IFERROR(INDEX(_V7Batches!$B:$B,MATCH(P207&amp;"",_V7Batches!$A:$A,0)),""))</f>
        <v>46538</v>
      </c>
      <c r="S207" s="24">
        <f>IFERROR(_xlfn.XLOOKUP(P207,'Shipping Program'!$B$32:$B$78,'Shipping Program'!$E$32:$E$78),IFERROR(INDEX(_V7Batches!$D:$D,MATCH(P207&amp;"",_V7Batches!$A:$A,0)),""))</f>
        <v>46568</v>
      </c>
      <c r="T207" s="24">
        <f>S207+'Shipping Program'!$H$9</f>
        <v>46575</v>
      </c>
      <c r="U207" s="25">
        <f>IFERROR(IF(J207*T207&lt;&gt;0,J207-T207,""),"")</f>
        <v>20</v>
      </c>
      <c r="V207" s="25" t="str">
        <f>IF(U207&lt;&gt;"",IF(U207&gt;28,"Too early",IF(U207&lt;14,"Too late","")),"")</f>
        <v/>
      </c>
      <c r="W207" s="35"/>
      <c r="X207" s="26">
        <f ca="1">IF(OFFSET(X207,1,0)="",R207,OFFSET(X207,1,0))</f>
        <v>46538</v>
      </c>
      <c r="Y207" s="26">
        <f ca="1">IF(OFFSET(Y207,1,0)="",X207+'Shipping Program'!$F$9,OFFSET(Y207,1,0))</f>
        <v>46568</v>
      </c>
      <c r="Z207" s="26">
        <f ca="1">IF(OFFSET(Z207,1,0)="",Y207+'Shipping Program'!$H$9,OFFSET(Z207,1,0))</f>
        <v>46575</v>
      </c>
      <c r="AA207" s="27">
        <f ca="1">IFERROR(IF(J207*Z207&lt;&gt;0,J207-Z207,""),"")</f>
        <v>20</v>
      </c>
      <c r="AB207" s="27" t="str">
        <f ca="1">IF(AA207&lt;&gt;"",IF(AA207&gt;28,"Too early",IF(AA207&lt;14,"Too late","")),"")</f>
        <v/>
      </c>
      <c r="AC207" s="46"/>
      <c r="AE207" s="80" t="s">
        <v>54</v>
      </c>
      <c r="AF207" s="80"/>
      <c r="AG207" s="80"/>
      <c r="AH207" s="80" t="str">
        <f>IF(AI207="","",AI207*AJ207*AK207/1000/1000/1000)</f>
        <v/>
      </c>
      <c r="AI207" s="80"/>
      <c r="AJ207" s="80"/>
      <c r="AK207" s="80"/>
    </row>
    <row r="208" spans="1:37" ht="20.100000000000001" customHeight="1">
      <c r="A208" s="33">
        <f ca="1">COUNTIF(J$3:OFFSET(J208,-1,0),"Subtotal:")+1</f>
        <v>14</v>
      </c>
      <c r="B208" s="62" t="str">
        <f ca="1">IF(OFFSET(B208,1,0)&lt;&gt;"",OFFSET(B208,1,0),"")</f>
        <v/>
      </c>
      <c r="C208" s="63"/>
      <c r="D208" s="59" t="s">
        <v>95</v>
      </c>
      <c r="E208" s="60" t="str">
        <f>LEFT(F208,3)</f>
        <v>#06</v>
      </c>
      <c r="F208" s="59" t="s">
        <v>227</v>
      </c>
      <c r="G208" s="59" t="s">
        <v>245</v>
      </c>
      <c r="H208" s="60"/>
      <c r="I208" s="24">
        <f>IF(J208&lt;&gt;"",J208 - ('Shipping Program'!$D$9 + 'Shipping Program'!$F$9 + 'Shipping Program'!$H$9), "")</f>
        <v>46550</v>
      </c>
      <c r="J208" s="43">
        <v>46597</v>
      </c>
      <c r="K208" s="44" t="str">
        <f>IF(SUM(M208:N208)=0,"",SUM(M208:N208))</f>
        <v/>
      </c>
      <c r="L208" s="64"/>
      <c r="M208" s="44"/>
      <c r="N208" s="54"/>
      <c r="O208" s="25">
        <f>VLOOKUP(I208,'Shipping Program'!$A$32:$B$78,2)-1</f>
        <v>14</v>
      </c>
      <c r="P208" s="44">
        <f>O208</f>
        <v>14</v>
      </c>
      <c r="Q208" s="24">
        <f>R208-7</f>
        <v>46531</v>
      </c>
      <c r="R208" s="24">
        <f>IFERROR(_xlfn.XLOOKUP(P208,'Shipping Program'!$B$32:$B$78,'Shipping Program'!$A$32:$A$78),IFERROR(INDEX(_V7Batches!$B:$B,MATCH(P208&amp;"",_V7Batches!$A:$A,0)),""))</f>
        <v>46538</v>
      </c>
      <c r="S208" s="24">
        <f>IFERROR(_xlfn.XLOOKUP(P208,'Shipping Program'!$B$32:$B$78,'Shipping Program'!$E$32:$E$78),IFERROR(INDEX(_V7Batches!$D:$D,MATCH(P208&amp;"",_V7Batches!$A:$A,0)),""))</f>
        <v>46568</v>
      </c>
      <c r="T208" s="24">
        <f>S208+'Shipping Program'!$H$9</f>
        <v>46575</v>
      </c>
      <c r="U208" s="25">
        <f>IFERROR(IF(J208*T208&lt;&gt;0,J208-T208,""),"")</f>
        <v>22</v>
      </c>
      <c r="V208" s="25" t="str">
        <f>IF(U208&lt;&gt;"",IF(U208&gt;28,"Too early",IF(U208&lt;14,"Too late","")),"")</f>
        <v/>
      </c>
      <c r="W208" s="35"/>
      <c r="X208" s="26">
        <f ca="1">IF(OFFSET(X208,1,0)="",R208,OFFSET(X208,1,0))</f>
        <v>46538</v>
      </c>
      <c r="Y208" s="26">
        <f ca="1">IF(OFFSET(Y208,1,0)="",X208+'Shipping Program'!$F$9,OFFSET(Y208,1,0))</f>
        <v>46568</v>
      </c>
      <c r="Z208" s="26">
        <f ca="1">IF(OFFSET(Z208,1,0)="",Y208+'Shipping Program'!$H$9,OFFSET(Z208,1,0))</f>
        <v>46575</v>
      </c>
      <c r="AA208" s="27">
        <f ca="1">IFERROR(IF(J208*Z208&lt;&gt;0,J208-Z208,""),"")</f>
        <v>22</v>
      </c>
      <c r="AB208" s="27" t="str">
        <f ca="1">IF(AA208&lt;&gt;"",IF(AA208&gt;28,"Too early",IF(AA208&lt;14,"Too late","")),"")</f>
        <v/>
      </c>
      <c r="AC208" s="46"/>
      <c r="AE208" s="80" t="s">
        <v>43</v>
      </c>
      <c r="AF208" s="80" t="s">
        <v>46</v>
      </c>
      <c r="AG208" s="80" t="s">
        <v>42</v>
      </c>
      <c r="AH208" s="80" t="str">
        <f>IF(AI208="","",AI208*AJ208*AK208/1000/1000/1000)</f>
        <v/>
      </c>
      <c r="AI208" s="80"/>
      <c r="AJ208" s="80"/>
      <c r="AK208" s="80"/>
    </row>
    <row r="209" spans="1:37" ht="20.100000000000001" customHeight="1">
      <c r="A209" s="33">
        <f ca="1">COUNTIF(J$3:OFFSET(J209,-1,0),"Subtotal:")+1</f>
        <v>14</v>
      </c>
      <c r="B209" s="23" t="str">
        <f ca="1">IF(OFFSET(B209,1,0)&lt;&gt;"",OFFSET(B209,1,0),"")</f>
        <v/>
      </c>
      <c r="C209" s="42"/>
      <c r="D209" s="59" t="s">
        <v>105</v>
      </c>
      <c r="E209" s="60" t="str">
        <f>LEFT(F209,3)</f>
        <v>#20</v>
      </c>
      <c r="F209" s="59" t="s">
        <v>312</v>
      </c>
      <c r="G209" s="59" t="s">
        <v>320</v>
      </c>
      <c r="H209" s="60"/>
      <c r="I209" s="24">
        <f>IF(J209&lt;&gt;"",J209 - ('Shipping Program'!$D$9 + 'Shipping Program'!$F$9 + 'Shipping Program'!$H$9), "")</f>
        <v>46547</v>
      </c>
      <c r="J209" s="43">
        <v>46594</v>
      </c>
      <c r="K209" s="44" t="str">
        <f>IF(SUM(M209:N209)=0,"",SUM(M209:N209))</f>
        <v/>
      </c>
      <c r="L209" s="44"/>
      <c r="M209" s="44"/>
      <c r="N209" s="54"/>
      <c r="O209" s="25">
        <f>VLOOKUP(I209,'Shipping Program'!$A$32:$B$78,2)-1</f>
        <v>14</v>
      </c>
      <c r="P209" s="44">
        <f>O209</f>
        <v>14</v>
      </c>
      <c r="Q209" s="24">
        <f>R209-7</f>
        <v>46531</v>
      </c>
      <c r="R209" s="24">
        <f>IFERROR(_xlfn.XLOOKUP(P209,'Shipping Program'!$B$32:$B$78,'Shipping Program'!$A$32:$A$78),IFERROR(INDEX(_V7Batches!$B:$B,MATCH(P209&amp;"",_V7Batches!$A:$A,0)),""))</f>
        <v>46538</v>
      </c>
      <c r="S209" s="24">
        <f>IFERROR(_xlfn.XLOOKUP(P209,'Shipping Program'!$B$32:$B$78,'Shipping Program'!$E$32:$E$78),IFERROR(INDEX(_V7Batches!$D:$D,MATCH(P209&amp;"",_V7Batches!$A:$A,0)),""))</f>
        <v>46568</v>
      </c>
      <c r="T209" s="24">
        <f>S209+'Shipping Program'!$H$9</f>
        <v>46575</v>
      </c>
      <c r="U209" s="25">
        <f>IFERROR(IF(J209*T209&lt;&gt;0,J209-T209,""),"")</f>
        <v>19</v>
      </c>
      <c r="V209" s="25" t="str">
        <f>IF(U209&lt;&gt;"",IF(U209&gt;28,"Too early",IF(U209&lt;14,"Too late","")),"")</f>
        <v/>
      </c>
      <c r="W209" s="35"/>
      <c r="X209" s="26">
        <f ca="1">IF(OFFSET(X209,1,0)="",R209,OFFSET(X209,1,0))</f>
        <v>46538</v>
      </c>
      <c r="Y209" s="26">
        <f ca="1">IF(OFFSET(Y209,1,0)="",X209+'Shipping Program'!$F$9,OFFSET(Y209,1,0))</f>
        <v>46568</v>
      </c>
      <c r="Z209" s="26">
        <f ca="1">IF(OFFSET(Z209,1,0)="",Y209+'Shipping Program'!$H$9,OFFSET(Z209,1,0))</f>
        <v>46575</v>
      </c>
      <c r="AA209" s="27">
        <f ca="1">IFERROR(IF(J209*Z209&lt;&gt;0,J209-Z209,""),"")</f>
        <v>19</v>
      </c>
      <c r="AB209" s="27" t="str">
        <f ca="1">IF(AA209&lt;&gt;"",IF(AA209&gt;28,"Too early",IF(AA209&lt;14,"Too late","")),"")</f>
        <v/>
      </c>
      <c r="AC209" s="46"/>
      <c r="AE209" s="80" t="s">
        <v>43</v>
      </c>
      <c r="AF209" s="80" t="s">
        <v>41</v>
      </c>
      <c r="AG209" s="80" t="s">
        <v>42</v>
      </c>
      <c r="AH209" s="80" t="str">
        <f>IF(AI209="","",AI209*AJ209*AK209/1000/1000/1000)</f>
        <v/>
      </c>
      <c r="AI209" s="80"/>
      <c r="AJ209" s="80"/>
      <c r="AK209" s="80"/>
    </row>
    <row r="210" spans="1:37" ht="20.100000000000001" customHeight="1">
      <c r="A210" s="34">
        <f ca="1">COUNTIF(J$3:OFFSET(J210,-1,0),"Subtotal:")+1</f>
        <v>14</v>
      </c>
      <c r="B210" s="47"/>
      <c r="C210" s="48"/>
      <c r="D210" s="73"/>
      <c r="E210" s="49"/>
      <c r="F210" s="74"/>
      <c r="G210" s="74"/>
      <c r="H210" s="49"/>
      <c r="I210" s="49"/>
      <c r="J210" s="49" t="s">
        <v>6424</v>
      </c>
      <c r="K210" s="28">
        <f ca="1">SUMIF(A$3:OFFSET(A210,-1,0),A210,K$3:OFFSET(K210,-1,0))</f>
        <v>0</v>
      </c>
      <c r="L210" s="28">
        <f ca="1">SUMIF(A$3:OFFSET(A210,-1,0),A210,L$3:OFFSET(L210,-1,0))</f>
        <v>0</v>
      </c>
      <c r="M210" s="28"/>
      <c r="N210" s="55"/>
      <c r="O210" s="49"/>
      <c r="P210" s="49"/>
      <c r="Q210" s="29">
        <f ca="1">R210-7</f>
        <v>46531</v>
      </c>
      <c r="R210" s="29">
        <f ca="1">IF(J210="Subtotal:",OFFSET(R210,-1,0),"")</f>
        <v>46538</v>
      </c>
      <c r="S210" s="29">
        <f ca="1">IF(J210="Subtotal:",OFFSET(S210,-1,0),"")</f>
        <v>46568</v>
      </c>
      <c r="T210" s="29">
        <f ca="1">IF(J210="Subtotal:",OFFSET(T210,-1,0),"")</f>
        <v>46575</v>
      </c>
      <c r="U210" s="30" t="str">
        <f ca="1">IFERROR(IF(J210*T210&lt;&gt;0,J210-T210,""),"")</f>
        <v/>
      </c>
      <c r="V210" s="31" t="str">
        <f ca="1">IF(U210&lt;&gt;"",IF(U210&gt;28,"Too early",IF(U210&lt;14,"Too late","")),"")</f>
        <v/>
      </c>
      <c r="W210" s="28">
        <f ca="1">(SUMIFS($K:$K,$J:$J,"&lt;&gt;Subtotal:",$J:$J,"&gt;"&amp;S210,$S:$S,"&lt;="&amp;S210))*24*1.3+(SUMIFS($L:$L,$J:$J,"&lt;&gt;Subtotal:",$J:$J,"&gt;"&amp;S210,$S:$S,"&lt;="&amp;S210))/3*1.3</f>
        <v>0</v>
      </c>
      <c r="X210" s="50"/>
      <c r="Y210" s="50"/>
      <c r="Z210" s="50"/>
      <c r="AA210" s="30" t="str">
        <f>IFERROR(IF(J210*Z210&lt;&gt;0,J210-Z210,""),"")</f>
        <v/>
      </c>
      <c r="AB210" s="31" t="str">
        <f>IF(AA210&lt;&gt;"",IF(AA210&gt;28,"Too early",IF(AA210&lt;14,"Too late","")),"")</f>
        <v/>
      </c>
      <c r="AC210" s="32">
        <f>(SUMIFS($K:$K,$J:$J,"&lt;&gt;Subtotal:",$J:$J,"&gt;"&amp;Y210,$Y:$Y,"&lt;="&amp;Y210))*24*1.3+(SUMIFS($L:$L,$J:$J,"&lt;&gt;Subtotal:",$J:$J,"&gt;"&amp;Y210,$Y:$Y,"&lt;="&amp;Y210))/3*1.3</f>
        <v>0</v>
      </c>
      <c r="AD210" s="58"/>
      <c r="AE210" s="78"/>
      <c r="AF210" s="78"/>
      <c r="AG210" s="78"/>
      <c r="AH210" s="78"/>
      <c r="AI210" s="78"/>
      <c r="AJ210" s="78"/>
      <c r="AK210" s="78"/>
    </row>
    <row r="211" spans="1:37" ht="20.100000000000001" customHeight="1">
      <c r="A211" s="33">
        <f ca="1">COUNTIF(J$3:OFFSET(J211,-1,0),"Subtotal:")+1</f>
        <v>15</v>
      </c>
      <c r="B211" s="23" t="str">
        <f ca="1">IF(OFFSET(B211,1,0)&lt;&gt;"",OFFSET(B211,1,0),"")</f>
        <v/>
      </c>
      <c r="C211" s="42"/>
      <c r="D211" s="59" t="s">
        <v>78</v>
      </c>
      <c r="E211" s="60" t="str">
        <f>LEFT(F211,3)</f>
        <v>#11</v>
      </c>
      <c r="F211" s="59" t="s">
        <v>233</v>
      </c>
      <c r="G211" s="59" t="s">
        <v>240</v>
      </c>
      <c r="H211" s="60" t="s">
        <v>1</v>
      </c>
      <c r="I211" s="24">
        <f>IF(J211&lt;&gt;"",J211 - ('Shipping Program'!$D$9 + 'Shipping Program'!$F$9 + 'Shipping Program'!$H$9), "")</f>
        <v>46557</v>
      </c>
      <c r="J211" s="43">
        <v>46604</v>
      </c>
      <c r="K211" s="44" t="str">
        <f>IF(SUM(M211:N211)=0,"",SUM(M211:N211))</f>
        <v/>
      </c>
      <c r="L211" s="44"/>
      <c r="M211" s="44"/>
      <c r="N211" s="54"/>
      <c r="O211" s="25">
        <f>VLOOKUP(I211,'Shipping Program'!$A$32:$B$78,2)-1</f>
        <v>15</v>
      </c>
      <c r="P211" s="44">
        <f>O211</f>
        <v>15</v>
      </c>
      <c r="Q211" s="24">
        <f>R211-7</f>
        <v>46538</v>
      </c>
      <c r="R211" s="24">
        <f>IFERROR(_xlfn.XLOOKUP(P211,'Shipping Program'!$B$32:$B$78,'Shipping Program'!$A$32:$A$78),IFERROR(INDEX(_V7Batches!$B:$B,MATCH(P211&amp;"",_V7Batches!$A:$A,0)),""))</f>
        <v>46545</v>
      </c>
      <c r="S211" s="24">
        <f>IFERROR(_xlfn.XLOOKUP(P211,'Shipping Program'!$B$32:$B$78,'Shipping Program'!$E$32:$E$78),IFERROR(INDEX(_V7Batches!$D:$D,MATCH(P211&amp;"",_V7Batches!$A:$A,0)),""))</f>
        <v>46575</v>
      </c>
      <c r="T211" s="24">
        <f>S211+'Shipping Program'!$H$9</f>
        <v>46582</v>
      </c>
      <c r="U211" s="25">
        <f>IFERROR(IF(J211*T211&lt;&gt;0,J211-T211,""),"")</f>
        <v>22</v>
      </c>
      <c r="V211" s="25" t="str">
        <f>IF(U211&lt;&gt;"",IF(U211&gt;28,"Too early",IF(U211&lt;14,"Too late","")),"")</f>
        <v/>
      </c>
      <c r="W211" s="35"/>
      <c r="X211" s="26">
        <f ca="1">IF(OFFSET(X211,1,0)="",R211,OFFSET(X211,1,0))</f>
        <v>46545</v>
      </c>
      <c r="Y211" s="26">
        <f ca="1">IF(OFFSET(Y211,1,0)="",X211+'Shipping Program'!$F$9,OFFSET(Y211,1,0))</f>
        <v>46575</v>
      </c>
      <c r="Z211" s="26">
        <f ca="1">IF(OFFSET(Z211,1,0)="",Y211+'Shipping Program'!$H$9,OFFSET(Z211,1,0))</f>
        <v>46582</v>
      </c>
      <c r="AA211" s="27">
        <f ca="1">IFERROR(IF(J211*Z211&lt;&gt;0,J211-Z211,""),"")</f>
        <v>22</v>
      </c>
      <c r="AB211" s="27" t="str">
        <f ca="1">IF(AA211&lt;&gt;"",IF(AA211&gt;28,"Too early",IF(AA211&lt;14,"Too late","")),"")</f>
        <v/>
      </c>
      <c r="AC211" s="46"/>
      <c r="AE211" s="80" t="s">
        <v>43</v>
      </c>
      <c r="AF211" s="80" t="s">
        <v>46</v>
      </c>
      <c r="AG211" s="80" t="s">
        <v>42</v>
      </c>
      <c r="AH211" s="80" t="str">
        <f>IF(AI211="","",AI211*AJ211*AK211/1000/1000/1000)</f>
        <v/>
      </c>
      <c r="AI211" s="80"/>
      <c r="AJ211" s="80"/>
      <c r="AK211" s="80"/>
    </row>
    <row r="212" spans="1:37" ht="20.100000000000001" customHeight="1">
      <c r="A212" s="33">
        <f ca="1">COUNTIF(J$3:OFFSET(J212,-1,0),"Subtotal:")+1</f>
        <v>15</v>
      </c>
      <c r="B212" s="23" t="str">
        <f ca="1">IF(OFFSET(B212,1,0)&lt;&gt;"",OFFSET(B212,1,0),"")</f>
        <v/>
      </c>
      <c r="C212" s="42"/>
      <c r="D212" s="59" t="s">
        <v>78</v>
      </c>
      <c r="E212" s="60" t="str">
        <f>LEFT(F212,3)</f>
        <v>#11</v>
      </c>
      <c r="F212" s="59" t="s">
        <v>234</v>
      </c>
      <c r="G212" s="59" t="s">
        <v>183</v>
      </c>
      <c r="H212" s="60" t="s">
        <v>1</v>
      </c>
      <c r="I212" s="24">
        <f>IF(J212&lt;&gt;"",J212 - ('Shipping Program'!$D$9 + 'Shipping Program'!$F$9 + 'Shipping Program'!$H$9), "")</f>
        <v>46554</v>
      </c>
      <c r="J212" s="43">
        <v>46601</v>
      </c>
      <c r="K212" s="44" t="str">
        <f>IF(SUM(M212:N212)=0,"",SUM(M212:N212))</f>
        <v/>
      </c>
      <c r="L212" s="44"/>
      <c r="M212" s="44"/>
      <c r="N212" s="54"/>
      <c r="O212" s="25">
        <f>VLOOKUP(I212,'Shipping Program'!$A$32:$B$78,2)-1</f>
        <v>15</v>
      </c>
      <c r="P212" s="44">
        <f>O212</f>
        <v>15</v>
      </c>
      <c r="Q212" s="24">
        <f>R212-7</f>
        <v>46538</v>
      </c>
      <c r="R212" s="24">
        <f>IFERROR(_xlfn.XLOOKUP(P212,'Shipping Program'!$B$32:$B$78,'Shipping Program'!$A$32:$A$78),IFERROR(INDEX(_V7Batches!$B:$B,MATCH(P212&amp;"",_V7Batches!$A:$A,0)),""))</f>
        <v>46545</v>
      </c>
      <c r="S212" s="24">
        <f>IFERROR(_xlfn.XLOOKUP(P212,'Shipping Program'!$B$32:$B$78,'Shipping Program'!$E$32:$E$78),IFERROR(INDEX(_V7Batches!$D:$D,MATCH(P212&amp;"",_V7Batches!$A:$A,0)),""))</f>
        <v>46575</v>
      </c>
      <c r="T212" s="24">
        <f>S212+'Shipping Program'!$H$9</f>
        <v>46582</v>
      </c>
      <c r="U212" s="25">
        <f>IFERROR(IF(J212*T212&lt;&gt;0,J212-T212,""),"")</f>
        <v>19</v>
      </c>
      <c r="V212" s="25" t="str">
        <f>IF(U212&lt;&gt;"",IF(U212&gt;28,"Too early",IF(U212&lt;14,"Too late","")),"")</f>
        <v/>
      </c>
      <c r="W212" s="35"/>
      <c r="X212" s="26">
        <f ca="1">IF(OFFSET(X212,1,0)="",R212,OFFSET(X212,1,0))</f>
        <v>46545</v>
      </c>
      <c r="Y212" s="26">
        <f ca="1">IF(OFFSET(Y212,1,0)="",X212+'Shipping Program'!$F$9,OFFSET(Y212,1,0))</f>
        <v>46575</v>
      </c>
      <c r="Z212" s="26">
        <f ca="1">IF(OFFSET(Z212,1,0)="",Y212+'Shipping Program'!$H$9,OFFSET(Z212,1,0))</f>
        <v>46582</v>
      </c>
      <c r="AA212" s="27">
        <f ca="1">IFERROR(IF(J212*Z212&lt;&gt;0,J212-Z212,""),"")</f>
        <v>19</v>
      </c>
      <c r="AB212" s="27" t="str">
        <f ca="1">IF(AA212&lt;&gt;"",IF(AA212&gt;28,"Too early",IF(AA212&lt;14,"Too late","")),"")</f>
        <v/>
      </c>
      <c r="AC212" s="46"/>
      <c r="AE212" s="80" t="s">
        <v>54</v>
      </c>
      <c r="AF212" s="80"/>
      <c r="AG212" s="80"/>
      <c r="AH212" s="80" t="str">
        <f>IF(AI212="","",AI212*AJ212*AK212/1000/1000/1000)</f>
        <v/>
      </c>
      <c r="AI212" s="80"/>
      <c r="AJ212" s="80"/>
      <c r="AK212" s="80"/>
    </row>
    <row r="213" spans="1:37" ht="20.100000000000001" customHeight="1">
      <c r="A213" s="34">
        <f ca="1">COUNTIF(J$3:OFFSET(J213,-1,0),"Subtotal:")+1</f>
        <v>15</v>
      </c>
      <c r="B213" s="47"/>
      <c r="C213" s="48"/>
      <c r="D213" s="73"/>
      <c r="E213" s="49"/>
      <c r="F213" s="74"/>
      <c r="G213" s="74"/>
      <c r="H213" s="49"/>
      <c r="I213" s="49"/>
      <c r="J213" s="49" t="s">
        <v>6424</v>
      </c>
      <c r="K213" s="28">
        <f ca="1">SUMIF(A$3:OFFSET(A213,-1,0),A213,K$3:OFFSET(K213,-1,0))</f>
        <v>0</v>
      </c>
      <c r="L213" s="28">
        <f ca="1">SUMIF(A$3:OFFSET(A213,-1,0),A213,L$3:OFFSET(L213,-1,0))</f>
        <v>0</v>
      </c>
      <c r="M213" s="28"/>
      <c r="N213" s="55"/>
      <c r="O213" s="49"/>
      <c r="P213" s="49"/>
      <c r="Q213" s="29">
        <f ca="1">R213-7</f>
        <v>46538</v>
      </c>
      <c r="R213" s="29">
        <f ca="1">IF(J213="Subtotal:",OFFSET(R213,-1,0),"")</f>
        <v>46545</v>
      </c>
      <c r="S213" s="29">
        <f ca="1">IF(J213="Subtotal:",OFFSET(S213,-1,0),"")</f>
        <v>46575</v>
      </c>
      <c r="T213" s="29">
        <f ca="1">IF(J213="Subtotal:",OFFSET(T213,-1,0),"")</f>
        <v>46582</v>
      </c>
      <c r="U213" s="30" t="str">
        <f ca="1">IFERROR(IF(J213*T213&lt;&gt;0,J213-T213,""),"")</f>
        <v/>
      </c>
      <c r="V213" s="31" t="str">
        <f ca="1">IF(U213&lt;&gt;"",IF(U213&gt;28,"Too early",IF(U213&lt;14,"Too late","")),"")</f>
        <v/>
      </c>
      <c r="W213" s="28">
        <f ca="1">(SUMIFS($K:$K,$J:$J,"&lt;&gt;Subtotal:",$J:$J,"&gt;"&amp;S213,$S:$S,"&lt;="&amp;S213))*24*1.3+(SUMIFS($L:$L,$J:$J,"&lt;&gt;Subtotal:",$J:$J,"&gt;"&amp;S213,$S:$S,"&lt;="&amp;S213))/3*1.3</f>
        <v>0</v>
      </c>
      <c r="X213" s="50"/>
      <c r="Y213" s="50"/>
      <c r="Z213" s="50"/>
      <c r="AA213" s="30" t="str">
        <f>IFERROR(IF(J213*Z213&lt;&gt;0,J213-Z213,""),"")</f>
        <v/>
      </c>
      <c r="AB213" s="31" t="str">
        <f>IF(AA213&lt;&gt;"",IF(AA213&gt;28,"Too early",IF(AA213&lt;14,"Too late","")),"")</f>
        <v/>
      </c>
      <c r="AC213" s="32">
        <f>(SUMIFS($K:$K,$J:$J,"&lt;&gt;Subtotal:",$J:$J,"&gt;"&amp;Y213,$Y:$Y,"&lt;="&amp;Y213))*24*1.3+(SUMIFS($L:$L,$J:$J,"&lt;&gt;Subtotal:",$J:$J,"&gt;"&amp;Y213,$Y:$Y,"&lt;="&amp;Y213))/3*1.3</f>
        <v>0</v>
      </c>
      <c r="AD213" s="58"/>
      <c r="AE213" s="78"/>
      <c r="AF213" s="78"/>
      <c r="AG213" s="78"/>
      <c r="AH213" s="78"/>
      <c r="AI213" s="78"/>
      <c r="AJ213" s="78"/>
      <c r="AK213" s="78"/>
    </row>
    <row r="214" spans="1:37" ht="20.100000000000001" customHeight="1">
      <c r="A214" s="33">
        <f ca="1">COUNTIF(J$3:OFFSET(J214,-1,0),"Subtotal:")+1</f>
        <v>16</v>
      </c>
      <c r="B214" s="23" t="str">
        <f ca="1">IF(OFFSET(B214,1,0)&lt;&gt;"",OFFSET(B214,1,0),"")</f>
        <v/>
      </c>
      <c r="C214" s="42"/>
      <c r="D214" s="59" t="s">
        <v>78</v>
      </c>
      <c r="E214" s="60" t="str">
        <f>LEFT(F214,3)</f>
        <v>#11</v>
      </c>
      <c r="F214" s="59" t="s">
        <v>233</v>
      </c>
      <c r="G214" s="59" t="s">
        <v>183</v>
      </c>
      <c r="H214" s="60" t="s">
        <v>1</v>
      </c>
      <c r="I214" s="24">
        <f>IF(J214&lt;&gt;"",J214 - ('Shipping Program'!$D$9 + 'Shipping Program'!$F$9 + 'Shipping Program'!$H$9), "")</f>
        <v>46563</v>
      </c>
      <c r="J214" s="43">
        <v>46610</v>
      </c>
      <c r="K214" s="44" t="str">
        <f>IF(SUM(M214:N214)=0,"",SUM(M214:N214))</f>
        <v/>
      </c>
      <c r="L214" s="44"/>
      <c r="M214" s="44"/>
      <c r="N214" s="54"/>
      <c r="O214" s="25">
        <f>VLOOKUP(I214,'Shipping Program'!$A$32:$B$78,2)-1</f>
        <v>16</v>
      </c>
      <c r="P214" s="44">
        <f>O214</f>
        <v>16</v>
      </c>
      <c r="Q214" s="24">
        <f>R214-7</f>
        <v>46545</v>
      </c>
      <c r="R214" s="24">
        <f>IFERROR(_xlfn.XLOOKUP(P214,'Shipping Program'!$B$32:$B$78,'Shipping Program'!$A$32:$A$78),IFERROR(INDEX(_V7Batches!$B:$B,MATCH(P214&amp;"",_V7Batches!$A:$A,0)),""))</f>
        <v>46552</v>
      </c>
      <c r="S214" s="24">
        <f>IFERROR(_xlfn.XLOOKUP(P214,'Shipping Program'!$B$32:$B$78,'Shipping Program'!$E$32:$E$78),IFERROR(INDEX(_V7Batches!$D:$D,MATCH(P214&amp;"",_V7Batches!$A:$A,0)),""))</f>
        <v>46582</v>
      </c>
      <c r="T214" s="24">
        <f>S214+'Shipping Program'!$H$9</f>
        <v>46589</v>
      </c>
      <c r="U214" s="25">
        <f>IFERROR(IF(J214*T214&lt;&gt;0,J214-T214,""),"")</f>
        <v>21</v>
      </c>
      <c r="V214" s="25" t="str">
        <f>IF(U214&lt;&gt;"",IF(U214&gt;28,"Too early",IF(U214&lt;14,"Too late","")),"")</f>
        <v/>
      </c>
      <c r="W214" s="35"/>
      <c r="X214" s="26">
        <f ca="1">IF(OFFSET(X214,1,0)="",R214,OFFSET(X214,1,0))</f>
        <v>46552</v>
      </c>
      <c r="Y214" s="26">
        <f ca="1">IF(OFFSET(Y214,1,0)="",X214+'Shipping Program'!$F$9,OFFSET(Y214,1,0))</f>
        <v>46582</v>
      </c>
      <c r="Z214" s="26">
        <f ca="1">IF(OFFSET(Z214,1,0)="",Y214+'Shipping Program'!$H$9,OFFSET(Z214,1,0))</f>
        <v>46589</v>
      </c>
      <c r="AA214" s="27">
        <f ca="1">IFERROR(IF(J214*Z214&lt;&gt;0,J214-Z214,""),"")</f>
        <v>21</v>
      </c>
      <c r="AB214" s="27" t="str">
        <f ca="1">IF(AA214&lt;&gt;"",IF(AA214&gt;28,"Too early",IF(AA214&lt;14,"Too late","")),"")</f>
        <v/>
      </c>
      <c r="AC214" s="46"/>
      <c r="AE214" s="80" t="s">
        <v>54</v>
      </c>
      <c r="AF214" s="80"/>
      <c r="AG214" s="80"/>
      <c r="AH214" s="80" t="str">
        <f>IF(AI214="","",AI214*AJ214*AK214/1000/1000/1000)</f>
        <v/>
      </c>
      <c r="AI214" s="80"/>
      <c r="AJ214" s="80"/>
      <c r="AK214" s="80"/>
    </row>
    <row r="215" spans="1:37" ht="20.100000000000001" customHeight="1">
      <c r="A215" s="33">
        <f ca="1">COUNTIF(J$3:OFFSET(J215,-1,0),"Subtotal:")+1</f>
        <v>16</v>
      </c>
      <c r="B215" s="23" t="str">
        <f ca="1">IF(OFFSET(B215,1,0)&lt;&gt;"",OFFSET(B215,1,0),"")</f>
        <v/>
      </c>
      <c r="C215" s="42"/>
      <c r="D215" s="59" t="s">
        <v>106</v>
      </c>
      <c r="E215" s="60" t="str">
        <f>LEFT(F215,3)</f>
        <v>#19</v>
      </c>
      <c r="F215" s="59" t="s">
        <v>322</v>
      </c>
      <c r="G215" s="59" t="s">
        <v>323</v>
      </c>
      <c r="H215" s="60"/>
      <c r="I215" s="24">
        <f>IF(J215&lt;&gt;"",J215 - ('Shipping Program'!$D$9 + 'Shipping Program'!$F$9 + 'Shipping Program'!$H$9), "")</f>
        <v>46561</v>
      </c>
      <c r="J215" s="43">
        <v>46608</v>
      </c>
      <c r="K215" s="44" t="str">
        <f>IF(SUM(M215:N215)=0,"",SUM(M215:N215))</f>
        <v/>
      </c>
      <c r="L215" s="44"/>
      <c r="M215" s="44"/>
      <c r="N215" s="54"/>
      <c r="O215" s="25">
        <f>VLOOKUP(I215,'Shipping Program'!$A$32:$B$78,2)-1</f>
        <v>16</v>
      </c>
      <c r="P215" s="44">
        <f>O215</f>
        <v>16</v>
      </c>
      <c r="Q215" s="24">
        <f>R215-7</f>
        <v>46545</v>
      </c>
      <c r="R215" s="24">
        <f>IFERROR(_xlfn.XLOOKUP(P215,'Shipping Program'!$B$32:$B$78,'Shipping Program'!$A$32:$A$78),IFERROR(INDEX(_V7Batches!$B:$B,MATCH(P215&amp;"",_V7Batches!$A:$A,0)),""))</f>
        <v>46552</v>
      </c>
      <c r="S215" s="24">
        <f>IFERROR(_xlfn.XLOOKUP(P215,'Shipping Program'!$B$32:$B$78,'Shipping Program'!$E$32:$E$78),IFERROR(INDEX(_V7Batches!$D:$D,MATCH(P215&amp;"",_V7Batches!$A:$A,0)),""))</f>
        <v>46582</v>
      </c>
      <c r="T215" s="24">
        <f>S215+'Shipping Program'!$H$9</f>
        <v>46589</v>
      </c>
      <c r="U215" s="25">
        <f>IFERROR(IF(J215*T215&lt;&gt;0,J215-T215,""),"")</f>
        <v>19</v>
      </c>
      <c r="V215" s="25" t="str">
        <f>IF(U215&lt;&gt;"",IF(U215&gt;28,"Too early",IF(U215&lt;14,"Too late","")),"")</f>
        <v/>
      </c>
      <c r="W215" s="35"/>
      <c r="X215" s="26">
        <f ca="1">IF(OFFSET(X215,1,0)="",R215,OFFSET(X215,1,0))</f>
        <v>46552</v>
      </c>
      <c r="Y215" s="26">
        <f ca="1">IF(OFFSET(Y215,1,0)="",X215+'Shipping Program'!$F$9,OFFSET(Y215,1,0))</f>
        <v>46582</v>
      </c>
      <c r="Z215" s="26">
        <f ca="1">IF(OFFSET(Z215,1,0)="",Y215+'Shipping Program'!$H$9,OFFSET(Z215,1,0))</f>
        <v>46589</v>
      </c>
      <c r="AA215" s="27">
        <f ca="1">IFERROR(IF(J215*Z215&lt;&gt;0,J215-Z215,""),"")</f>
        <v>19</v>
      </c>
      <c r="AB215" s="27" t="str">
        <f ca="1">IF(AA215&lt;&gt;"",IF(AA215&gt;28,"Too early",IF(AA215&lt;14,"Too late","")),"")</f>
        <v/>
      </c>
      <c r="AC215" s="46"/>
      <c r="AE215" s="80" t="s">
        <v>43</v>
      </c>
      <c r="AF215" s="80" t="s">
        <v>46</v>
      </c>
      <c r="AG215" s="80" t="s">
        <v>42</v>
      </c>
      <c r="AH215" s="80" t="str">
        <f>IF(AI215="","",AI215*AJ215*AK215/1000/1000/1000)</f>
        <v/>
      </c>
      <c r="AI215" s="80"/>
      <c r="AJ215" s="80"/>
      <c r="AK215" s="80"/>
    </row>
    <row r="216" spans="1:37" ht="20.100000000000001" customHeight="1">
      <c r="A216" s="34">
        <f ca="1">COUNTIF(J$3:OFFSET(J216,-1,0),"Subtotal:")+1</f>
        <v>16</v>
      </c>
      <c r="B216" s="47"/>
      <c r="C216" s="48"/>
      <c r="D216" s="73"/>
      <c r="E216" s="49"/>
      <c r="F216" s="74"/>
      <c r="G216" s="74"/>
      <c r="H216" s="49"/>
      <c r="I216" s="49"/>
      <c r="J216" s="49" t="s">
        <v>6424</v>
      </c>
      <c r="K216" s="28">
        <f ca="1">SUMIF(A$3:OFFSET(A216,-1,0),A216,K$3:OFFSET(K216,-1,0))</f>
        <v>0</v>
      </c>
      <c r="L216" s="28">
        <f ca="1">SUMIF(A$3:OFFSET(A216,-1,0),A216,L$3:OFFSET(L216,-1,0))</f>
        <v>0</v>
      </c>
      <c r="M216" s="28"/>
      <c r="N216" s="55"/>
      <c r="O216" s="49"/>
      <c r="P216" s="49"/>
      <c r="Q216" s="29">
        <f ca="1">R216-7</f>
        <v>46545</v>
      </c>
      <c r="R216" s="29">
        <f ca="1">IF(J216="Subtotal:",OFFSET(R216,-1,0),"")</f>
        <v>46552</v>
      </c>
      <c r="S216" s="29">
        <f ca="1">IF(J216="Subtotal:",OFFSET(S216,-1,0),"")</f>
        <v>46582</v>
      </c>
      <c r="T216" s="29">
        <f ca="1">IF(J216="Subtotal:",OFFSET(T216,-1,0),"")</f>
        <v>46589</v>
      </c>
      <c r="U216" s="30" t="str">
        <f ca="1">IFERROR(IF(J216*T216&lt;&gt;0,J216-T216,""),"")</f>
        <v/>
      </c>
      <c r="V216" s="31" t="str">
        <f ca="1">IF(U216&lt;&gt;"",IF(U216&gt;28,"Too early",IF(U216&lt;14,"Too late","")),"")</f>
        <v/>
      </c>
      <c r="W216" s="28">
        <f ca="1">(SUMIFS($K:$K,$J:$J,"&lt;&gt;Subtotal:",$J:$J,"&gt;"&amp;S216,$S:$S,"&lt;="&amp;S216))*24*1.3+(SUMIFS($L:$L,$J:$J,"&lt;&gt;Subtotal:",$J:$J,"&gt;"&amp;S216,$S:$S,"&lt;="&amp;S216))/3*1.3</f>
        <v>0</v>
      </c>
      <c r="X216" s="50"/>
      <c r="Y216" s="50"/>
      <c r="Z216" s="50"/>
      <c r="AA216" s="30" t="str">
        <f>IFERROR(IF(J216*Z216&lt;&gt;0,J216-Z216,""),"")</f>
        <v/>
      </c>
      <c r="AB216" s="31" t="str">
        <f>IF(AA216&lt;&gt;"",IF(AA216&gt;28,"Too early",IF(AA216&lt;14,"Too late","")),"")</f>
        <v/>
      </c>
      <c r="AC216" s="32">
        <f>(SUMIFS($K:$K,$J:$J,"&lt;&gt;Subtotal:",$J:$J,"&gt;"&amp;Y216,$Y:$Y,"&lt;="&amp;Y216))*24*1.3+(SUMIFS($L:$L,$J:$J,"&lt;&gt;Subtotal:",$J:$J,"&gt;"&amp;Y216,$Y:$Y,"&lt;="&amp;Y216))/3*1.3</f>
        <v>0</v>
      </c>
      <c r="AD216" s="58"/>
      <c r="AE216" s="78"/>
      <c r="AF216" s="78"/>
      <c r="AG216" s="78"/>
      <c r="AH216" s="78"/>
      <c r="AI216" s="78"/>
      <c r="AJ216" s="78"/>
      <c r="AK216" s="78"/>
    </row>
    <row r="217" spans="1:37" ht="20.100000000000001" customHeight="1">
      <c r="A217" s="33">
        <f ca="1">COUNTIF(J$3:OFFSET(J217,-1,0),"Subtotal:")+1</f>
        <v>17</v>
      </c>
      <c r="B217" s="23" t="str">
        <f ca="1">IF(OFFSET(B217,1,0)&lt;&gt;"",OFFSET(B217,1,0),"")</f>
        <v/>
      </c>
      <c r="C217" s="42"/>
      <c r="D217" s="59" t="s">
        <v>78</v>
      </c>
      <c r="E217" s="60" t="str">
        <f>LEFT(F217,3)</f>
        <v>#11</v>
      </c>
      <c r="F217" s="59" t="s">
        <v>233</v>
      </c>
      <c r="G217" s="59" t="s">
        <v>185</v>
      </c>
      <c r="H217" s="60" t="s">
        <v>1</v>
      </c>
      <c r="I217" s="24">
        <f>IF(J217&lt;&gt;"",J217 - ('Shipping Program'!$D$9 + 'Shipping Program'!$F$9 + 'Shipping Program'!$H$9), "")</f>
        <v>46570</v>
      </c>
      <c r="J217" s="43">
        <v>46617</v>
      </c>
      <c r="K217" s="44" t="str">
        <f>IF(SUM(M217:N217)=0,"",SUM(M217:N217))</f>
        <v/>
      </c>
      <c r="L217" s="44"/>
      <c r="M217" s="44"/>
      <c r="N217" s="54"/>
      <c r="O217" s="25">
        <f>VLOOKUP(I217,'Shipping Program'!$A$32:$B$78,2)-1</f>
        <v>17</v>
      </c>
      <c r="P217" s="44">
        <f>O217</f>
        <v>17</v>
      </c>
      <c r="Q217" s="24">
        <f>R217-7</f>
        <v>46552</v>
      </c>
      <c r="R217" s="24">
        <f>IFERROR(_xlfn.XLOOKUP(P217,'Shipping Program'!$B$32:$B$78,'Shipping Program'!$A$32:$A$78),IFERROR(INDEX(_V7Batches!$B:$B,MATCH(P217&amp;"",_V7Batches!$A:$A,0)),""))</f>
        <v>46559</v>
      </c>
      <c r="S217" s="24">
        <f>IFERROR(_xlfn.XLOOKUP(P217,'Shipping Program'!$B$32:$B$78,'Shipping Program'!$E$32:$E$78),IFERROR(INDEX(_V7Batches!$D:$D,MATCH(P217&amp;"",_V7Batches!$A:$A,0)),""))</f>
        <v>46589</v>
      </c>
      <c r="T217" s="24">
        <f>S217+'Shipping Program'!$H$9</f>
        <v>46596</v>
      </c>
      <c r="U217" s="25">
        <f>IFERROR(IF(J217*T217&lt;&gt;0,J217-T217,""),"")</f>
        <v>21</v>
      </c>
      <c r="V217" s="25" t="str">
        <f>IF(U217&lt;&gt;"",IF(U217&gt;28,"Too early",IF(U217&lt;14,"Too late","")),"")</f>
        <v/>
      </c>
      <c r="W217" s="35"/>
      <c r="X217" s="26">
        <f ca="1">IF(OFFSET(X217,1,0)="",R217,OFFSET(X217,1,0))</f>
        <v>46559</v>
      </c>
      <c r="Y217" s="26">
        <f ca="1">IF(OFFSET(Y217,1,0)="",X217+'Shipping Program'!$F$9,OFFSET(Y217,1,0))</f>
        <v>46589</v>
      </c>
      <c r="Z217" s="26">
        <f ca="1">IF(OFFSET(Z217,1,0)="",Y217+'Shipping Program'!$H$9,OFFSET(Z217,1,0))</f>
        <v>46596</v>
      </c>
      <c r="AA217" s="27">
        <f ca="1">IFERROR(IF(J217*Z217&lt;&gt;0,J217-Z217,""),"")</f>
        <v>21</v>
      </c>
      <c r="AB217" s="27" t="str">
        <f ca="1">IF(AA217&lt;&gt;"",IF(AA217&gt;28,"Too early",IF(AA217&lt;14,"Too late","")),"")</f>
        <v/>
      </c>
      <c r="AC217" s="46"/>
      <c r="AE217" s="80" t="s">
        <v>54</v>
      </c>
      <c r="AF217" s="80"/>
      <c r="AG217" s="80"/>
      <c r="AH217" s="80" t="str">
        <f>IF(AI217="","",AI217*AJ217*AK217/1000/1000/1000)</f>
        <v/>
      </c>
      <c r="AI217" s="80"/>
      <c r="AJ217" s="80"/>
      <c r="AK217" s="80"/>
    </row>
    <row r="218" spans="1:37" ht="20.100000000000001" customHeight="1">
      <c r="A218" s="33">
        <f ca="1">COUNTIF(J$3:OFFSET(J218,-1,0),"Subtotal:")+1</f>
        <v>17</v>
      </c>
      <c r="B218" s="23" t="str">
        <f ca="1">IF(OFFSET(B218,1,0)&lt;&gt;"",OFFSET(B218,1,0),"")</f>
        <v/>
      </c>
      <c r="C218" s="42"/>
      <c r="D218" s="59" t="s">
        <v>78</v>
      </c>
      <c r="E218" s="60" t="str">
        <f>LEFT(F218,3)</f>
        <v>#11</v>
      </c>
      <c r="F218" s="59" t="s">
        <v>234</v>
      </c>
      <c r="G218" s="59" t="s">
        <v>185</v>
      </c>
      <c r="H218" s="60" t="s">
        <v>1</v>
      </c>
      <c r="I218" s="24">
        <f>IF(J218&lt;&gt;"",J218 - ('Shipping Program'!$D$9 + 'Shipping Program'!$F$9 + 'Shipping Program'!$H$9), "")</f>
        <v>46569</v>
      </c>
      <c r="J218" s="43">
        <v>46616</v>
      </c>
      <c r="K218" s="44" t="str">
        <f>IF(SUM(M218:N218)=0,"",SUM(M218:N218))</f>
        <v/>
      </c>
      <c r="L218" s="44"/>
      <c r="M218" s="44"/>
      <c r="N218" s="54"/>
      <c r="O218" s="25">
        <f>VLOOKUP(I218,'Shipping Program'!$A$32:$B$78,2)-1</f>
        <v>17</v>
      </c>
      <c r="P218" s="44">
        <f>O218</f>
        <v>17</v>
      </c>
      <c r="Q218" s="24">
        <f>R218-7</f>
        <v>46552</v>
      </c>
      <c r="R218" s="24">
        <f>IFERROR(_xlfn.XLOOKUP(P218,'Shipping Program'!$B$32:$B$78,'Shipping Program'!$A$32:$A$78),IFERROR(INDEX(_V7Batches!$B:$B,MATCH(P218&amp;"",_V7Batches!$A:$A,0)),""))</f>
        <v>46559</v>
      </c>
      <c r="S218" s="24">
        <f>IFERROR(_xlfn.XLOOKUP(P218,'Shipping Program'!$B$32:$B$78,'Shipping Program'!$E$32:$E$78),IFERROR(INDEX(_V7Batches!$D:$D,MATCH(P218&amp;"",_V7Batches!$A:$A,0)),""))</f>
        <v>46589</v>
      </c>
      <c r="T218" s="24">
        <f>S218+'Shipping Program'!$H$9</f>
        <v>46596</v>
      </c>
      <c r="U218" s="25">
        <f>IFERROR(IF(J218*T218&lt;&gt;0,J218-T218,""),"")</f>
        <v>20</v>
      </c>
      <c r="V218" s="25" t="str">
        <f>IF(U218&lt;&gt;"",IF(U218&gt;28,"Too early",IF(U218&lt;14,"Too late","")),"")</f>
        <v/>
      </c>
      <c r="W218" s="35"/>
      <c r="X218" s="26">
        <f ca="1">IF(OFFSET(X218,1,0)="",R218,OFFSET(X218,1,0))</f>
        <v>46559</v>
      </c>
      <c r="Y218" s="26">
        <f ca="1">IF(OFFSET(Y218,1,0)="",X218+'Shipping Program'!$F$9,OFFSET(Y218,1,0))</f>
        <v>46589</v>
      </c>
      <c r="Z218" s="26">
        <f ca="1">IF(OFFSET(Z218,1,0)="",Y218+'Shipping Program'!$H$9,OFFSET(Z218,1,0))</f>
        <v>46596</v>
      </c>
      <c r="AA218" s="27">
        <f ca="1">IFERROR(IF(J218*Z218&lt;&gt;0,J218-Z218,""),"")</f>
        <v>20</v>
      </c>
      <c r="AB218" s="27" t="str">
        <f ca="1">IF(AA218&lt;&gt;"",IF(AA218&gt;28,"Too early",IF(AA218&lt;14,"Too late","")),"")</f>
        <v/>
      </c>
      <c r="AC218" s="46"/>
      <c r="AE218" s="80" t="s">
        <v>54</v>
      </c>
      <c r="AF218" s="80"/>
      <c r="AG218" s="80"/>
      <c r="AH218" s="80" t="str">
        <f>IF(AI218="","",AI218*AJ218*AK218/1000/1000/1000)</f>
        <v/>
      </c>
      <c r="AI218" s="80"/>
      <c r="AJ218" s="80"/>
      <c r="AK218" s="80"/>
    </row>
    <row r="219" spans="1:37" ht="20.100000000000001" customHeight="1">
      <c r="A219" s="33">
        <f ca="1">COUNTIF(J$3:OFFSET(J219,-1,0),"Subtotal:")+1</f>
        <v>17</v>
      </c>
      <c r="B219" s="23" t="str">
        <f ca="1">IF(OFFSET(B219,1,0)&lt;&gt;"",OFFSET(B219,1,0),"")</f>
        <v/>
      </c>
      <c r="C219" s="42"/>
      <c r="D219" s="64" t="s">
        <v>97</v>
      </c>
      <c r="E219" s="60" t="str">
        <f>LEFT(F219,3)</f>
        <v>#10</v>
      </c>
      <c r="F219" s="59" t="s">
        <v>254</v>
      </c>
      <c r="G219" s="64" t="s">
        <v>270</v>
      </c>
      <c r="H219" s="64"/>
      <c r="I219" s="24">
        <f>IF(J219&lt;&gt;"",J219 - ('Shipping Program'!$D$9 + 'Shipping Program'!$F$9 + 'Shipping Program'!$H$9), "")</f>
        <v>46569</v>
      </c>
      <c r="J219" s="43">
        <v>46616</v>
      </c>
      <c r="K219" s="44" t="str">
        <f>IF(SUM(M219:N219)=0,"",SUM(M219:N219))</f>
        <v/>
      </c>
      <c r="L219" s="44"/>
      <c r="M219" s="44"/>
      <c r="N219" s="54"/>
      <c r="O219" s="25">
        <f>VLOOKUP(I219,'Shipping Program'!$A$32:$B$78,2)-1</f>
        <v>17</v>
      </c>
      <c r="P219" s="44">
        <f>O219</f>
        <v>17</v>
      </c>
      <c r="Q219" s="24">
        <f>R219-7</f>
        <v>46552</v>
      </c>
      <c r="R219" s="24">
        <f>IFERROR(_xlfn.XLOOKUP(P219,'Shipping Program'!$B$32:$B$78,'Shipping Program'!$A$32:$A$78),IFERROR(INDEX(_V7Batches!$B:$B,MATCH(P219&amp;"",_V7Batches!$A:$A,0)),""))</f>
        <v>46559</v>
      </c>
      <c r="S219" s="24">
        <f>IFERROR(_xlfn.XLOOKUP(P219,'Shipping Program'!$B$32:$B$78,'Shipping Program'!$E$32:$E$78),IFERROR(INDEX(_V7Batches!$D:$D,MATCH(P219&amp;"",_V7Batches!$A:$A,0)),""))</f>
        <v>46589</v>
      </c>
      <c r="T219" s="24">
        <f>S219+'Shipping Program'!$H$9</f>
        <v>46596</v>
      </c>
      <c r="U219" s="25">
        <f>IFERROR(IF(J219*T219&lt;&gt;0,J219-T219,""),"")</f>
        <v>20</v>
      </c>
      <c r="V219" s="25" t="str">
        <f>IF(U219&lt;&gt;"",IF(U219&gt;28,"Too early",IF(U219&lt;14,"Too late","")),"")</f>
        <v/>
      </c>
      <c r="W219" s="35"/>
      <c r="X219" s="26">
        <f ca="1">IF(OFFSET(X219,1,0)="",R219,OFFSET(X219,1,0))</f>
        <v>46559</v>
      </c>
      <c r="Y219" s="26">
        <f ca="1">IF(OFFSET(Y219,1,0)="",X219+'Shipping Program'!$F$9,OFFSET(Y219,1,0))</f>
        <v>46589</v>
      </c>
      <c r="Z219" s="26">
        <f ca="1">IF(OFFSET(Z219,1,0)="",Y219+'Shipping Program'!$H$9,OFFSET(Z219,1,0))</f>
        <v>46596</v>
      </c>
      <c r="AA219" s="27">
        <f ca="1">IFERROR(IF(J219*Z219&lt;&gt;0,J219-Z219,""),"")</f>
        <v>20</v>
      </c>
      <c r="AB219" s="27" t="str">
        <f ca="1">IF(AA219&lt;&gt;"",IF(AA219&gt;28,"Too early",IF(AA219&lt;14,"Too late","")),"")</f>
        <v/>
      </c>
      <c r="AC219" s="46"/>
      <c r="AE219" s="80" t="s">
        <v>43</v>
      </c>
      <c r="AF219" s="80" t="s">
        <v>41</v>
      </c>
      <c r="AG219" s="80" t="s">
        <v>42</v>
      </c>
      <c r="AH219" s="80" t="str">
        <f>IF(AI219="","",AI219*AJ219*AK219/1000/1000/1000)</f>
        <v/>
      </c>
      <c r="AI219" s="80"/>
      <c r="AJ219" s="80"/>
      <c r="AK219" s="80"/>
    </row>
    <row r="220" spans="1:37" ht="20.100000000000001" customHeight="1">
      <c r="A220" s="33">
        <f ca="1">COUNTIF(J$3:OFFSET(J220,-1,0),"Subtotal:")+1</f>
        <v>17</v>
      </c>
      <c r="B220" s="23" t="str">
        <f ca="1">IF(OFFSET(B220,1,0)&lt;&gt;"",OFFSET(B220,1,0),"")</f>
        <v/>
      </c>
      <c r="C220" s="42"/>
      <c r="D220" s="64" t="s">
        <v>97</v>
      </c>
      <c r="E220" s="60" t="str">
        <f>LEFT(F220,3)</f>
        <v>#10</v>
      </c>
      <c r="F220" s="59" t="s">
        <v>254</v>
      </c>
      <c r="G220" s="64" t="s">
        <v>271</v>
      </c>
      <c r="H220" s="64"/>
      <c r="I220" s="24">
        <f>IF(J220&lt;&gt;"",J220 - ('Shipping Program'!$D$9 + 'Shipping Program'!$F$9 + 'Shipping Program'!$H$9), "")</f>
        <v>46569</v>
      </c>
      <c r="J220" s="43">
        <v>46616</v>
      </c>
      <c r="K220" s="44" t="str">
        <f>IF(SUM(M220:N220)=0,"",SUM(M220:N220))</f>
        <v/>
      </c>
      <c r="L220" s="44"/>
      <c r="M220" s="44"/>
      <c r="N220" s="54"/>
      <c r="O220" s="25">
        <f>VLOOKUP(I220,'Shipping Program'!$A$32:$B$78,2)-1</f>
        <v>17</v>
      </c>
      <c r="P220" s="44">
        <f>O220</f>
        <v>17</v>
      </c>
      <c r="Q220" s="24">
        <f>R220-7</f>
        <v>46552</v>
      </c>
      <c r="R220" s="24">
        <f>IFERROR(_xlfn.XLOOKUP(P220,'Shipping Program'!$B$32:$B$78,'Shipping Program'!$A$32:$A$78),IFERROR(INDEX(_V7Batches!$B:$B,MATCH(P220&amp;"",_V7Batches!$A:$A,0)),""))</f>
        <v>46559</v>
      </c>
      <c r="S220" s="24">
        <f>IFERROR(_xlfn.XLOOKUP(P220,'Shipping Program'!$B$32:$B$78,'Shipping Program'!$E$32:$E$78),IFERROR(INDEX(_V7Batches!$D:$D,MATCH(P220&amp;"",_V7Batches!$A:$A,0)),""))</f>
        <v>46589</v>
      </c>
      <c r="T220" s="24">
        <f>S220+'Shipping Program'!$H$9</f>
        <v>46596</v>
      </c>
      <c r="U220" s="25">
        <f>IFERROR(IF(J220*T220&lt;&gt;0,J220-T220,""),"")</f>
        <v>20</v>
      </c>
      <c r="V220" s="25" t="str">
        <f>IF(U220&lt;&gt;"",IF(U220&gt;28,"Too early",IF(U220&lt;14,"Too late","")),"")</f>
        <v/>
      </c>
      <c r="W220" s="35"/>
      <c r="X220" s="26">
        <f ca="1">IF(OFFSET(X220,1,0)="",R220,OFFSET(X220,1,0))</f>
        <v>46559</v>
      </c>
      <c r="Y220" s="26">
        <f ca="1">IF(OFFSET(Y220,1,0)="",X220+'Shipping Program'!$F$9,OFFSET(Y220,1,0))</f>
        <v>46589</v>
      </c>
      <c r="Z220" s="26">
        <f ca="1">IF(OFFSET(Z220,1,0)="",Y220+'Shipping Program'!$H$9,OFFSET(Z220,1,0))</f>
        <v>46596</v>
      </c>
      <c r="AA220" s="27">
        <f ca="1">IFERROR(IF(J220*Z220&lt;&gt;0,J220-Z220,""),"")</f>
        <v>20</v>
      </c>
      <c r="AB220" s="27" t="str">
        <f ca="1">IF(AA220&lt;&gt;"",IF(AA220&gt;28,"Too early",IF(AA220&lt;14,"Too late","")),"")</f>
        <v/>
      </c>
      <c r="AC220" s="46"/>
      <c r="AE220" s="80" t="s">
        <v>43</v>
      </c>
      <c r="AF220" s="80" t="s">
        <v>41</v>
      </c>
      <c r="AG220" s="80" t="s">
        <v>42</v>
      </c>
      <c r="AH220" s="80" t="str">
        <f>IF(AI220="","",AI220*AJ220*AK220/1000/1000/1000)</f>
        <v/>
      </c>
      <c r="AI220" s="80"/>
      <c r="AJ220" s="80"/>
      <c r="AK220" s="80"/>
    </row>
    <row r="221" spans="1:37" ht="20.100000000000001" customHeight="1">
      <c r="A221" s="34">
        <f ca="1">COUNTIF(J$3:OFFSET(J221,-1,0),"Subtotal:")+1</f>
        <v>17</v>
      </c>
      <c r="B221" s="47"/>
      <c r="C221" s="48"/>
      <c r="D221" s="73"/>
      <c r="E221" s="49"/>
      <c r="F221" s="74"/>
      <c r="G221" s="74"/>
      <c r="H221" s="49"/>
      <c r="I221" s="49"/>
      <c r="J221" s="49" t="s">
        <v>6424</v>
      </c>
      <c r="K221" s="28">
        <f ca="1">SUMIF(A$3:OFFSET(A221,-1,0),A221,K$3:OFFSET(K221,-1,0))</f>
        <v>0</v>
      </c>
      <c r="L221" s="28">
        <f ca="1">SUMIF(A$3:OFFSET(A221,-1,0),A221,L$3:OFFSET(L221,-1,0))</f>
        <v>0</v>
      </c>
      <c r="M221" s="28"/>
      <c r="N221" s="55"/>
      <c r="O221" s="49"/>
      <c r="P221" s="49"/>
      <c r="Q221" s="29">
        <f ca="1">R221-7</f>
        <v>46552</v>
      </c>
      <c r="R221" s="29">
        <f ca="1">IF(J221="Subtotal:",OFFSET(R221,-1,0),"")</f>
        <v>46559</v>
      </c>
      <c r="S221" s="29">
        <f ca="1">IF(J221="Subtotal:",OFFSET(S221,-1,0),"")</f>
        <v>46589</v>
      </c>
      <c r="T221" s="29">
        <f ca="1">IF(J221="Subtotal:",OFFSET(T221,-1,0),"")</f>
        <v>46596</v>
      </c>
      <c r="U221" s="30" t="str">
        <f ca="1">IFERROR(IF(J221*T221&lt;&gt;0,J221-T221,""),"")</f>
        <v/>
      </c>
      <c r="V221" s="31" t="str">
        <f ca="1">IF(U221&lt;&gt;"",IF(U221&gt;28,"Too early",IF(U221&lt;14,"Too late","")),"")</f>
        <v/>
      </c>
      <c r="W221" s="28">
        <f ca="1">(SUMIFS($K:$K,$J:$J,"&lt;&gt;Subtotal:",$J:$J,"&gt;"&amp;S221,$S:$S,"&lt;="&amp;S221))*24*1.3+(SUMIFS($L:$L,$J:$J,"&lt;&gt;Subtotal:",$J:$J,"&gt;"&amp;S221,$S:$S,"&lt;="&amp;S221))/3*1.3</f>
        <v>0</v>
      </c>
      <c r="X221" s="50"/>
      <c r="Y221" s="50"/>
      <c r="Z221" s="50"/>
      <c r="AA221" s="30" t="str">
        <f>IFERROR(IF(J221*Z221&lt;&gt;0,J221-Z221,""),"")</f>
        <v/>
      </c>
      <c r="AB221" s="31" t="str">
        <f>IF(AA221&lt;&gt;"",IF(AA221&gt;28,"Too early",IF(AA221&lt;14,"Too late","")),"")</f>
        <v/>
      </c>
      <c r="AC221" s="32">
        <f>(SUMIFS($K:$K,$J:$J,"&lt;&gt;Subtotal:",$J:$J,"&gt;"&amp;Y221,$Y:$Y,"&lt;="&amp;Y221))*24*1.3+(SUMIFS($L:$L,$J:$J,"&lt;&gt;Subtotal:",$J:$J,"&gt;"&amp;Y221,$Y:$Y,"&lt;="&amp;Y221))/3*1.3</f>
        <v>0</v>
      </c>
      <c r="AD221" s="58"/>
      <c r="AE221" s="78"/>
      <c r="AF221" s="78"/>
      <c r="AG221" s="78"/>
      <c r="AH221" s="78"/>
      <c r="AI221" s="78"/>
      <c r="AJ221" s="78"/>
      <c r="AK221" s="78"/>
    </row>
    <row r="222" spans="1:37" ht="20.100000000000001" customHeight="1">
      <c r="A222" s="33">
        <f ca="1">COUNTIF(J$3:OFFSET(J222,-1,0),"Subtotal:")+1</f>
        <v>18</v>
      </c>
      <c r="B222" s="23" t="str">
        <f ca="1">IF(OFFSET(B222,1,0)&lt;&gt;"",OFFSET(B222,1,0),"")</f>
        <v/>
      </c>
      <c r="C222" s="42"/>
      <c r="D222" s="59" t="s">
        <v>66</v>
      </c>
      <c r="E222" s="60" t="str">
        <f>LEFT(F222,3)</f>
        <v>#04</v>
      </c>
      <c r="F222" s="59" t="s">
        <v>221</v>
      </c>
      <c r="G222" s="59" t="s">
        <v>183</v>
      </c>
      <c r="H222" s="60"/>
      <c r="I222" s="24" t="str">
        <f>IF(J222&lt;&gt;"",J222 - ('Shipping Program'!$D$9 + 'Shipping Program'!$F$9 + 'Shipping Program'!$H$9), "")</f>
        <v/>
      </c>
      <c r="J222" s="43"/>
      <c r="K222" s="44" t="str">
        <f>IF(SUM(M222:N222)=0,"",SUM(M222:N222))</f>
        <v/>
      </c>
      <c r="L222" s="44"/>
      <c r="M222" s="44"/>
      <c r="N222" s="54"/>
      <c r="O222" s="25" t="e">
        <f>VLOOKUP(I222,'Shipping Program'!$A$32:$B$78,2)-1</f>
        <v>#N/A</v>
      </c>
      <c r="P222" s="44" t="e">
        <f>O222</f>
        <v>#N/A</v>
      </c>
      <c r="Q222" s="24" t="e">
        <f>R222-7</f>
        <v>#VALUE!</v>
      </c>
      <c r="R222" s="24" t="str">
        <f>IFERROR(_xlfn.XLOOKUP(P222,'Shipping Program'!$B$32:$B$78,'Shipping Program'!$A$32:$A$78),IFERROR(INDEX(_V7Batches!$B:$B,MATCH(P222&amp;"",_V7Batches!$A:$A,0)),""))</f>
        <v/>
      </c>
      <c r="S222" s="24" t="str">
        <f>IFERROR(_xlfn.XLOOKUP(P222,'Shipping Program'!$B$32:$B$78,'Shipping Program'!$E$32:$E$78),IFERROR(INDEX(_V7Batches!$D:$D,MATCH(P222&amp;"",_V7Batches!$A:$A,0)),""))</f>
        <v/>
      </c>
      <c r="T222" s="24" t="e">
        <f>S222+'Shipping Program'!$H$9</f>
        <v>#VALUE!</v>
      </c>
      <c r="U222" s="25" t="str">
        <f>IFERROR(IF(J222*T222&lt;&gt;0,J222-T222,""),"")</f>
        <v/>
      </c>
      <c r="V222" s="25" t="str">
        <f>IF(U222&lt;&gt;"",IF(U222&gt;28,"Too early",IF(U222&lt;14,"Too late","")),"")</f>
        <v/>
      </c>
      <c r="W222" s="35"/>
      <c r="X222" s="26" t="str">
        <f ca="1">IF(OFFSET(X222,1,0)="",R222,OFFSET(X222,1,0))</f>
        <v/>
      </c>
      <c r="Y222" s="26" t="e">
        <f ca="1">IF(OFFSET(Y222,1,0)="",X222+'Shipping Program'!$F$9,OFFSET(Y222,1,0))</f>
        <v>#VALUE!</v>
      </c>
      <c r="Z222" s="26" t="e">
        <f ca="1">IF(OFFSET(Z222,1,0)="",Y222+'Shipping Program'!$H$9,OFFSET(Z222,1,0))</f>
        <v>#VALUE!</v>
      </c>
      <c r="AA222" s="27" t="str">
        <f ca="1">IFERROR(IF(J222*Z222&lt;&gt;0,J222-Z222,""),"")</f>
        <v/>
      </c>
      <c r="AB222" s="27" t="str">
        <f ca="1">IF(AA222&lt;&gt;"",IF(AA222&gt;28,"Too early",IF(AA222&lt;14,"Too late","")),"")</f>
        <v/>
      </c>
      <c r="AC222" s="46"/>
      <c r="AE222" s="80" t="s">
        <v>54</v>
      </c>
      <c r="AF222" s="80"/>
      <c r="AG222" s="80"/>
      <c r="AH222" s="80" t="str">
        <f>IF(AI222="","",AI222*AJ222*AK222/1000/1000/1000)</f>
        <v/>
      </c>
      <c r="AI222" s="80"/>
      <c r="AJ222" s="80"/>
      <c r="AK222" s="80"/>
    </row>
    <row r="223" spans="1:37" ht="20.100000000000001" customHeight="1">
      <c r="A223" s="33">
        <f ca="1">COUNTIF(J$3:OFFSET(J223,-1,0),"Subtotal:")+1</f>
        <v>18</v>
      </c>
      <c r="B223" s="23" t="str">
        <f ca="1">IF(OFFSET(B223,1,0)&lt;&gt;"",OFFSET(B223,1,0),"")</f>
        <v/>
      </c>
      <c r="C223" s="42"/>
      <c r="D223" s="59" t="s">
        <v>44</v>
      </c>
      <c r="E223" s="60" t="str">
        <f>LEFT(F223,3)</f>
        <v>#02</v>
      </c>
      <c r="F223" s="59" t="s">
        <v>179</v>
      </c>
      <c r="G223" s="59" t="s">
        <v>3899</v>
      </c>
      <c r="H223" s="60"/>
      <c r="I223" s="24">
        <f>IF(J223&lt;&gt;"",J223 - ('Shipping Program'!$D$9 + 'Shipping Program'!$F$9 + 'Shipping Program'!$H$9), "")</f>
        <v>46452</v>
      </c>
      <c r="J223" s="43">
        <v>46499</v>
      </c>
      <c r="K223" s="44" t="str">
        <f>IF(SUM(M223:N223)=0,"",SUM(M223:N223))</f>
        <v/>
      </c>
      <c r="L223" s="44"/>
      <c r="M223" s="44"/>
      <c r="N223" s="54"/>
      <c r="O223" s="25">
        <f>VLOOKUP(I223,'Shipping Program'!$A$32:$B$78,2)-1</f>
        <v>0</v>
      </c>
      <c r="P223" s="44">
        <f>O223</f>
        <v>0</v>
      </c>
      <c r="Q223" s="24" t="e">
        <f>R223-7</f>
        <v>#VALUE!</v>
      </c>
      <c r="R223" s="24" t="str">
        <f>IFERROR(_xlfn.XLOOKUP(P223,'Shipping Program'!$B$32:$B$78,'Shipping Program'!$A$32:$A$78),IFERROR(INDEX(_V7Batches!$B:$B,MATCH(P223&amp;"",_V7Batches!$A:$A,0)),""))</f>
        <v/>
      </c>
      <c r="S223" s="24" t="str">
        <f>IFERROR(_xlfn.XLOOKUP(P223,'Shipping Program'!$B$32:$B$78,'Shipping Program'!$E$32:$E$78),IFERROR(INDEX(_V7Batches!$D:$D,MATCH(P223&amp;"",_V7Batches!$A:$A,0)),""))</f>
        <v/>
      </c>
      <c r="T223" s="24" t="e">
        <f>S223+'Shipping Program'!$H$9</f>
        <v>#VALUE!</v>
      </c>
      <c r="U223" s="25" t="str">
        <f>IFERROR(IF(J223*T223&lt;&gt;0,J223-T223,""),"")</f>
        <v/>
      </c>
      <c r="V223" s="25" t="str">
        <f>IF(U223&lt;&gt;"",IF(U223&gt;28,"Too early",IF(U223&lt;14,"Too late","")),"")</f>
        <v/>
      </c>
      <c r="W223" s="35"/>
      <c r="X223" s="26" t="str">
        <f ca="1">IF(OFFSET(X223,1,0)="",R223,OFFSET(X223,1,0))</f>
        <v/>
      </c>
      <c r="Y223" s="26" t="e">
        <f ca="1">IF(OFFSET(Y223,1,0)="",X223+'Shipping Program'!$F$9,OFFSET(Y223,1,0))</f>
        <v>#VALUE!</v>
      </c>
      <c r="Z223" s="26" t="e">
        <f ca="1">IF(OFFSET(Z223,1,0)="",Y223+'Shipping Program'!$H$9,OFFSET(Z223,1,0))</f>
        <v>#VALUE!</v>
      </c>
      <c r="AA223" s="27" t="str">
        <f ca="1">IFERROR(IF(J223*Z223&lt;&gt;0,J223-Z223,""),"")</f>
        <v/>
      </c>
      <c r="AB223" s="27" t="str">
        <f ca="1">IF(AA223&lt;&gt;"",IF(AA223&gt;28,"Too early",IF(AA223&lt;14,"Too late","")),"")</f>
        <v/>
      </c>
      <c r="AC223" s="46"/>
      <c r="AE223" s="80" t="s">
        <v>43</v>
      </c>
      <c r="AF223" s="80" t="s">
        <v>41</v>
      </c>
      <c r="AG223" s="80" t="s">
        <v>45</v>
      </c>
      <c r="AH223" s="80" t="str">
        <f>IF(AI223="","",AI223*AJ223*AK223/1000/1000/1000)</f>
        <v/>
      </c>
      <c r="AI223" s="80"/>
      <c r="AJ223" s="80"/>
      <c r="AK223" s="80"/>
    </row>
    <row r="224" spans="1:37" ht="20.100000000000001" customHeight="1">
      <c r="A224" s="33">
        <f ca="1">COUNTIF(J$3:OFFSET(J224,-1,0),"Subtotal:")+1</f>
        <v>18</v>
      </c>
      <c r="B224" s="23" t="str">
        <f ca="1">IF(OFFSET(B224,1,0)&lt;&gt;"",OFFSET(B224,1,0),"")</f>
        <v/>
      </c>
      <c r="C224" s="42"/>
      <c r="D224" s="59" t="s">
        <v>44</v>
      </c>
      <c r="E224" s="60" t="str">
        <f>LEFT(F224,3)</f>
        <v>#02</v>
      </c>
      <c r="F224" s="59" t="s">
        <v>179</v>
      </c>
      <c r="G224" s="59" t="s">
        <v>3900</v>
      </c>
      <c r="H224" s="60"/>
      <c r="I224" s="24">
        <f>IF(J224&lt;&gt;"",J224 - ('Shipping Program'!$D$9 + 'Shipping Program'!$F$9 + 'Shipping Program'!$H$9), "")</f>
        <v>46450</v>
      </c>
      <c r="J224" s="43">
        <v>46497</v>
      </c>
      <c r="K224" s="44" t="str">
        <f>IF(SUM(M224:N224)=0,"",SUM(M224:N224))</f>
        <v/>
      </c>
      <c r="L224" s="44"/>
      <c r="M224" s="44"/>
      <c r="N224" s="54"/>
      <c r="O224" s="25">
        <f>VLOOKUP(I224,'Shipping Program'!$A$32:$B$78,2)-1</f>
        <v>0</v>
      </c>
      <c r="P224" s="44">
        <f>O224</f>
        <v>0</v>
      </c>
      <c r="Q224" s="24" t="e">
        <f>R224-7</f>
        <v>#VALUE!</v>
      </c>
      <c r="R224" s="24" t="str">
        <f>IFERROR(_xlfn.XLOOKUP(P224,'Shipping Program'!$B$32:$B$78,'Shipping Program'!$A$32:$A$78),IFERROR(INDEX(_V7Batches!$B:$B,MATCH(P224&amp;"",_V7Batches!$A:$A,0)),""))</f>
        <v/>
      </c>
      <c r="S224" s="24" t="str">
        <f>IFERROR(_xlfn.XLOOKUP(P224,'Shipping Program'!$B$32:$B$78,'Shipping Program'!$E$32:$E$78),IFERROR(INDEX(_V7Batches!$D:$D,MATCH(P224&amp;"",_V7Batches!$A:$A,0)),""))</f>
        <v/>
      </c>
      <c r="T224" s="24" t="e">
        <f>S224+'Shipping Program'!$H$9</f>
        <v>#VALUE!</v>
      </c>
      <c r="U224" s="25" t="str">
        <f>IFERROR(IF(J224*T224&lt;&gt;0,J224-T224,""),"")</f>
        <v/>
      </c>
      <c r="V224" s="25" t="str">
        <f>IF(U224&lt;&gt;"",IF(U224&gt;28,"Too early",IF(U224&lt;14,"Too late","")),"")</f>
        <v/>
      </c>
      <c r="W224" s="35"/>
      <c r="X224" s="26" t="str">
        <f ca="1">IF(OFFSET(X224,1,0)="",R224,OFFSET(X224,1,0))</f>
        <v/>
      </c>
      <c r="Y224" s="26" t="e">
        <f ca="1">IF(OFFSET(Y224,1,0)="",X224+'Shipping Program'!$F$9,OFFSET(Y224,1,0))</f>
        <v>#VALUE!</v>
      </c>
      <c r="Z224" s="26" t="e">
        <f ca="1">IF(OFFSET(Z224,1,0)="",Y224+'Shipping Program'!$H$9,OFFSET(Z224,1,0))</f>
        <v>#VALUE!</v>
      </c>
      <c r="AA224" s="27" t="str">
        <f ca="1">IFERROR(IF(J224*Z224&lt;&gt;0,J224-Z224,""),"")</f>
        <v/>
      </c>
      <c r="AB224" s="27" t="str">
        <f ca="1">IF(AA224&lt;&gt;"",IF(AA224&gt;28,"Too early",IF(AA224&lt;14,"Too late","")),"")</f>
        <v/>
      </c>
      <c r="AC224" s="46"/>
      <c r="AE224" s="80" t="s">
        <v>43</v>
      </c>
      <c r="AF224" s="80" t="s">
        <v>41</v>
      </c>
      <c r="AG224" s="80" t="s">
        <v>45</v>
      </c>
      <c r="AH224" s="80" t="str">
        <f>IF(AI224="","",AI224*AJ224*AK224/1000/1000/1000)</f>
        <v/>
      </c>
      <c r="AI224" s="80"/>
      <c r="AJ224" s="80"/>
      <c r="AK224" s="80"/>
    </row>
    <row r="225" spans="1:37" ht="20.100000000000001" customHeight="1">
      <c r="A225" s="33">
        <f ca="1">COUNTIF(J$3:OFFSET(J225,-1,0),"Subtotal:")+1</f>
        <v>18</v>
      </c>
      <c r="B225" s="23" t="str">
        <f ca="1">IF(OFFSET(B225,1,0)&lt;&gt;"",OFFSET(B225,1,0),"")</f>
        <v/>
      </c>
      <c r="C225" s="42"/>
      <c r="D225" s="59" t="s">
        <v>44</v>
      </c>
      <c r="E225" s="60" t="str">
        <f>LEFT(F225,3)</f>
        <v>#02</v>
      </c>
      <c r="F225" s="59" t="s">
        <v>178</v>
      </c>
      <c r="G225" s="59" t="s">
        <v>3903</v>
      </c>
      <c r="H225" s="60"/>
      <c r="I225" s="24">
        <f>IF(J225&lt;&gt;"",J225 - ('Shipping Program'!$D$9 + 'Shipping Program'!$F$9 + 'Shipping Program'!$H$9), "")</f>
        <v>46453</v>
      </c>
      <c r="J225" s="43">
        <v>46500</v>
      </c>
      <c r="K225" s="44" t="str">
        <f>IF(SUM(M225:N225)=0,"",SUM(M225:N225))</f>
        <v/>
      </c>
      <c r="L225" s="44"/>
      <c r="M225" s="44"/>
      <c r="N225" s="54"/>
      <c r="O225" s="25">
        <f>VLOOKUP(I225,'Shipping Program'!$A$32:$B$78,2)-1</f>
        <v>0</v>
      </c>
      <c r="P225" s="44">
        <f>O225</f>
        <v>0</v>
      </c>
      <c r="Q225" s="24" t="e">
        <f>R225-7</f>
        <v>#VALUE!</v>
      </c>
      <c r="R225" s="24" t="str">
        <f>IFERROR(_xlfn.XLOOKUP(P225,'Shipping Program'!$B$32:$B$78,'Shipping Program'!$A$32:$A$78),IFERROR(INDEX(_V7Batches!$B:$B,MATCH(P225&amp;"",_V7Batches!$A:$A,0)),""))</f>
        <v/>
      </c>
      <c r="S225" s="24" t="str">
        <f>IFERROR(_xlfn.XLOOKUP(P225,'Shipping Program'!$B$32:$B$78,'Shipping Program'!$E$32:$E$78),IFERROR(INDEX(_V7Batches!$D:$D,MATCH(P225&amp;"",_V7Batches!$A:$A,0)),""))</f>
        <v/>
      </c>
      <c r="T225" s="24" t="e">
        <f>S225+'Shipping Program'!$H$9</f>
        <v>#VALUE!</v>
      </c>
      <c r="U225" s="25" t="str">
        <f>IFERROR(IF(J225*T225&lt;&gt;0,J225-T225,""),"")</f>
        <v/>
      </c>
      <c r="V225" s="25" t="str">
        <f>IF(U225&lt;&gt;"",IF(U225&gt;28,"Too early",IF(U225&lt;14,"Too late","")),"")</f>
        <v/>
      </c>
      <c r="W225" s="35"/>
      <c r="X225" s="26" t="str">
        <f ca="1">IF(OFFSET(X225,1,0)="",R225,OFFSET(X225,1,0))</f>
        <v/>
      </c>
      <c r="Y225" s="26" t="e">
        <f ca="1">IF(OFFSET(Y225,1,0)="",X225+'Shipping Program'!$F$9,OFFSET(Y225,1,0))</f>
        <v>#VALUE!</v>
      </c>
      <c r="Z225" s="26" t="e">
        <f ca="1">IF(OFFSET(Z225,1,0)="",Y225+'Shipping Program'!$H$9,OFFSET(Z225,1,0))</f>
        <v>#VALUE!</v>
      </c>
      <c r="AA225" s="27" t="str">
        <f ca="1">IFERROR(IF(J225*Z225&lt;&gt;0,J225-Z225,""),"")</f>
        <v/>
      </c>
      <c r="AB225" s="27" t="str">
        <f ca="1">IF(AA225&lt;&gt;"",IF(AA225&gt;28,"Too early",IF(AA225&lt;14,"Too late","")),"")</f>
        <v/>
      </c>
      <c r="AC225" s="46"/>
      <c r="AE225" s="80" t="s">
        <v>43</v>
      </c>
      <c r="AF225" s="80" t="s">
        <v>41</v>
      </c>
      <c r="AG225" s="80" t="s">
        <v>45</v>
      </c>
      <c r="AH225" s="80" t="str">
        <f>IF(AI225="","",AI225*AJ225*AK225/1000/1000/1000)</f>
        <v/>
      </c>
      <c r="AI225" s="80"/>
      <c r="AJ225" s="80"/>
      <c r="AK225" s="80"/>
    </row>
    <row r="226" spans="1:37" ht="20.100000000000001" customHeight="1">
      <c r="A226" s="33">
        <f ca="1">COUNTIF(J$3:OFFSET(J226,-1,0),"Subtotal:")+1</f>
        <v>18</v>
      </c>
      <c r="B226" s="23" t="str">
        <f ca="1">IF(OFFSET(B226,1,0)&lt;&gt;"",OFFSET(B226,1,0),"")</f>
        <v/>
      </c>
      <c r="C226" s="42"/>
      <c r="D226" s="59" t="s">
        <v>38</v>
      </c>
      <c r="E226" s="60" t="str">
        <f>LEFT(F226,3)</f>
        <v>#09</v>
      </c>
      <c r="F226" s="59" t="s">
        <v>154</v>
      </c>
      <c r="G226" s="59" t="s">
        <v>159</v>
      </c>
      <c r="H226" s="60" t="s">
        <v>39</v>
      </c>
      <c r="I226" s="24">
        <f>IF(J226&lt;&gt;"",J226 - ('Shipping Program'!$D$9 + 'Shipping Program'!$F$9 + 'Shipping Program'!$H$9), "")</f>
        <v>46446</v>
      </c>
      <c r="J226" s="43">
        <v>46493</v>
      </c>
      <c r="K226" s="44"/>
      <c r="L226" s="44"/>
      <c r="M226" s="44"/>
      <c r="N226" s="54"/>
      <c r="O226" s="25" t="e">
        <f>VLOOKUP(I226,'Shipping Program'!$A$32:$B$78,2)</f>
        <v>#N/A</v>
      </c>
      <c r="P226" s="44" t="e">
        <f>O226</f>
        <v>#N/A</v>
      </c>
      <c r="Q226" s="24" t="e">
        <f>R226-7</f>
        <v>#VALUE!</v>
      </c>
      <c r="R226" s="24" t="str">
        <f>IFERROR(_xlfn.XLOOKUP(P226,'Shipping Program'!$B$32:$B$78,'Shipping Program'!$A$32:$A$78),IFERROR(INDEX(_V7Batches!$B:$B,MATCH(P226&amp;"",_V7Batches!$A:$A,0)),""))</f>
        <v/>
      </c>
      <c r="S226" s="24" t="str">
        <f>IFERROR(_xlfn.XLOOKUP(P226,'Shipping Program'!$B$32:$B$78,'Shipping Program'!$E$32:$E$78),IFERROR(INDEX(_V7Batches!$D:$D,MATCH(P226&amp;"",_V7Batches!$A:$A,0)),""))</f>
        <v/>
      </c>
      <c r="T226" s="24" t="e">
        <f>S226+'Shipping Program'!$H$9</f>
        <v>#VALUE!</v>
      </c>
      <c r="U226" s="25" t="str">
        <f>IFERROR(IF(J226*T226&lt;&gt;0,J226-T226,""),"")</f>
        <v/>
      </c>
      <c r="V226" s="25" t="str">
        <f>IF(U226&lt;&gt;"",IF(U226&gt;28,"Too early",IF(U226&lt;14,"Too late","")),"")</f>
        <v/>
      </c>
      <c r="W226" s="45"/>
      <c r="X226" s="26" t="str">
        <f ca="1">IF(OFFSET(X226,1,0)="",R226,OFFSET(X226,1,0))</f>
        <v/>
      </c>
      <c r="Y226" s="26" t="e">
        <f ca="1">IF(OFFSET(Y226,1,0)="",X226+'Shipping Program'!$F$9,OFFSET(Y226,1,0))</f>
        <v>#VALUE!</v>
      </c>
      <c r="Z226" s="26" t="e">
        <f ca="1">IF(OFFSET(Z226,1,0)="",Y226+'Shipping Program'!$H$9,OFFSET(Z226,1,0))</f>
        <v>#VALUE!</v>
      </c>
      <c r="AA226" s="27" t="str">
        <f ca="1">IFERROR(IF(J226*Z226&lt;&gt;0,J226-Z226,""),"")</f>
        <v/>
      </c>
      <c r="AB226" s="27" t="str">
        <f ca="1">IF(AA226&lt;&gt;"",IF(AA226&gt;28,"Too early",IF(AA226&lt;14,"Too late","")),"")</f>
        <v/>
      </c>
      <c r="AC226" s="46"/>
      <c r="AE226" s="79" t="s">
        <v>40</v>
      </c>
      <c r="AF226" s="79" t="s">
        <v>41</v>
      </c>
      <c r="AG226" s="79" t="s">
        <v>42</v>
      </c>
      <c r="AH226" s="80" t="str">
        <f>IF(AI226="","",AI226*AJ226*AK226/1000/1000/1000)</f>
        <v/>
      </c>
      <c r="AI226" s="80"/>
      <c r="AJ226" s="80"/>
      <c r="AK226" s="80"/>
    </row>
    <row r="227" spans="1:37" ht="20.100000000000001" customHeight="1">
      <c r="A227" s="33">
        <f ca="1">COUNTIF(J$3:OFFSET(J227,-1,0),"Subtotal:")+1</f>
        <v>18</v>
      </c>
      <c r="B227" s="23" t="str">
        <f ca="1">IF(OFFSET(B227,1,0)&lt;&gt;"",OFFSET(B227,1,0),"")</f>
        <v/>
      </c>
      <c r="C227" s="42"/>
      <c r="D227" s="59" t="s">
        <v>44</v>
      </c>
      <c r="E227" s="60" t="str">
        <f>LEFT(F227,3)</f>
        <v>#02</v>
      </c>
      <c r="F227" s="59" t="s">
        <v>178</v>
      </c>
      <c r="G227" s="61" t="s">
        <v>204</v>
      </c>
      <c r="H227" s="60"/>
      <c r="I227" s="24">
        <f>IF(J227&lt;&gt;"",J227 - ('Shipping Program'!$D$9 + 'Shipping Program'!$F$9 + 'Shipping Program'!$H$9), "")</f>
        <v>46445</v>
      </c>
      <c r="J227" s="43">
        <v>46492</v>
      </c>
      <c r="K227" s="44" t="str">
        <f>IF(SUM(M227:N227)=0,"",SUM(M227:N227))</f>
        <v/>
      </c>
      <c r="L227" s="44"/>
      <c r="M227" s="44"/>
      <c r="N227" s="54"/>
      <c r="O227" s="25" t="e">
        <f>VLOOKUP(I227,'Shipping Program'!$A$32:$B$78,2)-1</f>
        <v>#N/A</v>
      </c>
      <c r="P227" s="44" t="e">
        <f>O227</f>
        <v>#N/A</v>
      </c>
      <c r="Q227" s="24" t="e">
        <f>R227-7</f>
        <v>#VALUE!</v>
      </c>
      <c r="R227" s="24" t="str">
        <f>IFERROR(_xlfn.XLOOKUP(P227,'Shipping Program'!$B$32:$B$78,'Shipping Program'!$A$32:$A$78),IFERROR(INDEX(_V7Batches!$B:$B,MATCH(P227&amp;"",_V7Batches!$A:$A,0)),""))</f>
        <v/>
      </c>
      <c r="S227" s="24" t="str">
        <f>IFERROR(_xlfn.XLOOKUP(P227,'Shipping Program'!$B$32:$B$78,'Shipping Program'!$E$32:$E$78),IFERROR(INDEX(_V7Batches!$D:$D,MATCH(P227&amp;"",_V7Batches!$A:$A,0)),""))</f>
        <v/>
      </c>
      <c r="T227" s="24" t="e">
        <f>S227+'Shipping Program'!$H$9</f>
        <v>#VALUE!</v>
      </c>
      <c r="U227" s="25" t="str">
        <f>IFERROR(IF(J227*T227&lt;&gt;0,J227-T227,""),"")</f>
        <v/>
      </c>
      <c r="V227" s="25" t="str">
        <f>IF(U227&lt;&gt;"",IF(U227&gt;28,"Too early",IF(U227&lt;14,"Too late","")),"")</f>
        <v/>
      </c>
      <c r="W227" s="35"/>
      <c r="X227" s="26" t="str">
        <f ca="1">IF(OFFSET(X227,1,0)="",R227,OFFSET(X227,1,0))</f>
        <v/>
      </c>
      <c r="Y227" s="26" t="e">
        <f ca="1">IF(OFFSET(Y227,1,0)="",X227+'Shipping Program'!$F$9,OFFSET(Y227,1,0))</f>
        <v>#VALUE!</v>
      </c>
      <c r="Z227" s="26" t="e">
        <f ca="1">IF(OFFSET(Z227,1,0)="",Y227+'Shipping Program'!$H$9,OFFSET(Z227,1,0))</f>
        <v>#VALUE!</v>
      </c>
      <c r="AA227" s="27" t="str">
        <f ca="1">IFERROR(IF(J227*Z227&lt;&gt;0,J227-Z227,""),"")</f>
        <v/>
      </c>
      <c r="AB227" s="27" t="str">
        <f ca="1">IF(AA227&lt;&gt;"",IF(AA227&gt;28,"Too early",IF(AA227&lt;14,"Too late","")),"")</f>
        <v/>
      </c>
      <c r="AC227" s="46"/>
      <c r="AE227" s="80" t="s">
        <v>43</v>
      </c>
      <c r="AF227" s="80" t="s">
        <v>46</v>
      </c>
      <c r="AG227" s="80" t="s">
        <v>45</v>
      </c>
      <c r="AH227" s="80" t="str">
        <f>IF(AI227="","",AI227*AJ227*AK227/1000/1000/1000)</f>
        <v/>
      </c>
      <c r="AI227" s="80"/>
      <c r="AJ227" s="80"/>
      <c r="AK227" s="80"/>
    </row>
    <row r="228" spans="1:37" ht="20.100000000000001" customHeight="1">
      <c r="A228" s="33">
        <f ca="1">COUNTIF(J$3:OFFSET(J228,-1,0),"Subtotal:")+1</f>
        <v>18</v>
      </c>
      <c r="B228" s="23" t="str">
        <f ca="1">IF(OFFSET(B228,1,0)&lt;&gt;"",OFFSET(B228,1,0),"")</f>
        <v/>
      </c>
      <c r="C228" s="42"/>
      <c r="D228" s="59" t="s">
        <v>52</v>
      </c>
      <c r="E228" s="60" t="str">
        <f>LEFT(F228,3)</f>
        <v>#02</v>
      </c>
      <c r="F228" s="59" t="s">
        <v>179</v>
      </c>
      <c r="G228" s="59" t="s">
        <v>201</v>
      </c>
      <c r="H228" s="60"/>
      <c r="I228" s="24" t="str">
        <f>IF(J228&lt;&gt;"",J228 - ('Shipping Program'!$D$9 + 'Shipping Program'!$F$9 + 'Shipping Program'!$H$9), "")</f>
        <v/>
      </c>
      <c r="J228" s="43"/>
      <c r="K228" s="44" t="str">
        <f>IF(SUM(M228:N228)=0,"",SUM(M228:N228))</f>
        <v/>
      </c>
      <c r="L228" s="44"/>
      <c r="M228" s="44"/>
      <c r="N228" s="54"/>
      <c r="O228" s="25" t="e">
        <f>VLOOKUP(I228,'Shipping Program'!$A$32:$B$78,2)-1</f>
        <v>#N/A</v>
      </c>
      <c r="P228" s="44" t="e">
        <f>O228</f>
        <v>#N/A</v>
      </c>
      <c r="Q228" s="24" t="e">
        <f>R228-7</f>
        <v>#VALUE!</v>
      </c>
      <c r="R228" s="24" t="str">
        <f>IFERROR(_xlfn.XLOOKUP(P228,'Shipping Program'!$B$32:$B$78,'Shipping Program'!$A$32:$A$78),IFERROR(INDEX(_V7Batches!$B:$B,MATCH(P228&amp;"",_V7Batches!$A:$A,0)),""))</f>
        <v/>
      </c>
      <c r="S228" s="24" t="str">
        <f>IFERROR(_xlfn.XLOOKUP(P228,'Shipping Program'!$B$32:$B$78,'Shipping Program'!$E$32:$E$78),IFERROR(INDEX(_V7Batches!$D:$D,MATCH(P228&amp;"",_V7Batches!$A:$A,0)),""))</f>
        <v/>
      </c>
      <c r="T228" s="24" t="e">
        <f>S228+'Shipping Program'!$H$9</f>
        <v>#VALUE!</v>
      </c>
      <c r="U228" s="25" t="str">
        <f>IFERROR(IF(J228*T228&lt;&gt;0,J228-T228,""),"")</f>
        <v/>
      </c>
      <c r="V228" s="25" t="str">
        <f>IF(U228&lt;&gt;"",IF(U228&gt;28,"Too early",IF(U228&lt;14,"Too late","")),"")</f>
        <v/>
      </c>
      <c r="W228" s="35"/>
      <c r="X228" s="26" t="str">
        <f ca="1">IF(OFFSET(X228,1,0)="",R228,OFFSET(X228,1,0))</f>
        <v/>
      </c>
      <c r="Y228" s="26" t="e">
        <f ca="1">IF(OFFSET(Y228,1,0)="",X228+'Shipping Program'!$F$9,OFFSET(Y228,1,0))</f>
        <v>#VALUE!</v>
      </c>
      <c r="Z228" s="26" t="e">
        <f ca="1">IF(OFFSET(Z228,1,0)="",Y228+'Shipping Program'!$H$9,OFFSET(Z228,1,0))</f>
        <v>#VALUE!</v>
      </c>
      <c r="AA228" s="27" t="str">
        <f ca="1">IFERROR(IF(J228*Z228&lt;&gt;0,J228-Z228,""),"")</f>
        <v/>
      </c>
      <c r="AB228" s="27" t="str">
        <f ca="1">IF(AA228&lt;&gt;"",IF(AA228&gt;28,"Too early",IF(AA228&lt;14,"Too late","")),"")</f>
        <v/>
      </c>
      <c r="AC228" s="46"/>
      <c r="AE228" s="80" t="s">
        <v>43</v>
      </c>
      <c r="AF228" s="80" t="s">
        <v>41</v>
      </c>
      <c r="AG228" s="80" t="s">
        <v>42</v>
      </c>
      <c r="AH228" s="80" t="str">
        <f>IF(AI228="","",AI228*AJ228*AK228/1000/1000/1000)</f>
        <v/>
      </c>
      <c r="AI228" s="80"/>
      <c r="AJ228" s="80"/>
      <c r="AK228" s="80"/>
    </row>
    <row r="229" spans="1:37" ht="20.100000000000001" customHeight="1">
      <c r="A229" s="33">
        <f ca="1">COUNTIF(J$3:OFFSET(J229,-1,0),"Subtotal:")+1</f>
        <v>18</v>
      </c>
      <c r="B229" s="23" t="str">
        <f ca="1">IF(OFFSET(B229,1,0)&lt;&gt;"",OFFSET(B229,1,0),"")</f>
        <v/>
      </c>
      <c r="C229" s="42"/>
      <c r="D229" s="59" t="s">
        <v>53</v>
      </c>
      <c r="E229" s="60" t="str">
        <f>LEFT(F229,3)</f>
        <v>#02</v>
      </c>
      <c r="F229" s="59" t="s">
        <v>179</v>
      </c>
      <c r="G229" s="59" t="s">
        <v>183</v>
      </c>
      <c r="H229" s="60"/>
      <c r="I229" s="24" t="str">
        <f>IF(J229&lt;&gt;"",J229 - ('Shipping Program'!$D$9 + 'Shipping Program'!$F$9 + 'Shipping Program'!$H$9), "")</f>
        <v/>
      </c>
      <c r="J229" s="43"/>
      <c r="K229" s="44" t="str">
        <f>IF(SUM(M229:N229)=0,"",SUM(M229:N229))</f>
        <v/>
      </c>
      <c r="L229" s="44"/>
      <c r="M229" s="44"/>
      <c r="N229" s="54"/>
      <c r="O229" s="25" t="e">
        <f>VLOOKUP(I229,'Shipping Program'!$A$32:$B$78,2)-1</f>
        <v>#N/A</v>
      </c>
      <c r="P229" s="44" t="e">
        <f>O229</f>
        <v>#N/A</v>
      </c>
      <c r="Q229" s="24" t="e">
        <f>R229-7</f>
        <v>#VALUE!</v>
      </c>
      <c r="R229" s="24" t="str">
        <f>IFERROR(_xlfn.XLOOKUP(P229,'Shipping Program'!$B$32:$B$78,'Shipping Program'!$A$32:$A$78),IFERROR(INDEX(_V7Batches!$B:$B,MATCH(P229&amp;"",_V7Batches!$A:$A,0)),""))</f>
        <v/>
      </c>
      <c r="S229" s="24" t="str">
        <f>IFERROR(_xlfn.XLOOKUP(P229,'Shipping Program'!$B$32:$B$78,'Shipping Program'!$E$32:$E$78),IFERROR(INDEX(_V7Batches!$D:$D,MATCH(P229&amp;"",_V7Batches!$A:$A,0)),""))</f>
        <v/>
      </c>
      <c r="T229" s="24" t="e">
        <f>S229+'Shipping Program'!$H$9</f>
        <v>#VALUE!</v>
      </c>
      <c r="U229" s="25" t="str">
        <f>IFERROR(IF(J229*T229&lt;&gt;0,J229-T229,""),"")</f>
        <v/>
      </c>
      <c r="V229" s="25" t="str">
        <f>IF(U229&lt;&gt;"",IF(U229&gt;28,"Too early",IF(U229&lt;14,"Too late","")),"")</f>
        <v/>
      </c>
      <c r="W229" s="35"/>
      <c r="X229" s="26" t="str">
        <f ca="1">IF(OFFSET(X229,1,0)="",R229,OFFSET(X229,1,0))</f>
        <v/>
      </c>
      <c r="Y229" s="26" t="e">
        <f ca="1">IF(OFFSET(Y229,1,0)="",X229+'Shipping Program'!$F$9,OFFSET(Y229,1,0))</f>
        <v>#VALUE!</v>
      </c>
      <c r="Z229" s="26" t="e">
        <f ca="1">IF(OFFSET(Z229,1,0)="",Y229+'Shipping Program'!$H$9,OFFSET(Z229,1,0))</f>
        <v>#VALUE!</v>
      </c>
      <c r="AA229" s="27" t="str">
        <f ca="1">IFERROR(IF(J229*Z229&lt;&gt;0,J229-Z229,""),"")</f>
        <v/>
      </c>
      <c r="AB229" s="27" t="str">
        <f ca="1">IF(AA229&lt;&gt;"",IF(AA229&gt;28,"Too early",IF(AA229&lt;14,"Too late","")),"")</f>
        <v/>
      </c>
      <c r="AC229" s="46"/>
      <c r="AE229" s="80" t="s">
        <v>54</v>
      </c>
      <c r="AF229" s="80"/>
      <c r="AG229" s="80"/>
      <c r="AH229" s="80" t="str">
        <f>IF(AI229="","",AI229*AJ229*AK229/1000/1000/1000)</f>
        <v/>
      </c>
      <c r="AI229" s="80"/>
      <c r="AJ229" s="80"/>
      <c r="AK229" s="80"/>
    </row>
    <row r="230" spans="1:37" ht="20.100000000000001" customHeight="1">
      <c r="A230" s="33">
        <f ca="1">COUNTIF(J$3:OFFSET(J230,-1,0),"Subtotal:")+1</f>
        <v>18</v>
      </c>
      <c r="B230" s="23" t="str">
        <f ca="1">IF(OFFSET(B230,1,0)&lt;&gt;"",OFFSET(B230,1,0),"")</f>
        <v/>
      </c>
      <c r="C230" s="42"/>
      <c r="D230" s="59" t="s">
        <v>55</v>
      </c>
      <c r="E230" s="60" t="str">
        <f>LEFT(F230,3)</f>
        <v>#02</v>
      </c>
      <c r="F230" s="59" t="s">
        <v>179</v>
      </c>
      <c r="G230" s="59" t="s">
        <v>203</v>
      </c>
      <c r="H230" s="60" t="s">
        <v>56</v>
      </c>
      <c r="I230" s="24" t="str">
        <f>IF(J230&lt;&gt;"",J230 - ('Shipping Program'!$D$9 + 'Shipping Program'!$F$9 + 'Shipping Program'!$H$9), "")</f>
        <v/>
      </c>
      <c r="J230" s="43"/>
      <c r="K230" s="44" t="str">
        <f>IF(SUM(M230:N230)=0,"",SUM(M230:N230))</f>
        <v/>
      </c>
      <c r="L230" s="44"/>
      <c r="M230" s="44"/>
      <c r="N230" s="54"/>
      <c r="O230" s="25" t="e">
        <f>VLOOKUP(I230,'Shipping Program'!$A$32:$B$78,2)-1</f>
        <v>#N/A</v>
      </c>
      <c r="P230" s="44" t="e">
        <f>O230</f>
        <v>#N/A</v>
      </c>
      <c r="Q230" s="24" t="e">
        <f>R230-7</f>
        <v>#VALUE!</v>
      </c>
      <c r="R230" s="24" t="str">
        <f>IFERROR(_xlfn.XLOOKUP(P230,'Shipping Program'!$B$32:$B$78,'Shipping Program'!$A$32:$A$78),IFERROR(INDEX(_V7Batches!$B:$B,MATCH(P230&amp;"",_V7Batches!$A:$A,0)),""))</f>
        <v/>
      </c>
      <c r="S230" s="24" t="str">
        <f>IFERROR(_xlfn.XLOOKUP(P230,'Shipping Program'!$B$32:$B$78,'Shipping Program'!$E$32:$E$78),IFERROR(INDEX(_V7Batches!$D:$D,MATCH(P230&amp;"",_V7Batches!$A:$A,0)),""))</f>
        <v/>
      </c>
      <c r="T230" s="24" t="e">
        <f>S230+'Shipping Program'!$H$9</f>
        <v>#VALUE!</v>
      </c>
      <c r="U230" s="25" t="str">
        <f>IFERROR(IF(J230*T230&lt;&gt;0,J230-T230,""),"")</f>
        <v/>
      </c>
      <c r="V230" s="25" t="str">
        <f>IF(U230&lt;&gt;"",IF(U230&gt;28,"Too early",IF(U230&lt;14,"Too late","")),"")</f>
        <v/>
      </c>
      <c r="W230" s="35"/>
      <c r="X230" s="26" t="str">
        <f ca="1">IF(OFFSET(X230,1,0)="",R230,OFFSET(X230,1,0))</f>
        <v/>
      </c>
      <c r="Y230" s="26" t="e">
        <f ca="1">IF(OFFSET(Y230,1,0)="",X230+'Shipping Program'!$F$9,OFFSET(Y230,1,0))</f>
        <v>#VALUE!</v>
      </c>
      <c r="Z230" s="26" t="e">
        <f ca="1">IF(OFFSET(Z230,1,0)="",Y230+'Shipping Program'!$H$9,OFFSET(Z230,1,0))</f>
        <v>#VALUE!</v>
      </c>
      <c r="AA230" s="27" t="str">
        <f ca="1">IFERROR(IF(J230*Z230&lt;&gt;0,J230-Z230,""),"")</f>
        <v/>
      </c>
      <c r="AB230" s="27" t="str">
        <f ca="1">IF(AA230&lt;&gt;"",IF(AA230&gt;28,"Too early",IF(AA230&lt;14,"Too late","")),"")</f>
        <v/>
      </c>
      <c r="AC230" s="46"/>
      <c r="AE230" s="80" t="s">
        <v>54</v>
      </c>
      <c r="AF230" s="80"/>
      <c r="AG230" s="80"/>
      <c r="AH230" s="80" t="str">
        <f>IF(AI230="","",AI230*AJ230*AK230/1000/1000/1000)</f>
        <v/>
      </c>
      <c r="AI230" s="80"/>
      <c r="AJ230" s="80"/>
      <c r="AK230" s="80"/>
    </row>
    <row r="231" spans="1:37" ht="20.100000000000001" customHeight="1">
      <c r="A231" s="33">
        <f ca="1">COUNTIF(J$3:OFFSET(J231,-1,0),"Subtotal:")+1</f>
        <v>18</v>
      </c>
      <c r="B231" s="23" t="str">
        <f ca="1">IF(OFFSET(B231,1,0)&lt;&gt;"",OFFSET(B231,1,0),"")</f>
        <v/>
      </c>
      <c r="C231" s="42"/>
      <c r="D231" s="59" t="s">
        <v>50</v>
      </c>
      <c r="E231" s="60" t="str">
        <f>LEFT(F231,3)</f>
        <v>#02</v>
      </c>
      <c r="F231" s="59" t="s">
        <v>178</v>
      </c>
      <c r="G231" s="59" t="s">
        <v>51</v>
      </c>
      <c r="H231" s="60"/>
      <c r="I231" s="24" t="str">
        <f>IF(J231&lt;&gt;"",J231 - ('Shipping Program'!$D$9 + 'Shipping Program'!$F$9 + 'Shipping Program'!$H$9), "")</f>
        <v/>
      </c>
      <c r="J231" s="43"/>
      <c r="K231" s="44" t="str">
        <f>IF(SUM(M231:N231)=0,"",SUM(M231:N231))</f>
        <v/>
      </c>
      <c r="L231" s="44"/>
      <c r="M231" s="44"/>
      <c r="N231" s="54"/>
      <c r="O231" s="25" t="e">
        <f>VLOOKUP(I231,'Shipping Program'!$A$32:$B$78,2)-1</f>
        <v>#N/A</v>
      </c>
      <c r="P231" s="44" t="e">
        <f>O231</f>
        <v>#N/A</v>
      </c>
      <c r="Q231" s="24" t="e">
        <f>R231-7</f>
        <v>#VALUE!</v>
      </c>
      <c r="R231" s="24" t="str">
        <f>IFERROR(_xlfn.XLOOKUP(P231,'Shipping Program'!$B$32:$B$78,'Shipping Program'!$A$32:$A$78),IFERROR(INDEX(_V7Batches!$B:$B,MATCH(P231&amp;"",_V7Batches!$A:$A,0)),""))</f>
        <v/>
      </c>
      <c r="S231" s="24" t="str">
        <f>IFERROR(_xlfn.XLOOKUP(P231,'Shipping Program'!$B$32:$B$78,'Shipping Program'!$E$32:$E$78),IFERROR(INDEX(_V7Batches!$D:$D,MATCH(P231&amp;"",_V7Batches!$A:$A,0)),""))</f>
        <v/>
      </c>
      <c r="T231" s="24" t="e">
        <f>S231+'Shipping Program'!$H$9</f>
        <v>#VALUE!</v>
      </c>
      <c r="U231" s="25" t="str">
        <f>IFERROR(IF(J231*T231&lt;&gt;0,J231-T231,""),"")</f>
        <v/>
      </c>
      <c r="V231" s="25" t="str">
        <f>IF(U231&lt;&gt;"",IF(U231&gt;28,"Too early",IF(U231&lt;14,"Too late","")),"")</f>
        <v/>
      </c>
      <c r="W231" s="35"/>
      <c r="X231" s="26" t="str">
        <f ca="1">IF(OFFSET(X231,1,0)="",R231,OFFSET(X231,1,0))</f>
        <v/>
      </c>
      <c r="Y231" s="26" t="e">
        <f ca="1">IF(OFFSET(Y231,1,0)="",X231+'Shipping Program'!$F$9,OFFSET(Y231,1,0))</f>
        <v>#VALUE!</v>
      </c>
      <c r="Z231" s="26" t="e">
        <f ca="1">IF(OFFSET(Z231,1,0)="",Y231+'Shipping Program'!$H$9,OFFSET(Z231,1,0))</f>
        <v>#VALUE!</v>
      </c>
      <c r="AA231" s="27" t="str">
        <f ca="1">IFERROR(IF(J231*Z231&lt;&gt;0,J231-Z231,""),"")</f>
        <v/>
      </c>
      <c r="AB231" s="27" t="str">
        <f ca="1">IF(AA231&lt;&gt;"",IF(AA231&gt;28,"Too early",IF(AA231&lt;14,"Too late","")),"")</f>
        <v/>
      </c>
      <c r="AC231" s="46"/>
      <c r="AE231" s="80" t="s">
        <v>43</v>
      </c>
      <c r="AF231" s="80" t="s">
        <v>41</v>
      </c>
      <c r="AG231" s="80" t="s">
        <v>42</v>
      </c>
      <c r="AH231" s="80" t="str">
        <f>IF(AI231="","",AI231*AJ231*AK231/1000/1000/1000)</f>
        <v/>
      </c>
      <c r="AI231" s="80"/>
      <c r="AJ231" s="80"/>
      <c r="AK231" s="80"/>
    </row>
    <row r="232" spans="1:37" ht="20.100000000000001" customHeight="1">
      <c r="A232" s="33">
        <f ca="1">COUNTIF(J$3:OFFSET(J232,-1,0),"Subtotal:")+1</f>
        <v>18</v>
      </c>
      <c r="B232" s="23" t="str">
        <f ca="1">IF(OFFSET(B232,1,0)&lt;&gt;"",OFFSET(B232,1,0),"")</f>
        <v/>
      </c>
      <c r="C232" s="42"/>
      <c r="D232" s="59" t="s">
        <v>52</v>
      </c>
      <c r="E232" s="60" t="str">
        <f>LEFT(F232,3)</f>
        <v>#02</v>
      </c>
      <c r="F232" s="59" t="s">
        <v>178</v>
      </c>
      <c r="G232" s="59" t="s">
        <v>201</v>
      </c>
      <c r="H232" s="60"/>
      <c r="I232" s="24" t="str">
        <f>IF(J232&lt;&gt;"",J232 - ('Shipping Program'!$D$9 + 'Shipping Program'!$F$9 + 'Shipping Program'!$H$9), "")</f>
        <v/>
      </c>
      <c r="J232" s="43"/>
      <c r="K232" s="44" t="str">
        <f>IF(SUM(M232:N232)=0,"",SUM(M232:N232))</f>
        <v/>
      </c>
      <c r="L232" s="44"/>
      <c r="M232" s="44"/>
      <c r="N232" s="54"/>
      <c r="O232" s="25" t="e">
        <f>VLOOKUP(I232,'Shipping Program'!$A$32:$B$78,2)-1</f>
        <v>#N/A</v>
      </c>
      <c r="P232" s="44" t="e">
        <f>O232</f>
        <v>#N/A</v>
      </c>
      <c r="Q232" s="24" t="e">
        <f>R232-7</f>
        <v>#VALUE!</v>
      </c>
      <c r="R232" s="24" t="str">
        <f>IFERROR(_xlfn.XLOOKUP(P232,'Shipping Program'!$B$32:$B$78,'Shipping Program'!$A$32:$A$78),IFERROR(INDEX(_V7Batches!$B:$B,MATCH(P232&amp;"",_V7Batches!$A:$A,0)),""))</f>
        <v/>
      </c>
      <c r="S232" s="24" t="str">
        <f>IFERROR(_xlfn.XLOOKUP(P232,'Shipping Program'!$B$32:$B$78,'Shipping Program'!$E$32:$E$78),IFERROR(INDEX(_V7Batches!$D:$D,MATCH(P232&amp;"",_V7Batches!$A:$A,0)),""))</f>
        <v/>
      </c>
      <c r="T232" s="24" t="e">
        <f>S232+'Shipping Program'!$H$9</f>
        <v>#VALUE!</v>
      </c>
      <c r="U232" s="25" t="str">
        <f>IFERROR(IF(J232*T232&lt;&gt;0,J232-T232,""),"")</f>
        <v/>
      </c>
      <c r="V232" s="25" t="str">
        <f>IF(U232&lt;&gt;"",IF(U232&gt;28,"Too early",IF(U232&lt;14,"Too late","")),"")</f>
        <v/>
      </c>
      <c r="W232" s="35"/>
      <c r="X232" s="26" t="str">
        <f ca="1">IF(OFFSET(X232,1,0)="",R232,OFFSET(X232,1,0))</f>
        <v/>
      </c>
      <c r="Y232" s="26" t="e">
        <f ca="1">IF(OFFSET(Y232,1,0)="",X232+'Shipping Program'!$F$9,OFFSET(Y232,1,0))</f>
        <v>#VALUE!</v>
      </c>
      <c r="Z232" s="26" t="e">
        <f ca="1">IF(OFFSET(Z232,1,0)="",Y232+'Shipping Program'!$H$9,OFFSET(Z232,1,0))</f>
        <v>#VALUE!</v>
      </c>
      <c r="AA232" s="27" t="str">
        <f ca="1">IFERROR(IF(J232*Z232&lt;&gt;0,J232-Z232,""),"")</f>
        <v/>
      </c>
      <c r="AB232" s="27" t="str">
        <f ca="1">IF(AA232&lt;&gt;"",IF(AA232&gt;28,"Too early",IF(AA232&lt;14,"Too late","")),"")</f>
        <v/>
      </c>
      <c r="AC232" s="46"/>
      <c r="AE232" s="80" t="s">
        <v>43</v>
      </c>
      <c r="AF232" s="80" t="s">
        <v>41</v>
      </c>
      <c r="AG232" s="80" t="s">
        <v>42</v>
      </c>
      <c r="AH232" s="80" t="str">
        <f>IF(AI232="","",AI232*AJ232*AK232/1000/1000/1000)</f>
        <v/>
      </c>
      <c r="AI232" s="80"/>
      <c r="AJ232" s="80"/>
      <c r="AK232" s="80"/>
    </row>
    <row r="233" spans="1:37" ht="20.100000000000001" customHeight="1">
      <c r="A233" s="33">
        <f ca="1">COUNTIF(J$3:OFFSET(J233,-1,0),"Subtotal:")+1</f>
        <v>18</v>
      </c>
      <c r="B233" s="23" t="str">
        <f ca="1">IF(OFFSET(B233,1,0)&lt;&gt;"",OFFSET(B233,1,0),"")</f>
        <v/>
      </c>
      <c r="C233" s="42"/>
      <c r="D233" s="59" t="s">
        <v>53</v>
      </c>
      <c r="E233" s="60" t="str">
        <f>LEFT(F233,3)</f>
        <v>#02</v>
      </c>
      <c r="F233" s="59" t="s">
        <v>178</v>
      </c>
      <c r="G233" s="59" t="s">
        <v>183</v>
      </c>
      <c r="H233" s="60"/>
      <c r="I233" s="24" t="str">
        <f>IF(J233&lt;&gt;"",J233 - ('Shipping Program'!$D$9 + 'Shipping Program'!$F$9 + 'Shipping Program'!$H$9), "")</f>
        <v/>
      </c>
      <c r="J233" s="43"/>
      <c r="K233" s="44" t="str">
        <f>IF(SUM(M233:N233)=0,"",SUM(M233:N233))</f>
        <v/>
      </c>
      <c r="L233" s="44"/>
      <c r="M233" s="44"/>
      <c r="N233" s="54"/>
      <c r="O233" s="25" t="e">
        <f>VLOOKUP(I233,'Shipping Program'!$A$32:$B$78,2)-1</f>
        <v>#N/A</v>
      </c>
      <c r="P233" s="44" t="e">
        <f>O233</f>
        <v>#N/A</v>
      </c>
      <c r="Q233" s="24" t="e">
        <f>R233-7</f>
        <v>#VALUE!</v>
      </c>
      <c r="R233" s="24" t="str">
        <f>IFERROR(_xlfn.XLOOKUP(P233,'Shipping Program'!$B$32:$B$78,'Shipping Program'!$A$32:$A$78),IFERROR(INDEX(_V7Batches!$B:$B,MATCH(P233&amp;"",_V7Batches!$A:$A,0)),""))</f>
        <v/>
      </c>
      <c r="S233" s="24" t="str">
        <f>IFERROR(_xlfn.XLOOKUP(P233,'Shipping Program'!$B$32:$B$78,'Shipping Program'!$E$32:$E$78),IFERROR(INDEX(_V7Batches!$D:$D,MATCH(P233&amp;"",_V7Batches!$A:$A,0)),""))</f>
        <v/>
      </c>
      <c r="T233" s="24" t="e">
        <f>S233+'Shipping Program'!$H$9</f>
        <v>#VALUE!</v>
      </c>
      <c r="U233" s="25" t="str">
        <f>IFERROR(IF(J233*T233&lt;&gt;0,J233-T233,""),"")</f>
        <v/>
      </c>
      <c r="V233" s="25" t="str">
        <f>IF(U233&lt;&gt;"",IF(U233&gt;28,"Too early",IF(U233&lt;14,"Too late","")),"")</f>
        <v/>
      </c>
      <c r="W233" s="35"/>
      <c r="X233" s="26" t="str">
        <f ca="1">IF(OFFSET(X233,1,0)="",R233,OFFSET(X233,1,0))</f>
        <v/>
      </c>
      <c r="Y233" s="26" t="e">
        <f ca="1">IF(OFFSET(Y233,1,0)="",X233+'Shipping Program'!$F$9,OFFSET(Y233,1,0))</f>
        <v>#VALUE!</v>
      </c>
      <c r="Z233" s="26" t="e">
        <f ca="1">IF(OFFSET(Z233,1,0)="",Y233+'Shipping Program'!$H$9,OFFSET(Z233,1,0))</f>
        <v>#VALUE!</v>
      </c>
      <c r="AA233" s="27" t="str">
        <f ca="1">IFERROR(IF(J233*Z233&lt;&gt;0,J233-Z233,""),"")</f>
        <v/>
      </c>
      <c r="AB233" s="27" t="str">
        <f ca="1">IF(AA233&lt;&gt;"",IF(AA233&gt;28,"Too early",IF(AA233&lt;14,"Too late","")),"")</f>
        <v/>
      </c>
      <c r="AC233" s="46"/>
      <c r="AE233" s="80" t="s">
        <v>54</v>
      </c>
      <c r="AF233" s="80"/>
      <c r="AG233" s="80"/>
      <c r="AH233" s="80" t="str">
        <f>IF(AI233="","",AI233*AJ233*AK233/1000/1000/1000)</f>
        <v/>
      </c>
      <c r="AI233" s="80"/>
      <c r="AJ233" s="80"/>
      <c r="AK233" s="80"/>
    </row>
    <row r="234" spans="1:37" ht="20.100000000000001" customHeight="1">
      <c r="A234" s="33">
        <f ca="1">COUNTIF(J$3:OFFSET(J234,-1,0),"Subtotal:")+1</f>
        <v>18</v>
      </c>
      <c r="B234" s="23" t="str">
        <f ca="1">IF(OFFSET(B234,1,0)&lt;&gt;"",OFFSET(B234,1,0),"")</f>
        <v/>
      </c>
      <c r="C234" s="42"/>
      <c r="D234" s="59" t="s">
        <v>55</v>
      </c>
      <c r="E234" s="60" t="str">
        <f>LEFT(F234,3)</f>
        <v>#02</v>
      </c>
      <c r="F234" s="59" t="s">
        <v>178</v>
      </c>
      <c r="G234" s="59" t="s">
        <v>203</v>
      </c>
      <c r="H234" s="60" t="s">
        <v>56</v>
      </c>
      <c r="I234" s="24" t="str">
        <f>IF(J234&lt;&gt;"",J234 - ('Shipping Program'!$D$9 + 'Shipping Program'!$F$9 + 'Shipping Program'!$H$9), "")</f>
        <v/>
      </c>
      <c r="J234" s="43"/>
      <c r="K234" s="44" t="str">
        <f>IF(SUM(M234:N234)=0,"",SUM(M234:N234))</f>
        <v/>
      </c>
      <c r="L234" s="44"/>
      <c r="M234" s="44"/>
      <c r="N234" s="54"/>
      <c r="O234" s="25" t="e">
        <f>VLOOKUP(I234,'Shipping Program'!$A$32:$B$78,2)-1</f>
        <v>#N/A</v>
      </c>
      <c r="P234" s="44" t="e">
        <f>O234</f>
        <v>#N/A</v>
      </c>
      <c r="Q234" s="24" t="e">
        <f>R234-7</f>
        <v>#VALUE!</v>
      </c>
      <c r="R234" s="24" t="str">
        <f>IFERROR(_xlfn.XLOOKUP(P234,'Shipping Program'!$B$32:$B$78,'Shipping Program'!$A$32:$A$78),IFERROR(INDEX(_V7Batches!$B:$B,MATCH(P234&amp;"",_V7Batches!$A:$A,0)),""))</f>
        <v/>
      </c>
      <c r="S234" s="24" t="str">
        <f>IFERROR(_xlfn.XLOOKUP(P234,'Shipping Program'!$B$32:$B$78,'Shipping Program'!$E$32:$E$78),IFERROR(INDEX(_V7Batches!$D:$D,MATCH(P234&amp;"",_V7Batches!$A:$A,0)),""))</f>
        <v/>
      </c>
      <c r="T234" s="24" t="e">
        <f>S234+'Shipping Program'!$H$9</f>
        <v>#VALUE!</v>
      </c>
      <c r="U234" s="25" t="str">
        <f>IFERROR(IF(J234*T234&lt;&gt;0,J234-T234,""),"")</f>
        <v/>
      </c>
      <c r="V234" s="25" t="str">
        <f>IF(U234&lt;&gt;"",IF(U234&gt;28,"Too early",IF(U234&lt;14,"Too late","")),"")</f>
        <v/>
      </c>
      <c r="W234" s="35"/>
      <c r="X234" s="26" t="str">
        <f ca="1">IF(OFFSET(X234,1,0)="",R234,OFFSET(X234,1,0))</f>
        <v/>
      </c>
      <c r="Y234" s="26" t="e">
        <f ca="1">IF(OFFSET(Y234,1,0)="",X234+'Shipping Program'!$F$9,OFFSET(Y234,1,0))</f>
        <v>#VALUE!</v>
      </c>
      <c r="Z234" s="26" t="e">
        <f ca="1">IF(OFFSET(Z234,1,0)="",Y234+'Shipping Program'!$H$9,OFFSET(Z234,1,0))</f>
        <v>#VALUE!</v>
      </c>
      <c r="AA234" s="27" t="str">
        <f ca="1">IFERROR(IF(J234*Z234&lt;&gt;0,J234-Z234,""),"")</f>
        <v/>
      </c>
      <c r="AB234" s="27" t="str">
        <f ca="1">IF(AA234&lt;&gt;"",IF(AA234&gt;28,"Too early",IF(AA234&lt;14,"Too late","")),"")</f>
        <v/>
      </c>
      <c r="AC234" s="46"/>
      <c r="AE234" s="80" t="s">
        <v>54</v>
      </c>
      <c r="AF234" s="80"/>
      <c r="AG234" s="80"/>
      <c r="AH234" s="80" t="str">
        <f>IF(AI234="","",AI234*AJ234*AK234/1000/1000/1000)</f>
        <v/>
      </c>
      <c r="AI234" s="80"/>
      <c r="AJ234" s="80"/>
      <c r="AK234" s="80"/>
    </row>
    <row r="235" spans="1:37" ht="20.100000000000001" customHeight="1">
      <c r="A235" s="33">
        <f ca="1">COUNTIF(J$3:OFFSET(J235,-1,0),"Subtotal:")+1</f>
        <v>18</v>
      </c>
      <c r="B235" s="23" t="str">
        <f ca="1">IF(OFFSET(B235,1,0)&lt;&gt;"",OFFSET(B235,1,0),"")</f>
        <v/>
      </c>
      <c r="C235" s="42"/>
      <c r="D235" s="59" t="s">
        <v>57</v>
      </c>
      <c r="E235" s="60" t="str">
        <f>LEFT(F235,3)</f>
        <v>#02</v>
      </c>
      <c r="F235" s="59" t="s">
        <v>179</v>
      </c>
      <c r="G235" s="59" t="s">
        <v>58</v>
      </c>
      <c r="H235" s="60" t="s">
        <v>58</v>
      </c>
      <c r="I235" s="24" t="str">
        <f>IF(J235&lt;&gt;"",J235 - ('Shipping Program'!$D$9 + 'Shipping Program'!$F$9 + 'Shipping Program'!$H$9), "")</f>
        <v/>
      </c>
      <c r="J235" s="43"/>
      <c r="K235" s="44" t="str">
        <f>IF(SUM(M235:N235)=0,"",SUM(M235:N235))</f>
        <v/>
      </c>
      <c r="L235" s="44"/>
      <c r="M235" s="44"/>
      <c r="N235" s="54"/>
      <c r="O235" s="25" t="e">
        <f>VLOOKUP(I235,'Shipping Program'!$A$32:$B$78,2)-1</f>
        <v>#N/A</v>
      </c>
      <c r="P235" s="44" t="e">
        <f>O235</f>
        <v>#N/A</v>
      </c>
      <c r="Q235" s="24" t="e">
        <f>R235-7</f>
        <v>#VALUE!</v>
      </c>
      <c r="R235" s="24" t="str">
        <f>IFERROR(_xlfn.XLOOKUP(P235,'Shipping Program'!$B$32:$B$78,'Shipping Program'!$A$32:$A$78),IFERROR(INDEX(_V7Batches!$B:$B,MATCH(P235&amp;"",_V7Batches!$A:$A,0)),""))</f>
        <v/>
      </c>
      <c r="S235" s="24" t="str">
        <f>IFERROR(_xlfn.XLOOKUP(P235,'Shipping Program'!$B$32:$B$78,'Shipping Program'!$E$32:$E$78),IFERROR(INDEX(_V7Batches!$D:$D,MATCH(P235&amp;"",_V7Batches!$A:$A,0)),""))</f>
        <v/>
      </c>
      <c r="T235" s="24" t="e">
        <f>S235+'Shipping Program'!$H$9</f>
        <v>#VALUE!</v>
      </c>
      <c r="U235" s="25" t="str">
        <f>IFERROR(IF(J235*T235&lt;&gt;0,J235-T235,""),"")</f>
        <v/>
      </c>
      <c r="V235" s="25" t="str">
        <f>IF(U235&lt;&gt;"",IF(U235&gt;28,"Too early",IF(U235&lt;14,"Too late","")),"")</f>
        <v/>
      </c>
      <c r="W235" s="35"/>
      <c r="X235" s="26" t="str">
        <f ca="1">IF(OFFSET(X235,1,0)="",R235,OFFSET(X235,1,0))</f>
        <v/>
      </c>
      <c r="Y235" s="26" t="e">
        <f ca="1">IF(OFFSET(Y235,1,0)="",X235+'Shipping Program'!$F$9,OFFSET(Y235,1,0))</f>
        <v>#VALUE!</v>
      </c>
      <c r="Z235" s="26" t="e">
        <f ca="1">IF(OFFSET(Z235,1,0)="",Y235+'Shipping Program'!$H$9,OFFSET(Z235,1,0))</f>
        <v>#VALUE!</v>
      </c>
      <c r="AA235" s="27" t="str">
        <f ca="1">IFERROR(IF(J235*Z235&lt;&gt;0,J235-Z235,""),"")</f>
        <v/>
      </c>
      <c r="AB235" s="27" t="str">
        <f ca="1">IF(AA235&lt;&gt;"",IF(AA235&gt;28,"Too early",IF(AA235&lt;14,"Too late","")),"")</f>
        <v/>
      </c>
      <c r="AC235" s="46"/>
      <c r="AE235" s="80" t="s">
        <v>54</v>
      </c>
      <c r="AF235" s="80"/>
      <c r="AG235" s="80"/>
      <c r="AH235" s="80" t="str">
        <f>IF(AI235="","",AI235*AJ235*AK235/1000/1000/1000)</f>
        <v/>
      </c>
      <c r="AI235" s="80"/>
      <c r="AJ235" s="80"/>
      <c r="AK235" s="80"/>
    </row>
    <row r="236" spans="1:37" ht="20.100000000000001" customHeight="1">
      <c r="A236" s="33">
        <f ca="1">COUNTIF(J$3:OFFSET(J236,-1,0),"Subtotal:")+1</f>
        <v>18</v>
      </c>
      <c r="B236" s="23" t="str">
        <f ca="1">IF(OFFSET(B236,1,0)&lt;&gt;"",OFFSET(B236,1,0),"")</f>
        <v/>
      </c>
      <c r="C236" s="42"/>
      <c r="D236" s="59" t="s">
        <v>57</v>
      </c>
      <c r="E236" s="60" t="str">
        <f>LEFT(F236,3)</f>
        <v>#02</v>
      </c>
      <c r="F236" s="59" t="s">
        <v>178</v>
      </c>
      <c r="G236" s="59" t="s">
        <v>58</v>
      </c>
      <c r="H236" s="60" t="s">
        <v>58</v>
      </c>
      <c r="I236" s="24" t="str">
        <f>IF(J236&lt;&gt;"",J236 - ('Shipping Program'!$D$9 + 'Shipping Program'!$F$9 + 'Shipping Program'!$H$9), "")</f>
        <v/>
      </c>
      <c r="J236" s="43"/>
      <c r="K236" s="44" t="str">
        <f>IF(SUM(M236:N236)=0,"",SUM(M236:N236))</f>
        <v/>
      </c>
      <c r="L236" s="44"/>
      <c r="M236" s="44"/>
      <c r="N236" s="54"/>
      <c r="O236" s="25" t="e">
        <f>VLOOKUP(I236,'Shipping Program'!$A$32:$B$78,2)-1</f>
        <v>#N/A</v>
      </c>
      <c r="P236" s="44" t="e">
        <f>O236</f>
        <v>#N/A</v>
      </c>
      <c r="Q236" s="24" t="e">
        <f>R236-7</f>
        <v>#VALUE!</v>
      </c>
      <c r="R236" s="24" t="str">
        <f>IFERROR(_xlfn.XLOOKUP(P236,'Shipping Program'!$B$32:$B$78,'Shipping Program'!$A$32:$A$78),IFERROR(INDEX(_V7Batches!$B:$B,MATCH(P236&amp;"",_V7Batches!$A:$A,0)),""))</f>
        <v/>
      </c>
      <c r="S236" s="24" t="str">
        <f>IFERROR(_xlfn.XLOOKUP(P236,'Shipping Program'!$B$32:$B$78,'Shipping Program'!$E$32:$E$78),IFERROR(INDEX(_V7Batches!$D:$D,MATCH(P236&amp;"",_V7Batches!$A:$A,0)),""))</f>
        <v/>
      </c>
      <c r="T236" s="24" t="e">
        <f>S236+'Shipping Program'!$H$9</f>
        <v>#VALUE!</v>
      </c>
      <c r="U236" s="25" t="str">
        <f>IFERROR(IF(J236*T236&lt;&gt;0,J236-T236,""),"")</f>
        <v/>
      </c>
      <c r="V236" s="25" t="str">
        <f>IF(U236&lt;&gt;"",IF(U236&gt;28,"Too early",IF(U236&lt;14,"Too late","")),"")</f>
        <v/>
      </c>
      <c r="W236" s="35"/>
      <c r="X236" s="26" t="str">
        <f ca="1">IF(OFFSET(X236,1,0)="",R236,OFFSET(X236,1,0))</f>
        <v/>
      </c>
      <c r="Y236" s="26" t="e">
        <f ca="1">IF(OFFSET(Y236,1,0)="",X236+'Shipping Program'!$F$9,OFFSET(Y236,1,0))</f>
        <v>#VALUE!</v>
      </c>
      <c r="Z236" s="26" t="e">
        <f ca="1">IF(OFFSET(Z236,1,0)="",Y236+'Shipping Program'!$H$9,OFFSET(Z236,1,0))</f>
        <v>#VALUE!</v>
      </c>
      <c r="AA236" s="27" t="str">
        <f ca="1">IFERROR(IF(J236*Z236&lt;&gt;0,J236-Z236,""),"")</f>
        <v/>
      </c>
      <c r="AB236" s="27" t="str">
        <f ca="1">IF(AA236&lt;&gt;"",IF(AA236&gt;28,"Too early",IF(AA236&lt;14,"Too late","")),"")</f>
        <v/>
      </c>
      <c r="AC236" s="46"/>
      <c r="AE236" s="80" t="s">
        <v>54</v>
      </c>
      <c r="AF236" s="80"/>
      <c r="AG236" s="80"/>
      <c r="AH236" s="80" t="str">
        <f>IF(AI236="","",AI236*AJ236*AK236/1000/1000/1000)</f>
        <v/>
      </c>
      <c r="AI236" s="80"/>
      <c r="AJ236" s="80"/>
      <c r="AK236" s="80"/>
    </row>
    <row r="237" spans="1:37" ht="20.100000000000001" customHeight="1">
      <c r="A237" s="33">
        <f ca="1">COUNTIF(J$3:OFFSET(J237,-1,0),"Subtotal:")+1</f>
        <v>18</v>
      </c>
      <c r="B237" s="23" t="str">
        <f ca="1">IF(OFFSET(B237,1,0)&lt;&gt;"",OFFSET(B237,1,0),"")</f>
        <v/>
      </c>
      <c r="C237" s="42"/>
      <c r="D237" s="59" t="s">
        <v>38</v>
      </c>
      <c r="E237" s="60" t="str">
        <f>LEFT(F237,3)</f>
        <v>#09</v>
      </c>
      <c r="F237" s="59" t="s">
        <v>154</v>
      </c>
      <c r="G237" s="59" t="s">
        <v>161</v>
      </c>
      <c r="H237" s="60" t="s">
        <v>61</v>
      </c>
      <c r="I237" s="24" t="str">
        <f>IF(J237&lt;&gt;"",J237 - ('Shipping Program'!$D$9 + 'Shipping Program'!$F$9 + 'Shipping Program'!$H$9), "")</f>
        <v/>
      </c>
      <c r="J237" s="43"/>
      <c r="K237" s="44" t="str">
        <f>IF(SUM(M237:N237)=0,"",SUM(M237:N237))</f>
        <v/>
      </c>
      <c r="L237" s="44"/>
      <c r="M237" s="44"/>
      <c r="N237" s="54"/>
      <c r="O237" s="25" t="e">
        <f>VLOOKUP(I237,'Shipping Program'!$A$32:$B$78,2)-1</f>
        <v>#N/A</v>
      </c>
      <c r="P237" s="44" t="e">
        <f>O237</f>
        <v>#N/A</v>
      </c>
      <c r="Q237" s="24" t="e">
        <f>R237-7</f>
        <v>#VALUE!</v>
      </c>
      <c r="R237" s="24" t="str">
        <f>IFERROR(_xlfn.XLOOKUP(P237,'Shipping Program'!$B$32:$B$78,'Shipping Program'!$A$32:$A$78),IFERROR(INDEX(_V7Batches!$B:$B,MATCH(P237&amp;"",_V7Batches!$A:$A,0)),""))</f>
        <v/>
      </c>
      <c r="S237" s="24" t="str">
        <f>IFERROR(_xlfn.XLOOKUP(P237,'Shipping Program'!$B$32:$B$78,'Shipping Program'!$E$32:$E$78),IFERROR(INDEX(_V7Batches!$D:$D,MATCH(P237&amp;"",_V7Batches!$A:$A,0)),""))</f>
        <v/>
      </c>
      <c r="T237" s="24" t="e">
        <f>S237+'Shipping Program'!$H$9</f>
        <v>#VALUE!</v>
      </c>
      <c r="U237" s="25" t="str">
        <f>IFERROR(IF(J237*T237&lt;&gt;0,J237-T237,""),"")</f>
        <v/>
      </c>
      <c r="V237" s="25" t="str">
        <f>IF(U237&lt;&gt;"",IF(U237&gt;28,"Too early",IF(U237&lt;14,"Too late","")),"")</f>
        <v/>
      </c>
      <c r="W237" s="35"/>
      <c r="X237" s="26" t="str">
        <f ca="1">IF(OFFSET(X237,1,0)="",R237,OFFSET(X237,1,0))</f>
        <v/>
      </c>
      <c r="Y237" s="26" t="e">
        <f ca="1">IF(OFFSET(Y237,1,0)="",X237+'Shipping Program'!$F$9,OFFSET(Y237,1,0))</f>
        <v>#VALUE!</v>
      </c>
      <c r="Z237" s="26" t="e">
        <f ca="1">IF(OFFSET(Z237,1,0)="",Y237+'Shipping Program'!$H$9,OFFSET(Z237,1,0))</f>
        <v>#VALUE!</v>
      </c>
      <c r="AA237" s="27" t="str">
        <f ca="1">IFERROR(IF(J237*Z237&lt;&gt;0,J237-Z237,""),"")</f>
        <v/>
      </c>
      <c r="AB237" s="27" t="str">
        <f ca="1">IF(AA237&lt;&gt;"",IF(AA237&gt;28,"Too early",IF(AA237&lt;14,"Too late","")),"")</f>
        <v/>
      </c>
      <c r="AC237" s="46"/>
      <c r="AE237" s="80" t="s">
        <v>54</v>
      </c>
      <c r="AF237" s="80"/>
      <c r="AG237" s="80"/>
      <c r="AH237" s="80" t="str">
        <f>IF(AI237="","",AI237*AJ237*AK237/1000/1000/1000)</f>
        <v/>
      </c>
      <c r="AI237" s="80"/>
      <c r="AJ237" s="80"/>
      <c r="AK237" s="80"/>
    </row>
    <row r="238" spans="1:37" ht="20.100000000000001" customHeight="1">
      <c r="A238" s="33">
        <f ca="1">COUNTIF(J$3:OFFSET(J238,-1,0),"Subtotal:")+1</f>
        <v>18</v>
      </c>
      <c r="B238" s="23" t="str">
        <f ca="1">IF(OFFSET(B238,1,0)&lt;&gt;"",OFFSET(B238,1,0),"")</f>
        <v/>
      </c>
      <c r="C238" s="42"/>
      <c r="D238" s="59" t="s">
        <v>64</v>
      </c>
      <c r="E238" s="60" t="str">
        <f>LEFT(F238,3)</f>
        <v>#04</v>
      </c>
      <c r="F238" s="59" t="s">
        <v>209</v>
      </c>
      <c r="G238" s="59" t="s">
        <v>211</v>
      </c>
      <c r="H238" s="60"/>
      <c r="I238" s="24" t="str">
        <f>IF(J238&lt;&gt;"",J238 - ('Shipping Program'!$D$9 + 'Shipping Program'!$F$9 + 'Shipping Program'!$H$9), "")</f>
        <v/>
      </c>
      <c r="J238" s="43"/>
      <c r="K238" s="44" t="str">
        <f>IF(SUM(M238:N238)=0,"",SUM(M238:N238))</f>
        <v/>
      </c>
      <c r="L238" s="44"/>
      <c r="M238" s="44"/>
      <c r="N238" s="54"/>
      <c r="O238" s="25" t="e">
        <f>VLOOKUP(I238,'Shipping Program'!$A$32:$B$78,2)-1</f>
        <v>#N/A</v>
      </c>
      <c r="P238" s="44" t="e">
        <f>O238</f>
        <v>#N/A</v>
      </c>
      <c r="Q238" s="24" t="e">
        <f>R238-7</f>
        <v>#VALUE!</v>
      </c>
      <c r="R238" s="24" t="str">
        <f>IFERROR(_xlfn.XLOOKUP(P238,'Shipping Program'!$B$32:$B$78,'Shipping Program'!$A$32:$A$78),IFERROR(INDEX(_V7Batches!$B:$B,MATCH(P238&amp;"",_V7Batches!$A:$A,0)),""))</f>
        <v/>
      </c>
      <c r="S238" s="24" t="str">
        <f>IFERROR(_xlfn.XLOOKUP(P238,'Shipping Program'!$B$32:$B$78,'Shipping Program'!$E$32:$E$78),IFERROR(INDEX(_V7Batches!$D:$D,MATCH(P238&amp;"",_V7Batches!$A:$A,0)),""))</f>
        <v/>
      </c>
      <c r="T238" s="24" t="e">
        <f>S238+'Shipping Program'!$H$9</f>
        <v>#VALUE!</v>
      </c>
      <c r="U238" s="25" t="str">
        <f>IFERROR(IF(J238*T238&lt;&gt;0,J238-T238,""),"")</f>
        <v/>
      </c>
      <c r="V238" s="25" t="str">
        <f>IF(U238&lt;&gt;"",IF(U238&gt;28,"Too early",IF(U238&lt;14,"Too late","")),"")</f>
        <v/>
      </c>
      <c r="W238" s="35"/>
      <c r="X238" s="26" t="str">
        <f ca="1">IF(OFFSET(X238,1,0)="",R238,OFFSET(X238,1,0))</f>
        <v/>
      </c>
      <c r="Y238" s="26" t="e">
        <f ca="1">IF(OFFSET(Y238,1,0)="",X238+'Shipping Program'!$F$9,OFFSET(Y238,1,0))</f>
        <v>#VALUE!</v>
      </c>
      <c r="Z238" s="26" t="e">
        <f ca="1">IF(OFFSET(Z238,1,0)="",Y238+'Shipping Program'!$H$9,OFFSET(Z238,1,0))</f>
        <v>#VALUE!</v>
      </c>
      <c r="AA238" s="27" t="str">
        <f ca="1">IFERROR(IF(J238*Z238&lt;&gt;0,J238-Z238,""),"")</f>
        <v/>
      </c>
      <c r="AB238" s="27" t="str">
        <f ca="1">IF(AA238&lt;&gt;"",IF(AA238&gt;28,"Too early",IF(AA238&lt;14,"Too late","")),"")</f>
        <v/>
      </c>
      <c r="AC238" s="46"/>
      <c r="AE238" s="80" t="s">
        <v>54</v>
      </c>
      <c r="AF238" s="80"/>
      <c r="AG238" s="80"/>
      <c r="AH238" s="80" t="str">
        <f>IF(AI238="","",AI238*AJ238*AK238/1000/1000/1000)</f>
        <v/>
      </c>
      <c r="AI238" s="80"/>
      <c r="AJ238" s="80"/>
      <c r="AK238" s="80"/>
    </row>
    <row r="239" spans="1:37" ht="20.100000000000001" customHeight="1">
      <c r="A239" s="33">
        <f ca="1">COUNTIF(J$3:OFFSET(J239,-1,0),"Subtotal:")+1</f>
        <v>18</v>
      </c>
      <c r="B239" s="23" t="str">
        <f ca="1">IF(OFFSET(B239,1,0)&lt;&gt;"",OFFSET(B239,1,0),"")</f>
        <v/>
      </c>
      <c r="C239" s="42"/>
      <c r="D239" s="59" t="s">
        <v>66</v>
      </c>
      <c r="E239" s="60" t="str">
        <f>LEFT(F239,3)</f>
        <v>#04</v>
      </c>
      <c r="F239" s="59" t="s">
        <v>209</v>
      </c>
      <c r="G239" s="59" t="s">
        <v>183</v>
      </c>
      <c r="H239" s="60"/>
      <c r="I239" s="24" t="str">
        <f>IF(J239&lt;&gt;"",J239 - ('Shipping Program'!$D$9 + 'Shipping Program'!$F$9 + 'Shipping Program'!$H$9), "")</f>
        <v/>
      </c>
      <c r="J239" s="43"/>
      <c r="K239" s="44" t="str">
        <f>IF(SUM(M239:N239)=0,"",SUM(M239:N239))</f>
        <v/>
      </c>
      <c r="L239" s="44"/>
      <c r="M239" s="44"/>
      <c r="N239" s="54"/>
      <c r="O239" s="25" t="e">
        <f>VLOOKUP(I239,'Shipping Program'!$A$32:$B$78,2)-1</f>
        <v>#N/A</v>
      </c>
      <c r="P239" s="44" t="e">
        <f>O239</f>
        <v>#N/A</v>
      </c>
      <c r="Q239" s="24" t="e">
        <f>R239-7</f>
        <v>#VALUE!</v>
      </c>
      <c r="R239" s="24" t="str">
        <f>IFERROR(_xlfn.XLOOKUP(P239,'Shipping Program'!$B$32:$B$78,'Shipping Program'!$A$32:$A$78),IFERROR(INDEX(_V7Batches!$B:$B,MATCH(P239&amp;"",_V7Batches!$A:$A,0)),""))</f>
        <v/>
      </c>
      <c r="S239" s="24" t="str">
        <f>IFERROR(_xlfn.XLOOKUP(P239,'Shipping Program'!$B$32:$B$78,'Shipping Program'!$E$32:$E$78),IFERROR(INDEX(_V7Batches!$D:$D,MATCH(P239&amp;"",_V7Batches!$A:$A,0)),""))</f>
        <v/>
      </c>
      <c r="T239" s="24" t="e">
        <f>S239+'Shipping Program'!$H$9</f>
        <v>#VALUE!</v>
      </c>
      <c r="U239" s="25" t="str">
        <f>IFERROR(IF(J239*T239&lt;&gt;0,J239-T239,""),"")</f>
        <v/>
      </c>
      <c r="V239" s="25" t="str">
        <f>IF(U239&lt;&gt;"",IF(U239&gt;28,"Too early",IF(U239&lt;14,"Too late","")),"")</f>
        <v/>
      </c>
      <c r="W239" s="35"/>
      <c r="X239" s="26" t="str">
        <f ca="1">IF(OFFSET(X239,1,0)="",R239,OFFSET(X239,1,0))</f>
        <v/>
      </c>
      <c r="Y239" s="26" t="e">
        <f ca="1">IF(OFFSET(Y239,1,0)="",X239+'Shipping Program'!$F$9,OFFSET(Y239,1,0))</f>
        <v>#VALUE!</v>
      </c>
      <c r="Z239" s="26" t="e">
        <f ca="1">IF(OFFSET(Z239,1,0)="",Y239+'Shipping Program'!$H$9,OFFSET(Z239,1,0))</f>
        <v>#VALUE!</v>
      </c>
      <c r="AA239" s="27" t="str">
        <f ca="1">IFERROR(IF(J239*Z239&lt;&gt;0,J239-Z239,""),"")</f>
        <v/>
      </c>
      <c r="AB239" s="27" t="str">
        <f ca="1">IF(AA239&lt;&gt;"",IF(AA239&gt;28,"Too early",IF(AA239&lt;14,"Too late","")),"")</f>
        <v/>
      </c>
      <c r="AC239" s="46"/>
      <c r="AE239" s="80" t="s">
        <v>54</v>
      </c>
      <c r="AF239" s="80"/>
      <c r="AG239" s="80"/>
      <c r="AH239" s="80" t="str">
        <f>IF(AI239="","",AI239*AJ239*AK239/1000/1000/1000)</f>
        <v/>
      </c>
      <c r="AI239" s="80"/>
      <c r="AJ239" s="80"/>
      <c r="AK239" s="80"/>
    </row>
    <row r="240" spans="1:37" ht="20.100000000000001" customHeight="1">
      <c r="A240" s="33">
        <f ca="1">COUNTIF(J$3:OFFSET(J240,-1,0),"Subtotal:")+1</f>
        <v>18</v>
      </c>
      <c r="B240" s="23" t="str">
        <f ca="1">IF(OFFSET(B240,1,0)&lt;&gt;"",OFFSET(B240,1,0),"")</f>
        <v/>
      </c>
      <c r="C240" s="42"/>
      <c r="D240" s="59" t="s">
        <v>64</v>
      </c>
      <c r="E240" s="60" t="str">
        <f>LEFT(F240,3)</f>
        <v>#04</v>
      </c>
      <c r="F240" s="59" t="s">
        <v>221</v>
      </c>
      <c r="G240" s="59" t="s">
        <v>211</v>
      </c>
      <c r="H240" s="60"/>
      <c r="I240" s="24" t="str">
        <f>IF(J240&lt;&gt;"",J240 - ('Shipping Program'!$D$9 + 'Shipping Program'!$F$9 + 'Shipping Program'!$H$9), "")</f>
        <v/>
      </c>
      <c r="J240" s="43"/>
      <c r="K240" s="44" t="str">
        <f>IF(SUM(M240:N240)=0,"",SUM(M240:N240))</f>
        <v/>
      </c>
      <c r="L240" s="44"/>
      <c r="M240" s="44"/>
      <c r="N240" s="54"/>
      <c r="O240" s="25" t="e">
        <f>VLOOKUP(I240,'Shipping Program'!$A$32:$B$78,2)-1</f>
        <v>#N/A</v>
      </c>
      <c r="P240" s="44" t="e">
        <f>O240</f>
        <v>#N/A</v>
      </c>
      <c r="Q240" s="24" t="e">
        <f>R240-7</f>
        <v>#VALUE!</v>
      </c>
      <c r="R240" s="24" t="str">
        <f>IFERROR(_xlfn.XLOOKUP(P240,'Shipping Program'!$B$32:$B$78,'Shipping Program'!$A$32:$A$78),IFERROR(INDEX(_V7Batches!$B:$B,MATCH(P240&amp;"",_V7Batches!$A:$A,0)),""))</f>
        <v/>
      </c>
      <c r="S240" s="24" t="str">
        <f>IFERROR(_xlfn.XLOOKUP(P240,'Shipping Program'!$B$32:$B$78,'Shipping Program'!$E$32:$E$78),IFERROR(INDEX(_V7Batches!$D:$D,MATCH(P240&amp;"",_V7Batches!$A:$A,0)),""))</f>
        <v/>
      </c>
      <c r="T240" s="24" t="e">
        <f>S240+'Shipping Program'!$H$9</f>
        <v>#VALUE!</v>
      </c>
      <c r="U240" s="25" t="str">
        <f>IFERROR(IF(J240*T240&lt;&gt;0,J240-T240,""),"")</f>
        <v/>
      </c>
      <c r="V240" s="25" t="str">
        <f>IF(U240&lt;&gt;"",IF(U240&gt;28,"Too early",IF(U240&lt;14,"Too late","")),"")</f>
        <v/>
      </c>
      <c r="W240" s="35"/>
      <c r="X240" s="26" t="str">
        <f ca="1">IF(OFFSET(X240,1,0)="",R240,OFFSET(X240,1,0))</f>
        <v/>
      </c>
      <c r="Y240" s="26" t="e">
        <f ca="1">IF(OFFSET(Y240,1,0)="",X240+'Shipping Program'!$F$9,OFFSET(Y240,1,0))</f>
        <v>#VALUE!</v>
      </c>
      <c r="Z240" s="26" t="e">
        <f ca="1">IF(OFFSET(Z240,1,0)="",Y240+'Shipping Program'!$H$9,OFFSET(Z240,1,0))</f>
        <v>#VALUE!</v>
      </c>
      <c r="AA240" s="27" t="str">
        <f ca="1">IFERROR(IF(J240*Z240&lt;&gt;0,J240-Z240,""),"")</f>
        <v/>
      </c>
      <c r="AB240" s="27" t="str">
        <f ca="1">IF(AA240&lt;&gt;"",IF(AA240&gt;28,"Too early",IF(AA240&lt;14,"Too late","")),"")</f>
        <v/>
      </c>
      <c r="AC240" s="46"/>
      <c r="AE240" s="80" t="s">
        <v>54</v>
      </c>
      <c r="AF240" s="80"/>
      <c r="AG240" s="80"/>
      <c r="AH240" s="80" t="str">
        <f>IF(AI240="","",AI240*AJ240*AK240/1000/1000/1000)</f>
        <v/>
      </c>
      <c r="AI240" s="80"/>
      <c r="AJ240" s="80"/>
      <c r="AK240" s="80"/>
    </row>
    <row r="241" spans="1:37" ht="20.100000000000001" customHeight="1">
      <c r="A241" s="33">
        <f ca="1">COUNTIF(J$3:OFFSET(J241,-1,0),"Subtotal:")+1</f>
        <v>18</v>
      </c>
      <c r="B241" s="23" t="str">
        <f ca="1">IF(OFFSET(B241,1,0)&lt;&gt;"",OFFSET(B241,1,0),"")</f>
        <v/>
      </c>
      <c r="C241" s="42"/>
      <c r="D241" s="59" t="s">
        <v>38</v>
      </c>
      <c r="E241" s="60" t="str">
        <f>LEFT(F241,3)</f>
        <v>#09</v>
      </c>
      <c r="F241" s="59" t="s">
        <v>154</v>
      </c>
      <c r="G241" s="59" t="s">
        <v>163</v>
      </c>
      <c r="H241" s="60" t="s">
        <v>61</v>
      </c>
      <c r="I241" s="24" t="str">
        <f>IF(J241&lt;&gt;"",J241 - ('Shipping Program'!$D$9 + 'Shipping Program'!$F$9 + 'Shipping Program'!$H$9), "")</f>
        <v/>
      </c>
      <c r="J241" s="43"/>
      <c r="K241" s="44" t="str">
        <f>IF(SUM(M241:N241)=0,"",SUM(M241:N241))</f>
        <v/>
      </c>
      <c r="L241" s="44"/>
      <c r="M241" s="44"/>
      <c r="N241" s="54"/>
      <c r="O241" s="25" t="e">
        <f>VLOOKUP(I241,'Shipping Program'!$A$32:$B$78,2)-1</f>
        <v>#N/A</v>
      </c>
      <c r="P241" s="44" t="e">
        <f>O241</f>
        <v>#N/A</v>
      </c>
      <c r="Q241" s="24" t="e">
        <f>R241-7</f>
        <v>#VALUE!</v>
      </c>
      <c r="R241" s="24" t="str">
        <f>IFERROR(_xlfn.XLOOKUP(P241,'Shipping Program'!$B$32:$B$78,'Shipping Program'!$A$32:$A$78),IFERROR(INDEX(_V7Batches!$B:$B,MATCH(P241&amp;"",_V7Batches!$A:$A,0)),""))</f>
        <v/>
      </c>
      <c r="S241" s="24" t="str">
        <f>IFERROR(_xlfn.XLOOKUP(P241,'Shipping Program'!$B$32:$B$78,'Shipping Program'!$E$32:$E$78),IFERROR(INDEX(_V7Batches!$D:$D,MATCH(P241&amp;"",_V7Batches!$A:$A,0)),""))</f>
        <v/>
      </c>
      <c r="T241" s="24" t="e">
        <f>S241+'Shipping Program'!$H$9</f>
        <v>#VALUE!</v>
      </c>
      <c r="U241" s="25" t="str">
        <f>IFERROR(IF(J241*T241&lt;&gt;0,J241-T241,""),"")</f>
        <v/>
      </c>
      <c r="V241" s="25" t="str">
        <f>IF(U241&lt;&gt;"",IF(U241&gt;28,"Too early",IF(U241&lt;14,"Too late","")),"")</f>
        <v/>
      </c>
      <c r="W241" s="35"/>
      <c r="X241" s="26" t="str">
        <f ca="1">IF(OFFSET(X241,1,0)="",R241,OFFSET(X241,1,0))</f>
        <v/>
      </c>
      <c r="Y241" s="26" t="e">
        <f ca="1">IF(OFFSET(Y241,1,0)="",X241+'Shipping Program'!$F$9,OFFSET(Y241,1,0))</f>
        <v>#VALUE!</v>
      </c>
      <c r="Z241" s="26" t="e">
        <f ca="1">IF(OFFSET(Z241,1,0)="",Y241+'Shipping Program'!$H$9,OFFSET(Z241,1,0))</f>
        <v>#VALUE!</v>
      </c>
      <c r="AA241" s="27" t="str">
        <f ca="1">IFERROR(IF(J241*Z241&lt;&gt;0,J241-Z241,""),"")</f>
        <v/>
      </c>
      <c r="AB241" s="27" t="str">
        <f ca="1">IF(AA241&lt;&gt;"",IF(AA241&gt;28,"Too early",IF(AA241&lt;14,"Too late","")),"")</f>
        <v/>
      </c>
      <c r="AC241" s="46"/>
      <c r="AE241" s="80" t="s">
        <v>54</v>
      </c>
      <c r="AF241" s="80"/>
      <c r="AG241" s="80"/>
      <c r="AH241" s="80" t="str">
        <f>IF(AI241="","",AI241*AJ241*AK241/1000/1000/1000)</f>
        <v/>
      </c>
      <c r="AI241" s="80"/>
      <c r="AJ241" s="80"/>
      <c r="AK241" s="80"/>
    </row>
    <row r="242" spans="1:37" ht="20.100000000000001" customHeight="1">
      <c r="A242" s="33">
        <f ca="1">COUNTIF(J$3:OFFSET(J242,-1,0),"Subtotal:")+1</f>
        <v>18</v>
      </c>
      <c r="B242" s="23" t="str">
        <f ca="1">IF(OFFSET(B242,1,0)&lt;&gt;"",OFFSET(B242,1,0),"")</f>
        <v/>
      </c>
      <c r="C242" s="42"/>
      <c r="D242" s="59" t="s">
        <v>62</v>
      </c>
      <c r="E242" s="60" t="str">
        <f>LEFT(F242,3)</f>
        <v>#04</v>
      </c>
      <c r="F242" s="59" t="s">
        <v>222</v>
      </c>
      <c r="G242" s="59" t="s">
        <v>214</v>
      </c>
      <c r="H242" s="60"/>
      <c r="I242" s="24" t="str">
        <f>IF(J242&lt;&gt;"",J242 - ('Shipping Program'!$D$9 + 'Shipping Program'!$F$9 + 'Shipping Program'!$H$9), "")</f>
        <v/>
      </c>
      <c r="J242" s="43"/>
      <c r="K242" s="44" t="str">
        <f>IF(SUM(M242:N242)=0,"",SUM(M242:N242))</f>
        <v/>
      </c>
      <c r="L242" s="44"/>
      <c r="M242" s="44"/>
      <c r="N242" s="54"/>
      <c r="O242" s="25" t="e">
        <f>VLOOKUP(I242,'Shipping Program'!$A$32:$B$78,2)-1</f>
        <v>#N/A</v>
      </c>
      <c r="P242" s="44" t="e">
        <f>O242</f>
        <v>#N/A</v>
      </c>
      <c r="Q242" s="24" t="e">
        <f>R242-7</f>
        <v>#VALUE!</v>
      </c>
      <c r="R242" s="24" t="str">
        <f>IFERROR(_xlfn.XLOOKUP(P242,'Shipping Program'!$B$32:$B$78,'Shipping Program'!$A$32:$A$78),IFERROR(INDEX(_V7Batches!$B:$B,MATCH(P242&amp;"",_V7Batches!$A:$A,0)),""))</f>
        <v/>
      </c>
      <c r="S242" s="24" t="str">
        <f>IFERROR(_xlfn.XLOOKUP(P242,'Shipping Program'!$B$32:$B$78,'Shipping Program'!$E$32:$E$78),IFERROR(INDEX(_V7Batches!$D:$D,MATCH(P242&amp;"",_V7Batches!$A:$A,0)),""))</f>
        <v/>
      </c>
      <c r="T242" s="24" t="e">
        <f>S242+'Shipping Program'!$H$9</f>
        <v>#VALUE!</v>
      </c>
      <c r="U242" s="25" t="str">
        <f>IFERROR(IF(J242*T242&lt;&gt;0,J242-T242,""),"")</f>
        <v/>
      </c>
      <c r="V242" s="25" t="str">
        <f>IF(U242&lt;&gt;"",IF(U242&gt;28,"Too early",IF(U242&lt;14,"Too late","")),"")</f>
        <v/>
      </c>
      <c r="W242" s="35"/>
      <c r="X242" s="26" t="str">
        <f ca="1">IF(OFFSET(X242,1,0)="",R242,OFFSET(X242,1,0))</f>
        <v/>
      </c>
      <c r="Y242" s="26" t="e">
        <f ca="1">IF(OFFSET(Y242,1,0)="",X242+'Shipping Program'!$F$9,OFFSET(Y242,1,0))</f>
        <v>#VALUE!</v>
      </c>
      <c r="Z242" s="26" t="e">
        <f ca="1">IF(OFFSET(Z242,1,0)="",Y242+'Shipping Program'!$H$9,OFFSET(Z242,1,0))</f>
        <v>#VALUE!</v>
      </c>
      <c r="AA242" s="27" t="str">
        <f ca="1">IFERROR(IF(J242*Z242&lt;&gt;0,J242-Z242,""),"")</f>
        <v/>
      </c>
      <c r="AB242" s="27" t="str">
        <f ca="1">IF(AA242&lt;&gt;"",IF(AA242&gt;28,"Too early",IF(AA242&lt;14,"Too late","")),"")</f>
        <v/>
      </c>
      <c r="AC242" s="46"/>
      <c r="AE242" s="80" t="s">
        <v>43</v>
      </c>
      <c r="AF242" s="80" t="s">
        <v>41</v>
      </c>
      <c r="AG242" s="80" t="s">
        <v>63</v>
      </c>
      <c r="AH242" s="80" t="str">
        <f>IF(AI242="","",AI242*AJ242*AK242/1000/1000/1000)</f>
        <v/>
      </c>
      <c r="AI242" s="80"/>
      <c r="AJ242" s="80"/>
      <c r="AK242" s="80"/>
    </row>
    <row r="243" spans="1:37" ht="20.100000000000001" customHeight="1">
      <c r="A243" s="33">
        <f ca="1">COUNTIF(J$3:OFFSET(J243,-1,0),"Subtotal:")+1</f>
        <v>18</v>
      </c>
      <c r="B243" s="23" t="str">
        <f ca="1">IF(OFFSET(B243,1,0)&lt;&gt;"",OFFSET(B243,1,0),"")</f>
        <v/>
      </c>
      <c r="C243" s="42"/>
      <c r="D243" s="59" t="s">
        <v>62</v>
      </c>
      <c r="E243" s="60" t="str">
        <f>LEFT(F243,3)</f>
        <v>#04</v>
      </c>
      <c r="F243" s="59" t="s">
        <v>222</v>
      </c>
      <c r="G243" s="59" t="s">
        <v>220</v>
      </c>
      <c r="H243" s="60"/>
      <c r="I243" s="24" t="str">
        <f>IF(J243&lt;&gt;"",J243 - ('Shipping Program'!$D$9 + 'Shipping Program'!$F$9 + 'Shipping Program'!$H$9), "")</f>
        <v/>
      </c>
      <c r="J243" s="43"/>
      <c r="K243" s="44" t="str">
        <f>IF(SUM(M243:N243)=0,"",SUM(M243:N243))</f>
        <v/>
      </c>
      <c r="L243" s="44"/>
      <c r="M243" s="44"/>
      <c r="N243" s="54"/>
      <c r="O243" s="25" t="e">
        <f>VLOOKUP(I243,'Shipping Program'!$A$32:$B$78,2)-1</f>
        <v>#N/A</v>
      </c>
      <c r="P243" s="44" t="e">
        <f>O243</f>
        <v>#N/A</v>
      </c>
      <c r="Q243" s="24" t="e">
        <f>R243-7</f>
        <v>#VALUE!</v>
      </c>
      <c r="R243" s="24" t="str">
        <f>IFERROR(_xlfn.XLOOKUP(P243,'Shipping Program'!$B$32:$B$78,'Shipping Program'!$A$32:$A$78),IFERROR(INDEX(_V7Batches!$B:$B,MATCH(P243&amp;"",_V7Batches!$A:$A,0)),""))</f>
        <v/>
      </c>
      <c r="S243" s="24" t="str">
        <f>IFERROR(_xlfn.XLOOKUP(P243,'Shipping Program'!$B$32:$B$78,'Shipping Program'!$E$32:$E$78),IFERROR(INDEX(_V7Batches!$D:$D,MATCH(P243&amp;"",_V7Batches!$A:$A,0)),""))</f>
        <v/>
      </c>
      <c r="T243" s="24" t="e">
        <f>S243+'Shipping Program'!$H$9</f>
        <v>#VALUE!</v>
      </c>
      <c r="U243" s="25" t="str">
        <f>IFERROR(IF(J243*T243&lt;&gt;0,J243-T243,""),"")</f>
        <v/>
      </c>
      <c r="V243" s="25" t="str">
        <f>IF(U243&lt;&gt;"",IF(U243&gt;28,"Too early",IF(U243&lt;14,"Too late","")),"")</f>
        <v/>
      </c>
      <c r="W243" s="35"/>
      <c r="X243" s="26" t="str">
        <f ca="1">IF(OFFSET(X243,1,0)="",R243,OFFSET(X243,1,0))</f>
        <v/>
      </c>
      <c r="Y243" s="26" t="e">
        <f ca="1">IF(OFFSET(Y243,1,0)="",X243+'Shipping Program'!$F$9,OFFSET(Y243,1,0))</f>
        <v>#VALUE!</v>
      </c>
      <c r="Z243" s="26" t="e">
        <f ca="1">IF(OFFSET(Z243,1,0)="",Y243+'Shipping Program'!$H$9,OFFSET(Z243,1,0))</f>
        <v>#VALUE!</v>
      </c>
      <c r="AA243" s="27" t="str">
        <f ca="1">IFERROR(IF(J243*Z243&lt;&gt;0,J243-Z243,""),"")</f>
        <v/>
      </c>
      <c r="AB243" s="27" t="str">
        <f ca="1">IF(AA243&lt;&gt;"",IF(AA243&gt;28,"Too early",IF(AA243&lt;14,"Too late","")),"")</f>
        <v/>
      </c>
      <c r="AC243" s="46"/>
      <c r="AE243" s="80" t="s">
        <v>43</v>
      </c>
      <c r="AF243" s="80" t="s">
        <v>41</v>
      </c>
      <c r="AG243" s="80" t="s">
        <v>63</v>
      </c>
      <c r="AH243" s="80" t="str">
        <f>IF(AI243="","",AI243*AJ243*AK243/1000/1000/1000)</f>
        <v/>
      </c>
      <c r="AI243" s="80"/>
      <c r="AJ243" s="80"/>
      <c r="AK243" s="80"/>
    </row>
    <row r="244" spans="1:37" ht="20.100000000000001" customHeight="1">
      <c r="A244" s="33">
        <f ca="1">COUNTIF(J$3:OFFSET(J244,-1,0),"Subtotal:")+1</f>
        <v>18</v>
      </c>
      <c r="B244" s="23" t="str">
        <f ca="1">IF(OFFSET(B244,1,0)&lt;&gt;"",OFFSET(B244,1,0),"")</f>
        <v/>
      </c>
      <c r="C244" s="42"/>
      <c r="D244" s="59" t="s">
        <v>62</v>
      </c>
      <c r="E244" s="60" t="str">
        <f>LEFT(F244,3)</f>
        <v>#04</v>
      </c>
      <c r="F244" s="59" t="s">
        <v>222</v>
      </c>
      <c r="G244" s="59" t="s">
        <v>219</v>
      </c>
      <c r="H244" s="60"/>
      <c r="I244" s="24" t="str">
        <f>IF(J244&lt;&gt;"",J244 - ('Shipping Program'!$D$9 + 'Shipping Program'!$F$9 + 'Shipping Program'!$H$9), "")</f>
        <v/>
      </c>
      <c r="J244" s="43"/>
      <c r="K244" s="44" t="str">
        <f>IF(SUM(M244:N244)=0,"",SUM(M244:N244))</f>
        <v/>
      </c>
      <c r="L244" s="44"/>
      <c r="M244" s="44"/>
      <c r="N244" s="54"/>
      <c r="O244" s="25" t="e">
        <f>VLOOKUP(I244,'Shipping Program'!$A$32:$B$78,2)-1</f>
        <v>#N/A</v>
      </c>
      <c r="P244" s="44" t="e">
        <f>O244</f>
        <v>#N/A</v>
      </c>
      <c r="Q244" s="24" t="e">
        <f>R244-7</f>
        <v>#VALUE!</v>
      </c>
      <c r="R244" s="24" t="str">
        <f>IFERROR(_xlfn.XLOOKUP(P244,'Shipping Program'!$B$32:$B$78,'Shipping Program'!$A$32:$A$78),IFERROR(INDEX(_V7Batches!$B:$B,MATCH(P244&amp;"",_V7Batches!$A:$A,0)),""))</f>
        <v/>
      </c>
      <c r="S244" s="24" t="str">
        <f>IFERROR(_xlfn.XLOOKUP(P244,'Shipping Program'!$B$32:$B$78,'Shipping Program'!$E$32:$E$78),IFERROR(INDEX(_V7Batches!$D:$D,MATCH(P244&amp;"",_V7Batches!$A:$A,0)),""))</f>
        <v/>
      </c>
      <c r="T244" s="24" t="e">
        <f>S244+'Shipping Program'!$H$9</f>
        <v>#VALUE!</v>
      </c>
      <c r="U244" s="25" t="str">
        <f>IFERROR(IF(J244*T244&lt;&gt;0,J244-T244,""),"")</f>
        <v/>
      </c>
      <c r="V244" s="25" t="str">
        <f>IF(U244&lt;&gt;"",IF(U244&gt;28,"Too early",IF(U244&lt;14,"Too late","")),"")</f>
        <v/>
      </c>
      <c r="W244" s="35"/>
      <c r="X244" s="26" t="str">
        <f ca="1">IF(OFFSET(X244,1,0)="",R244,OFFSET(X244,1,0))</f>
        <v/>
      </c>
      <c r="Y244" s="26" t="e">
        <f ca="1">IF(OFFSET(Y244,1,0)="",X244+'Shipping Program'!$F$9,OFFSET(Y244,1,0))</f>
        <v>#VALUE!</v>
      </c>
      <c r="Z244" s="26" t="e">
        <f ca="1">IF(OFFSET(Z244,1,0)="",Y244+'Shipping Program'!$H$9,OFFSET(Z244,1,0))</f>
        <v>#VALUE!</v>
      </c>
      <c r="AA244" s="27" t="str">
        <f ca="1">IFERROR(IF(J244*Z244&lt;&gt;0,J244-Z244,""),"")</f>
        <v/>
      </c>
      <c r="AB244" s="27" t="str">
        <f ca="1">IF(AA244&lt;&gt;"",IF(AA244&gt;28,"Too early",IF(AA244&lt;14,"Too late","")),"")</f>
        <v/>
      </c>
      <c r="AC244" s="46"/>
      <c r="AE244" s="80" t="s">
        <v>43</v>
      </c>
      <c r="AF244" s="80" t="s">
        <v>41</v>
      </c>
      <c r="AG244" s="80" t="s">
        <v>63</v>
      </c>
      <c r="AH244" s="80" t="str">
        <f>IF(AI244="","",AI244*AJ244*AK244/1000/1000/1000)</f>
        <v/>
      </c>
      <c r="AI244" s="80"/>
      <c r="AJ244" s="80"/>
      <c r="AK244" s="80"/>
    </row>
    <row r="245" spans="1:37" ht="20.100000000000001" customHeight="1">
      <c r="A245" s="33">
        <f ca="1">COUNTIF(J$3:OFFSET(J245,-1,0),"Subtotal:")+1</f>
        <v>18</v>
      </c>
      <c r="B245" s="23" t="str">
        <f ca="1">IF(OFFSET(B245,1,0)&lt;&gt;"",OFFSET(B245,1,0),"")</f>
        <v/>
      </c>
      <c r="C245" s="42"/>
      <c r="D245" s="59" t="s">
        <v>64</v>
      </c>
      <c r="E245" s="60" t="str">
        <f>LEFT(F245,3)</f>
        <v>#04</v>
      </c>
      <c r="F245" s="59" t="s">
        <v>222</v>
      </c>
      <c r="G245" s="59" t="s">
        <v>211</v>
      </c>
      <c r="H245" s="60"/>
      <c r="I245" s="24" t="str">
        <f>IF(J245&lt;&gt;"",J245 - ('Shipping Program'!$D$9 + 'Shipping Program'!$F$9 + 'Shipping Program'!$H$9), "")</f>
        <v/>
      </c>
      <c r="J245" s="43"/>
      <c r="K245" s="44" t="str">
        <f>IF(SUM(M245:N245)=0,"",SUM(M245:N245))</f>
        <v/>
      </c>
      <c r="L245" s="44"/>
      <c r="M245" s="44"/>
      <c r="N245" s="54"/>
      <c r="O245" s="25" t="e">
        <f>VLOOKUP(I245,'Shipping Program'!$A$32:$B$78,2)-1</f>
        <v>#N/A</v>
      </c>
      <c r="P245" s="44" t="e">
        <f>O245</f>
        <v>#N/A</v>
      </c>
      <c r="Q245" s="24" t="e">
        <f>R245-7</f>
        <v>#VALUE!</v>
      </c>
      <c r="R245" s="24" t="str">
        <f>IFERROR(_xlfn.XLOOKUP(P245,'Shipping Program'!$B$32:$B$78,'Shipping Program'!$A$32:$A$78),IFERROR(INDEX(_V7Batches!$B:$B,MATCH(P245&amp;"",_V7Batches!$A:$A,0)),""))</f>
        <v/>
      </c>
      <c r="S245" s="24" t="str">
        <f>IFERROR(_xlfn.XLOOKUP(P245,'Shipping Program'!$B$32:$B$78,'Shipping Program'!$E$32:$E$78),IFERROR(INDEX(_V7Batches!$D:$D,MATCH(P245&amp;"",_V7Batches!$A:$A,0)),""))</f>
        <v/>
      </c>
      <c r="T245" s="24" t="e">
        <f>S245+'Shipping Program'!$H$9</f>
        <v>#VALUE!</v>
      </c>
      <c r="U245" s="25" t="str">
        <f>IFERROR(IF(J245*T245&lt;&gt;0,J245-T245,""),"")</f>
        <v/>
      </c>
      <c r="V245" s="25" t="str">
        <f>IF(U245&lt;&gt;"",IF(U245&gt;28,"Too early",IF(U245&lt;14,"Too late","")),"")</f>
        <v/>
      </c>
      <c r="W245" s="35"/>
      <c r="X245" s="26" t="str">
        <f ca="1">IF(OFFSET(X245,1,0)="",R245,OFFSET(X245,1,0))</f>
        <v/>
      </c>
      <c r="Y245" s="26" t="e">
        <f ca="1">IF(OFFSET(Y245,1,0)="",X245+'Shipping Program'!$F$9,OFFSET(Y245,1,0))</f>
        <v>#VALUE!</v>
      </c>
      <c r="Z245" s="26" t="e">
        <f ca="1">IF(OFFSET(Z245,1,0)="",Y245+'Shipping Program'!$H$9,OFFSET(Z245,1,0))</f>
        <v>#VALUE!</v>
      </c>
      <c r="AA245" s="27" t="str">
        <f ca="1">IFERROR(IF(J245*Z245&lt;&gt;0,J245-Z245,""),"")</f>
        <v/>
      </c>
      <c r="AB245" s="27" t="str">
        <f ca="1">IF(AA245&lt;&gt;"",IF(AA245&gt;28,"Too early",IF(AA245&lt;14,"Too late","")),"")</f>
        <v/>
      </c>
      <c r="AC245" s="46"/>
      <c r="AE245" s="80" t="s">
        <v>54</v>
      </c>
      <c r="AF245" s="80"/>
      <c r="AG245" s="80"/>
      <c r="AH245" s="80" t="str">
        <f>IF(AI245="","",AI245*AJ245*AK245/1000/1000/1000)</f>
        <v/>
      </c>
      <c r="AI245" s="80"/>
      <c r="AJ245" s="80"/>
      <c r="AK245" s="80"/>
    </row>
    <row r="246" spans="1:37" ht="20.100000000000001" customHeight="1">
      <c r="A246" s="33">
        <f ca="1">COUNTIF(J$3:OFFSET(J246,-1,0),"Subtotal:")+1</f>
        <v>18</v>
      </c>
      <c r="B246" s="23" t="str">
        <f ca="1">IF(OFFSET(B246,1,0)&lt;&gt;"",OFFSET(B246,1,0),"")</f>
        <v/>
      </c>
      <c r="C246" s="42"/>
      <c r="D246" s="59" t="s">
        <v>66</v>
      </c>
      <c r="E246" s="60" t="str">
        <f>LEFT(F246,3)</f>
        <v>#04</v>
      </c>
      <c r="F246" s="59" t="s">
        <v>222</v>
      </c>
      <c r="G246" s="59" t="s">
        <v>183</v>
      </c>
      <c r="H246" s="60"/>
      <c r="I246" s="24" t="str">
        <f>IF(J246&lt;&gt;"",J246 - ('Shipping Program'!$D$9 + 'Shipping Program'!$F$9 + 'Shipping Program'!$H$9), "")</f>
        <v/>
      </c>
      <c r="J246" s="43"/>
      <c r="K246" s="44" t="str">
        <f>IF(SUM(M246:N246)=0,"",SUM(M246:N246))</f>
        <v/>
      </c>
      <c r="L246" s="44"/>
      <c r="M246" s="44"/>
      <c r="N246" s="54"/>
      <c r="O246" s="25" t="e">
        <f>VLOOKUP(I246,'Shipping Program'!$A$32:$B$78,2)-1</f>
        <v>#N/A</v>
      </c>
      <c r="P246" s="44" t="e">
        <f>O246</f>
        <v>#N/A</v>
      </c>
      <c r="Q246" s="24" t="e">
        <f>R246-7</f>
        <v>#VALUE!</v>
      </c>
      <c r="R246" s="24" t="str">
        <f>IFERROR(_xlfn.XLOOKUP(P246,'Shipping Program'!$B$32:$B$78,'Shipping Program'!$A$32:$A$78),IFERROR(INDEX(_V7Batches!$B:$B,MATCH(P246&amp;"",_V7Batches!$A:$A,0)),""))</f>
        <v/>
      </c>
      <c r="S246" s="24" t="str">
        <f>IFERROR(_xlfn.XLOOKUP(P246,'Shipping Program'!$B$32:$B$78,'Shipping Program'!$E$32:$E$78),IFERROR(INDEX(_V7Batches!$D:$D,MATCH(P246&amp;"",_V7Batches!$A:$A,0)),""))</f>
        <v/>
      </c>
      <c r="T246" s="24" t="e">
        <f>S246+'Shipping Program'!$H$9</f>
        <v>#VALUE!</v>
      </c>
      <c r="U246" s="25" t="str">
        <f>IFERROR(IF(J246*T246&lt;&gt;0,J246-T246,""),"")</f>
        <v/>
      </c>
      <c r="V246" s="25" t="str">
        <f>IF(U246&lt;&gt;"",IF(U246&gt;28,"Too early",IF(U246&lt;14,"Too late","")),"")</f>
        <v/>
      </c>
      <c r="W246" s="35"/>
      <c r="X246" s="26" t="str">
        <f ca="1">IF(OFFSET(X246,1,0)="",R246,OFFSET(X246,1,0))</f>
        <v/>
      </c>
      <c r="Y246" s="26" t="e">
        <f ca="1">IF(OFFSET(Y246,1,0)="",X246+'Shipping Program'!$F$9,OFFSET(Y246,1,0))</f>
        <v>#VALUE!</v>
      </c>
      <c r="Z246" s="26" t="e">
        <f ca="1">IF(OFFSET(Z246,1,0)="",Y246+'Shipping Program'!$H$9,OFFSET(Z246,1,0))</f>
        <v>#VALUE!</v>
      </c>
      <c r="AA246" s="27" t="str">
        <f ca="1">IFERROR(IF(J246*Z246&lt;&gt;0,J246-Z246,""),"")</f>
        <v/>
      </c>
      <c r="AB246" s="27" t="str">
        <f ca="1">IF(AA246&lt;&gt;"",IF(AA246&gt;28,"Too early",IF(AA246&lt;14,"Too late","")),"")</f>
        <v/>
      </c>
      <c r="AC246" s="46"/>
      <c r="AE246" s="80" t="s">
        <v>54</v>
      </c>
      <c r="AF246" s="80"/>
      <c r="AG246" s="80"/>
      <c r="AH246" s="80" t="str">
        <f>IF(AI246="","",AI246*AJ246*AK246/1000/1000/1000)</f>
        <v/>
      </c>
      <c r="AI246" s="80"/>
      <c r="AJ246" s="80"/>
      <c r="AK246" s="80"/>
    </row>
    <row r="247" spans="1:37" ht="20.100000000000001" customHeight="1">
      <c r="A247" s="33">
        <f ca="1">COUNTIF(J$3:OFFSET(J247,-1,0),"Subtotal:")+1</f>
        <v>18</v>
      </c>
      <c r="B247" s="23" t="str">
        <f ca="1">IF(OFFSET(B247,1,0)&lt;&gt;"",OFFSET(B247,1,0),"")</f>
        <v/>
      </c>
      <c r="C247" s="42"/>
      <c r="D247" s="59" t="s">
        <v>38</v>
      </c>
      <c r="E247" s="60" t="str">
        <f>LEFT(F247,3)</f>
        <v>#09</v>
      </c>
      <c r="F247" s="59" t="s">
        <v>154</v>
      </c>
      <c r="G247" s="59" t="s">
        <v>165</v>
      </c>
      <c r="H247" s="60" t="s">
        <v>67</v>
      </c>
      <c r="I247" s="24">
        <f>IF(J247&lt;&gt;"",J247 - ('Shipping Program'!$D$9 + 'Shipping Program'!$F$9 + 'Shipping Program'!$H$9), "")</f>
        <v>46445</v>
      </c>
      <c r="J247" s="43">
        <v>46492</v>
      </c>
      <c r="K247" s="44" t="str">
        <f>IF(SUM(M247:N247)=0,"",SUM(M247:N247))</f>
        <v/>
      </c>
      <c r="L247" s="44"/>
      <c r="M247" s="44"/>
      <c r="N247" s="54"/>
      <c r="O247" s="25" t="e">
        <f>VLOOKUP(I247,'Shipping Program'!$A$32:$B$78,2)-1</f>
        <v>#N/A</v>
      </c>
      <c r="P247" s="44" t="e">
        <f>O247</f>
        <v>#N/A</v>
      </c>
      <c r="Q247" s="24" t="e">
        <f>R247-7</f>
        <v>#VALUE!</v>
      </c>
      <c r="R247" s="24" t="str">
        <f>IFERROR(_xlfn.XLOOKUP(P247,'Shipping Program'!$B$32:$B$78,'Shipping Program'!$A$32:$A$78),IFERROR(INDEX(_V7Batches!$B:$B,MATCH(P247&amp;"",_V7Batches!$A:$A,0)),""))</f>
        <v/>
      </c>
      <c r="S247" s="24" t="str">
        <f>IFERROR(_xlfn.XLOOKUP(P247,'Shipping Program'!$B$32:$B$78,'Shipping Program'!$E$32:$E$78),IFERROR(INDEX(_V7Batches!$D:$D,MATCH(P247&amp;"",_V7Batches!$A:$A,0)),""))</f>
        <v/>
      </c>
      <c r="T247" s="24" t="e">
        <f>S247+'Shipping Program'!$H$9</f>
        <v>#VALUE!</v>
      </c>
      <c r="U247" s="25" t="str">
        <f>IFERROR(IF(J247*T247&lt;&gt;0,J247-T247,""),"")</f>
        <v/>
      </c>
      <c r="V247" s="25" t="str">
        <f>IF(U247&lt;&gt;"",IF(U247&gt;28,"Too early",IF(U247&lt;14,"Too late","")),"")</f>
        <v/>
      </c>
      <c r="W247" s="35"/>
      <c r="X247" s="26" t="str">
        <f ca="1">IF(OFFSET(X247,1,0)="",R247,OFFSET(X247,1,0))</f>
        <v/>
      </c>
      <c r="Y247" s="26" t="e">
        <f ca="1">IF(OFFSET(Y247,1,0)="",X247+'Shipping Program'!$F$9,OFFSET(Y247,1,0))</f>
        <v>#VALUE!</v>
      </c>
      <c r="Z247" s="26" t="e">
        <f ca="1">IF(OFFSET(Z247,1,0)="",Y247+'Shipping Program'!$H$9,OFFSET(Z247,1,0))</f>
        <v>#VALUE!</v>
      </c>
      <c r="AA247" s="27" t="str">
        <f ca="1">IFERROR(IF(J247*Z247&lt;&gt;0,J247-Z247,""),"")</f>
        <v/>
      </c>
      <c r="AB247" s="27" t="str">
        <f ca="1">IF(AA247&lt;&gt;"",IF(AA247&gt;28,"Too early",IF(AA247&lt;14,"Too late","")),"")</f>
        <v/>
      </c>
      <c r="AC247" s="46"/>
      <c r="AE247" s="80" t="s">
        <v>54</v>
      </c>
      <c r="AF247" s="80"/>
      <c r="AG247" s="80"/>
      <c r="AH247" s="80" t="str">
        <f>IF(AI247="","",AI247*AJ247*AK247/1000/1000/1000)</f>
        <v/>
      </c>
      <c r="AI247" s="80"/>
      <c r="AJ247" s="80"/>
      <c r="AK247" s="80"/>
    </row>
    <row r="248" spans="1:37" ht="20.100000000000001" customHeight="1">
      <c r="A248" s="33">
        <f ca="1">COUNTIF(J$3:OFFSET(J248,-1,0),"Subtotal:")+1</f>
        <v>18</v>
      </c>
      <c r="B248" s="23" t="str">
        <f ca="1">IF(OFFSET(B248,1,0)&lt;&gt;"",OFFSET(B248,1,0),"")</f>
        <v/>
      </c>
      <c r="C248" s="42"/>
      <c r="D248" s="59" t="s">
        <v>47</v>
      </c>
      <c r="E248" s="60" t="str">
        <f>LEFT(F248,3)</f>
        <v>#01</v>
      </c>
      <c r="F248" s="59" t="s">
        <v>175</v>
      </c>
      <c r="G248" s="59" t="s">
        <v>196</v>
      </c>
      <c r="H248" s="60"/>
      <c r="I248" s="24" t="str">
        <f>IF(J248&lt;&gt;"",J248 - ('Shipping Program'!$D$9 + 'Shipping Program'!$F$9 + 'Shipping Program'!$H$9), "")</f>
        <v/>
      </c>
      <c r="J248" s="43"/>
      <c r="K248" s="44" t="str">
        <f>IF(SUM(M248:N248)=0,"",SUM(M248:N248))</f>
        <v/>
      </c>
      <c r="L248" s="44"/>
      <c r="M248" s="44"/>
      <c r="N248" s="54"/>
      <c r="O248" s="25" t="e">
        <f>VLOOKUP(I248,'Shipping Program'!$A$32:$B$78,2)-1</f>
        <v>#N/A</v>
      </c>
      <c r="P248" s="44" t="e">
        <f>O248</f>
        <v>#N/A</v>
      </c>
      <c r="Q248" s="24" t="e">
        <f>R248-7</f>
        <v>#VALUE!</v>
      </c>
      <c r="R248" s="24" t="str">
        <f>IFERROR(_xlfn.XLOOKUP(P248,'Shipping Program'!$B$32:$B$78,'Shipping Program'!$A$32:$A$78),IFERROR(INDEX(_V7Batches!$B:$B,MATCH(P248&amp;"",_V7Batches!$A:$A,0)),""))</f>
        <v/>
      </c>
      <c r="S248" s="24" t="str">
        <f>IFERROR(_xlfn.XLOOKUP(P248,'Shipping Program'!$B$32:$B$78,'Shipping Program'!$E$32:$E$78),IFERROR(INDEX(_V7Batches!$D:$D,MATCH(P248&amp;"",_V7Batches!$A:$A,0)),""))</f>
        <v/>
      </c>
      <c r="T248" s="24" t="e">
        <f>S248+'Shipping Program'!$H$9</f>
        <v>#VALUE!</v>
      </c>
      <c r="U248" s="25" t="str">
        <f>IFERROR(IF(J248*T248&lt;&gt;0,J248-T248,""),"")</f>
        <v/>
      </c>
      <c r="V248" s="25" t="str">
        <f>IF(U248&lt;&gt;"",IF(U248&gt;28,"Too early",IF(U248&lt;14,"Too late","")),"")</f>
        <v/>
      </c>
      <c r="W248" s="35"/>
      <c r="X248" s="26" t="str">
        <f ca="1">IF(OFFSET(X248,1,0)="",R248,OFFSET(X248,1,0))</f>
        <v/>
      </c>
      <c r="Y248" s="26" t="e">
        <f ca="1">IF(OFFSET(Y248,1,0)="",X248+'Shipping Program'!$F$9,OFFSET(Y248,1,0))</f>
        <v>#VALUE!</v>
      </c>
      <c r="Z248" s="26" t="e">
        <f ca="1">IF(OFFSET(Z248,1,0)="",Y248+'Shipping Program'!$H$9,OFFSET(Z248,1,0))</f>
        <v>#VALUE!</v>
      </c>
      <c r="AA248" s="27" t="str">
        <f ca="1">IFERROR(IF(J248*Z248&lt;&gt;0,J248-Z248,""),"")</f>
        <v/>
      </c>
      <c r="AB248" s="27" t="str">
        <f ca="1">IF(AA248&lt;&gt;"",IF(AA248&gt;28,"Too early",IF(AA248&lt;14,"Too late","")),"")</f>
        <v/>
      </c>
      <c r="AC248" s="46"/>
      <c r="AE248" s="80" t="s">
        <v>43</v>
      </c>
      <c r="AF248" s="80" t="s">
        <v>41</v>
      </c>
      <c r="AG248" s="80" t="s">
        <v>42</v>
      </c>
      <c r="AH248" s="80" t="str">
        <f>IF(AI248="","",AI248*AJ248*AK248/1000/1000/1000)</f>
        <v/>
      </c>
      <c r="AI248" s="80"/>
      <c r="AJ248" s="80"/>
      <c r="AK248" s="80"/>
    </row>
    <row r="249" spans="1:37" ht="20.100000000000001" customHeight="1">
      <c r="A249" s="33">
        <f ca="1">COUNTIF(J$3:OFFSET(J249,-1,0),"Subtotal:")+1</f>
        <v>18</v>
      </c>
      <c r="B249" s="23" t="str">
        <f ca="1">IF(OFFSET(B249,1,0)&lt;&gt;"",OFFSET(B249,1,0),"")</f>
        <v/>
      </c>
      <c r="C249" s="42"/>
      <c r="D249" s="59" t="s">
        <v>76</v>
      </c>
      <c r="E249" s="60" t="str">
        <f>LEFT(F249,3)</f>
        <v>#01</v>
      </c>
      <c r="F249" s="59" t="s">
        <v>175</v>
      </c>
      <c r="G249" s="59" t="s">
        <v>183</v>
      </c>
      <c r="H249" s="60"/>
      <c r="I249" s="24" t="str">
        <f>IF(J249&lt;&gt;"",J249 - ('Shipping Program'!$D$9 + 'Shipping Program'!$F$9 + 'Shipping Program'!$H$9), "")</f>
        <v/>
      </c>
      <c r="J249" s="43"/>
      <c r="K249" s="44" t="str">
        <f>IF(SUM(M249:N249)=0,"",SUM(M249:N249))</f>
        <v/>
      </c>
      <c r="L249" s="44"/>
      <c r="M249" s="44"/>
      <c r="N249" s="54"/>
      <c r="O249" s="25" t="e">
        <f>VLOOKUP(I249,'Shipping Program'!$A$32:$B$78,2)-1</f>
        <v>#N/A</v>
      </c>
      <c r="P249" s="44" t="e">
        <f>O249</f>
        <v>#N/A</v>
      </c>
      <c r="Q249" s="24" t="e">
        <f>R249-7</f>
        <v>#VALUE!</v>
      </c>
      <c r="R249" s="24" t="str">
        <f>IFERROR(_xlfn.XLOOKUP(P249,'Shipping Program'!$B$32:$B$78,'Shipping Program'!$A$32:$A$78),IFERROR(INDEX(_V7Batches!$B:$B,MATCH(P249&amp;"",_V7Batches!$A:$A,0)),""))</f>
        <v/>
      </c>
      <c r="S249" s="24" t="str">
        <f>IFERROR(_xlfn.XLOOKUP(P249,'Shipping Program'!$B$32:$B$78,'Shipping Program'!$E$32:$E$78),IFERROR(INDEX(_V7Batches!$D:$D,MATCH(P249&amp;"",_V7Batches!$A:$A,0)),""))</f>
        <v/>
      </c>
      <c r="T249" s="24" t="e">
        <f>S249+'Shipping Program'!$H$9</f>
        <v>#VALUE!</v>
      </c>
      <c r="U249" s="25" t="str">
        <f>IFERROR(IF(J249*T249&lt;&gt;0,J249-T249,""),"")</f>
        <v/>
      </c>
      <c r="V249" s="25" t="str">
        <f>IF(U249&lt;&gt;"",IF(U249&gt;28,"Too early",IF(U249&lt;14,"Too late","")),"")</f>
        <v/>
      </c>
      <c r="W249" s="35"/>
      <c r="X249" s="26" t="str">
        <f ca="1">IF(OFFSET(X249,1,0)="",R249,OFFSET(X249,1,0))</f>
        <v/>
      </c>
      <c r="Y249" s="26" t="e">
        <f ca="1">IF(OFFSET(Y249,1,0)="",X249+'Shipping Program'!$F$9,OFFSET(Y249,1,0))</f>
        <v>#VALUE!</v>
      </c>
      <c r="Z249" s="26" t="e">
        <f ca="1">IF(OFFSET(Z249,1,0)="",Y249+'Shipping Program'!$H$9,OFFSET(Z249,1,0))</f>
        <v>#VALUE!</v>
      </c>
      <c r="AA249" s="27" t="str">
        <f ca="1">IFERROR(IF(J249*Z249&lt;&gt;0,J249-Z249,""),"")</f>
        <v/>
      </c>
      <c r="AB249" s="27" t="str">
        <f ca="1">IF(AA249&lt;&gt;"",IF(AA249&gt;28,"Too early",IF(AA249&lt;14,"Too late","")),"")</f>
        <v/>
      </c>
      <c r="AC249" s="46"/>
      <c r="AE249" s="80" t="s">
        <v>43</v>
      </c>
      <c r="AF249" s="80" t="s">
        <v>46</v>
      </c>
      <c r="AG249" s="80" t="s">
        <v>42</v>
      </c>
      <c r="AH249" s="80" t="str">
        <f>IF(AI249="","",AI249*AJ249*AK249/1000/1000/1000)</f>
        <v/>
      </c>
      <c r="AI249" s="80"/>
      <c r="AJ249" s="80"/>
      <c r="AK249" s="80"/>
    </row>
    <row r="250" spans="1:37" ht="20.100000000000001" customHeight="1">
      <c r="A250" s="33">
        <f ca="1">COUNTIF(J$3:OFFSET(J250,-1,0),"Subtotal:")+1</f>
        <v>18</v>
      </c>
      <c r="B250" s="23" t="str">
        <f ca="1">IF(OFFSET(B250,1,0)&lt;&gt;"",OFFSET(B250,1,0),"")</f>
        <v/>
      </c>
      <c r="C250" s="42"/>
      <c r="D250" s="59" t="s">
        <v>47</v>
      </c>
      <c r="E250" s="60" t="str">
        <f>LEFT(F250,3)</f>
        <v>#01</v>
      </c>
      <c r="F250" s="59" t="s">
        <v>174</v>
      </c>
      <c r="G250" s="59" t="s">
        <v>196</v>
      </c>
      <c r="H250" s="60"/>
      <c r="I250" s="24" t="str">
        <f>IF(J250&lt;&gt;"",J250 - ('Shipping Program'!$D$9 + 'Shipping Program'!$F$9 + 'Shipping Program'!$H$9), "")</f>
        <v/>
      </c>
      <c r="J250" s="43"/>
      <c r="K250" s="44" t="str">
        <f>IF(SUM(M250:N250)=0,"",SUM(M250:N250))</f>
        <v/>
      </c>
      <c r="L250" s="44"/>
      <c r="M250" s="44"/>
      <c r="N250" s="54"/>
      <c r="O250" s="25" t="e">
        <f>VLOOKUP(I250,'Shipping Program'!$A$32:$B$78,2)-1</f>
        <v>#N/A</v>
      </c>
      <c r="P250" s="44" t="e">
        <f>O250</f>
        <v>#N/A</v>
      </c>
      <c r="Q250" s="24" t="e">
        <f>R250-7</f>
        <v>#VALUE!</v>
      </c>
      <c r="R250" s="24" t="str">
        <f>IFERROR(_xlfn.XLOOKUP(P250,'Shipping Program'!$B$32:$B$78,'Shipping Program'!$A$32:$A$78),IFERROR(INDEX(_V7Batches!$B:$B,MATCH(P250&amp;"",_V7Batches!$A:$A,0)),""))</f>
        <v/>
      </c>
      <c r="S250" s="24" t="str">
        <f>IFERROR(_xlfn.XLOOKUP(P250,'Shipping Program'!$B$32:$B$78,'Shipping Program'!$E$32:$E$78),IFERROR(INDEX(_V7Batches!$D:$D,MATCH(P250&amp;"",_V7Batches!$A:$A,0)),""))</f>
        <v/>
      </c>
      <c r="T250" s="24" t="e">
        <f>S250+'Shipping Program'!$H$9</f>
        <v>#VALUE!</v>
      </c>
      <c r="U250" s="25" t="str">
        <f>IFERROR(IF(J250*T250&lt;&gt;0,J250-T250,""),"")</f>
        <v/>
      </c>
      <c r="V250" s="25" t="str">
        <f>IF(U250&lt;&gt;"",IF(U250&gt;28,"Too early",IF(U250&lt;14,"Too late","")),"")</f>
        <v/>
      </c>
      <c r="W250" s="35"/>
      <c r="X250" s="26" t="str">
        <f ca="1">IF(OFFSET(X250,1,0)="",R250,OFFSET(X250,1,0))</f>
        <v/>
      </c>
      <c r="Y250" s="26" t="e">
        <f ca="1">IF(OFFSET(Y250,1,0)="",X250+'Shipping Program'!$F$9,OFFSET(Y250,1,0))</f>
        <v>#VALUE!</v>
      </c>
      <c r="Z250" s="26" t="e">
        <f ca="1">IF(OFFSET(Z250,1,0)="",Y250+'Shipping Program'!$H$9,OFFSET(Z250,1,0))</f>
        <v>#VALUE!</v>
      </c>
      <c r="AA250" s="27" t="str">
        <f ca="1">IFERROR(IF(J250*Z250&lt;&gt;0,J250-Z250,""),"")</f>
        <v/>
      </c>
      <c r="AB250" s="27" t="str">
        <f ca="1">IF(AA250&lt;&gt;"",IF(AA250&gt;28,"Too early",IF(AA250&lt;14,"Too late","")),"")</f>
        <v/>
      </c>
      <c r="AC250" s="46"/>
      <c r="AE250" s="80" t="s">
        <v>43</v>
      </c>
      <c r="AF250" s="80" t="s">
        <v>41</v>
      </c>
      <c r="AG250" s="80" t="s">
        <v>42</v>
      </c>
      <c r="AH250" s="80" t="str">
        <f>IF(AI250="","",AI250*AJ250*AK250/1000/1000/1000)</f>
        <v/>
      </c>
      <c r="AI250" s="80"/>
      <c r="AJ250" s="80"/>
      <c r="AK250" s="80"/>
    </row>
    <row r="251" spans="1:37" ht="20.100000000000001" customHeight="1">
      <c r="A251" s="33">
        <f ca="1">COUNTIF(J$3:OFFSET(J251,-1,0),"Subtotal:")+1</f>
        <v>18</v>
      </c>
      <c r="B251" s="23" t="str">
        <f ca="1">IF(OFFSET(B251,1,0)&lt;&gt;"",OFFSET(B251,1,0),"")</f>
        <v/>
      </c>
      <c r="C251" s="42"/>
      <c r="D251" s="59" t="s">
        <v>71</v>
      </c>
      <c r="E251" s="60" t="str">
        <f>LEFT(F251,3)</f>
        <v>#01</v>
      </c>
      <c r="F251" s="59" t="s">
        <v>174</v>
      </c>
      <c r="G251" s="59" t="s">
        <v>74</v>
      </c>
      <c r="H251" s="60"/>
      <c r="I251" s="24" t="str">
        <f>IF(J251&lt;&gt;"",J251 - ('Shipping Program'!$D$9 + 'Shipping Program'!$F$9 + 'Shipping Program'!$H$9), "")</f>
        <v/>
      </c>
      <c r="J251" s="43"/>
      <c r="K251" s="44" t="str">
        <f>IF(SUM(M251:N251)=0,"",SUM(M251:N251))</f>
        <v/>
      </c>
      <c r="L251" s="44"/>
      <c r="M251" s="44"/>
      <c r="N251" s="54"/>
      <c r="O251" s="25" t="e">
        <f>VLOOKUP(I251,'Shipping Program'!$A$32:$B$78,2)-1</f>
        <v>#N/A</v>
      </c>
      <c r="P251" s="44" t="e">
        <f>O251</f>
        <v>#N/A</v>
      </c>
      <c r="Q251" s="24" t="e">
        <f>R251-7</f>
        <v>#VALUE!</v>
      </c>
      <c r="R251" s="24" t="str">
        <f>IFERROR(_xlfn.XLOOKUP(P251,'Shipping Program'!$B$32:$B$78,'Shipping Program'!$A$32:$A$78),IFERROR(INDEX(_V7Batches!$B:$B,MATCH(P251&amp;"",_V7Batches!$A:$A,0)),""))</f>
        <v/>
      </c>
      <c r="S251" s="24" t="str">
        <f>IFERROR(_xlfn.XLOOKUP(P251,'Shipping Program'!$B$32:$B$78,'Shipping Program'!$E$32:$E$78),IFERROR(INDEX(_V7Batches!$D:$D,MATCH(P251&amp;"",_V7Batches!$A:$A,0)),""))</f>
        <v/>
      </c>
      <c r="T251" s="24" t="e">
        <f>S251+'Shipping Program'!$H$9</f>
        <v>#VALUE!</v>
      </c>
      <c r="U251" s="25" t="str">
        <f>IFERROR(IF(J251*T251&lt;&gt;0,J251-T251,""),"")</f>
        <v/>
      </c>
      <c r="V251" s="25" t="str">
        <f>IF(U251&lt;&gt;"",IF(U251&gt;28,"Too early",IF(U251&lt;14,"Too late","")),"")</f>
        <v/>
      </c>
      <c r="W251" s="35"/>
      <c r="X251" s="26" t="str">
        <f ca="1">IF(OFFSET(X251,1,0)="",R251,OFFSET(X251,1,0))</f>
        <v/>
      </c>
      <c r="Y251" s="26" t="e">
        <f ca="1">IF(OFFSET(Y251,1,0)="",X251+'Shipping Program'!$F$9,OFFSET(Y251,1,0))</f>
        <v>#VALUE!</v>
      </c>
      <c r="Z251" s="26" t="e">
        <f ca="1">IF(OFFSET(Z251,1,0)="",Y251+'Shipping Program'!$H$9,OFFSET(Z251,1,0))</f>
        <v>#VALUE!</v>
      </c>
      <c r="AA251" s="27" t="str">
        <f ca="1">IFERROR(IF(J251*Z251&lt;&gt;0,J251-Z251,""),"")</f>
        <v/>
      </c>
      <c r="AB251" s="27" t="str">
        <f ca="1">IF(AA251&lt;&gt;"",IF(AA251&gt;28,"Too early",IF(AA251&lt;14,"Too late","")),"")</f>
        <v/>
      </c>
      <c r="AC251" s="46"/>
      <c r="AE251" s="80" t="s">
        <v>54</v>
      </c>
      <c r="AF251" s="80"/>
      <c r="AG251" s="80"/>
      <c r="AH251" s="80" t="str">
        <f>IF(AI251="","",AI251*AJ251*AK251/1000/1000/1000)</f>
        <v/>
      </c>
      <c r="AI251" s="80"/>
      <c r="AJ251" s="80"/>
      <c r="AK251" s="80"/>
    </row>
    <row r="252" spans="1:37" ht="20.100000000000001" customHeight="1">
      <c r="A252" s="33">
        <f ca="1">COUNTIF(J$3:OFFSET(J252,-1,0),"Subtotal:")+1</f>
        <v>18</v>
      </c>
      <c r="B252" s="23" t="str">
        <f ca="1">IF(OFFSET(B252,1,0)&lt;&gt;"",OFFSET(B252,1,0),"")</f>
        <v/>
      </c>
      <c r="C252" s="42"/>
      <c r="D252" s="59" t="s">
        <v>76</v>
      </c>
      <c r="E252" s="60" t="str">
        <f>LEFT(F252,3)</f>
        <v>#01</v>
      </c>
      <c r="F252" s="59" t="s">
        <v>174</v>
      </c>
      <c r="G252" s="59" t="s">
        <v>183</v>
      </c>
      <c r="H252" s="60"/>
      <c r="I252" s="24" t="str">
        <f>IF(J252&lt;&gt;"",J252 - ('Shipping Program'!$D$9 + 'Shipping Program'!$F$9 + 'Shipping Program'!$H$9), "")</f>
        <v/>
      </c>
      <c r="J252" s="43"/>
      <c r="K252" s="44" t="str">
        <f>IF(SUM(M252:N252)=0,"",SUM(M252:N252))</f>
        <v/>
      </c>
      <c r="L252" s="44"/>
      <c r="M252" s="44"/>
      <c r="N252" s="54"/>
      <c r="O252" s="25" t="e">
        <f>VLOOKUP(I252,'Shipping Program'!$A$32:$B$78,2)-1</f>
        <v>#N/A</v>
      </c>
      <c r="P252" s="44" t="e">
        <f>O252</f>
        <v>#N/A</v>
      </c>
      <c r="Q252" s="24" t="e">
        <f>R252-7</f>
        <v>#VALUE!</v>
      </c>
      <c r="R252" s="24" t="str">
        <f>IFERROR(_xlfn.XLOOKUP(P252,'Shipping Program'!$B$32:$B$78,'Shipping Program'!$A$32:$A$78),IFERROR(INDEX(_V7Batches!$B:$B,MATCH(P252&amp;"",_V7Batches!$A:$A,0)),""))</f>
        <v/>
      </c>
      <c r="S252" s="24" t="str">
        <f>IFERROR(_xlfn.XLOOKUP(P252,'Shipping Program'!$B$32:$B$78,'Shipping Program'!$E$32:$E$78),IFERROR(INDEX(_V7Batches!$D:$D,MATCH(P252&amp;"",_V7Batches!$A:$A,0)),""))</f>
        <v/>
      </c>
      <c r="T252" s="24" t="e">
        <f>S252+'Shipping Program'!$H$9</f>
        <v>#VALUE!</v>
      </c>
      <c r="U252" s="25" t="str">
        <f>IFERROR(IF(J252*T252&lt;&gt;0,J252-T252,""),"")</f>
        <v/>
      </c>
      <c r="V252" s="25" t="str">
        <f>IF(U252&lt;&gt;"",IF(U252&gt;28,"Too early",IF(U252&lt;14,"Too late","")),"")</f>
        <v/>
      </c>
      <c r="W252" s="35"/>
      <c r="X252" s="26" t="str">
        <f ca="1">IF(OFFSET(X252,1,0)="",R252,OFFSET(X252,1,0))</f>
        <v/>
      </c>
      <c r="Y252" s="26" t="e">
        <f ca="1">IF(OFFSET(Y252,1,0)="",X252+'Shipping Program'!$F$9,OFFSET(Y252,1,0))</f>
        <v>#VALUE!</v>
      </c>
      <c r="Z252" s="26" t="e">
        <f ca="1">IF(OFFSET(Z252,1,0)="",Y252+'Shipping Program'!$H$9,OFFSET(Z252,1,0))</f>
        <v>#VALUE!</v>
      </c>
      <c r="AA252" s="27" t="str">
        <f ca="1">IFERROR(IF(J252*Z252&lt;&gt;0,J252-Z252,""),"")</f>
        <v/>
      </c>
      <c r="AB252" s="27" t="str">
        <f ca="1">IF(AA252&lt;&gt;"",IF(AA252&gt;28,"Too early",IF(AA252&lt;14,"Too late","")),"")</f>
        <v/>
      </c>
      <c r="AC252" s="46"/>
      <c r="AE252" s="80" t="s">
        <v>43</v>
      </c>
      <c r="AF252" s="80" t="s">
        <v>46</v>
      </c>
      <c r="AG252" s="80" t="s">
        <v>42</v>
      </c>
      <c r="AH252" s="80" t="str">
        <f>IF(AI252="","",AI252*AJ252*AK252/1000/1000/1000)</f>
        <v/>
      </c>
      <c r="AI252" s="80"/>
      <c r="AJ252" s="80"/>
      <c r="AK252" s="80"/>
    </row>
    <row r="253" spans="1:37" ht="20.100000000000001" customHeight="1">
      <c r="A253" s="33">
        <f ca="1">COUNTIF(J$3:OFFSET(J253,-1,0),"Subtotal:")+1</f>
        <v>18</v>
      </c>
      <c r="B253" s="23" t="str">
        <f ca="1">IF(OFFSET(B253,1,0)&lt;&gt;"",OFFSET(B253,1,0),"")</f>
        <v/>
      </c>
      <c r="C253" s="42"/>
      <c r="D253" s="59" t="s">
        <v>75</v>
      </c>
      <c r="E253" s="60" t="str">
        <f>LEFT(F253,3)</f>
        <v>#01</v>
      </c>
      <c r="F253" s="59" t="s">
        <v>151</v>
      </c>
      <c r="G253" s="59" t="s">
        <v>184</v>
      </c>
      <c r="H253" s="60"/>
      <c r="I253" s="24" t="str">
        <f>IF(J253&lt;&gt;"",J253 - ('Shipping Program'!$D$9 + 'Shipping Program'!$F$9 + 'Shipping Program'!$H$9), "")</f>
        <v/>
      </c>
      <c r="J253" s="43"/>
      <c r="K253" s="44" t="str">
        <f>IF(SUM(M253:N253)=0,"",SUM(M253:N253))</f>
        <v/>
      </c>
      <c r="L253" s="44"/>
      <c r="M253" s="44"/>
      <c r="N253" s="54"/>
      <c r="O253" s="25" t="e">
        <f>VLOOKUP(I253,'Shipping Program'!$A$32:$B$78,2)-1</f>
        <v>#N/A</v>
      </c>
      <c r="P253" s="44" t="e">
        <f>O253</f>
        <v>#N/A</v>
      </c>
      <c r="Q253" s="24" t="e">
        <f>R253-7</f>
        <v>#VALUE!</v>
      </c>
      <c r="R253" s="24" t="str">
        <f>IFERROR(_xlfn.XLOOKUP(P253,'Shipping Program'!$B$32:$B$78,'Shipping Program'!$A$32:$A$78),IFERROR(INDEX(_V7Batches!$B:$B,MATCH(P253&amp;"",_V7Batches!$A:$A,0)),""))</f>
        <v/>
      </c>
      <c r="S253" s="24" t="str">
        <f>IFERROR(_xlfn.XLOOKUP(P253,'Shipping Program'!$B$32:$B$78,'Shipping Program'!$E$32:$E$78),IFERROR(INDEX(_V7Batches!$D:$D,MATCH(P253&amp;"",_V7Batches!$A:$A,0)),""))</f>
        <v/>
      </c>
      <c r="T253" s="24" t="e">
        <f>S253+'Shipping Program'!$H$9</f>
        <v>#VALUE!</v>
      </c>
      <c r="U253" s="25" t="str">
        <f>IFERROR(IF(J253*T253&lt;&gt;0,J253-T253,""),"")</f>
        <v/>
      </c>
      <c r="V253" s="25" t="str">
        <f>IF(U253&lt;&gt;"",IF(U253&gt;28,"Too early",IF(U253&lt;14,"Too late","")),"")</f>
        <v/>
      </c>
      <c r="W253" s="35"/>
      <c r="X253" s="26" t="str">
        <f ca="1">IF(OFFSET(X253,1,0)="",R253,OFFSET(X253,1,0))</f>
        <v/>
      </c>
      <c r="Y253" s="26" t="e">
        <f ca="1">IF(OFFSET(Y253,1,0)="",X253+'Shipping Program'!$F$9,OFFSET(Y253,1,0))</f>
        <v>#VALUE!</v>
      </c>
      <c r="Z253" s="26" t="e">
        <f ca="1">IF(OFFSET(Z253,1,0)="",Y253+'Shipping Program'!$H$9,OFFSET(Z253,1,0))</f>
        <v>#VALUE!</v>
      </c>
      <c r="AA253" s="27" t="str">
        <f ca="1">IFERROR(IF(J253*Z253&lt;&gt;0,J253-Z253,""),"")</f>
        <v/>
      </c>
      <c r="AB253" s="27" t="str">
        <f ca="1">IF(AA253&lt;&gt;"",IF(AA253&gt;28,"Too early",IF(AA253&lt;14,"Too late","")),"")</f>
        <v/>
      </c>
      <c r="AC253" s="46"/>
      <c r="AE253" s="80" t="s">
        <v>54</v>
      </c>
      <c r="AF253" s="80"/>
      <c r="AG253" s="80"/>
      <c r="AH253" s="80" t="str">
        <f>IF(AI253="","",AI253*AJ253*AK253/1000/1000/1000)</f>
        <v/>
      </c>
      <c r="AI253" s="80"/>
      <c r="AJ253" s="80"/>
      <c r="AK253" s="80"/>
    </row>
    <row r="254" spans="1:37" ht="20.100000000000001" customHeight="1">
      <c r="A254" s="33">
        <f ca="1">COUNTIF(J$3:OFFSET(J254,-1,0),"Subtotal:")+1</f>
        <v>18</v>
      </c>
      <c r="B254" s="23" t="str">
        <f ca="1">IF(OFFSET(B254,1,0)&lt;&gt;"",OFFSET(B254,1,0),"")</f>
        <v/>
      </c>
      <c r="C254" s="42"/>
      <c r="D254" s="59" t="s">
        <v>38</v>
      </c>
      <c r="E254" s="60" t="str">
        <f>LEFT(F254,3)</f>
        <v>#09</v>
      </c>
      <c r="F254" s="59" t="s">
        <v>154</v>
      </c>
      <c r="G254" s="59" t="s">
        <v>167</v>
      </c>
      <c r="H254" s="60"/>
      <c r="I254" s="24">
        <f>IF(J254&lt;&gt;"",J254 - ('Shipping Program'!$D$9 + 'Shipping Program'!$F$9 + 'Shipping Program'!$H$9), "")</f>
        <v>46445</v>
      </c>
      <c r="J254" s="43">
        <v>46492</v>
      </c>
      <c r="K254" s="44" t="str">
        <f>IF(SUM(M254:N254)=0,"",SUM(M254:N254))</f>
        <v/>
      </c>
      <c r="L254" s="44"/>
      <c r="M254" s="44"/>
      <c r="N254" s="54"/>
      <c r="O254" s="25" t="e">
        <f>VLOOKUP(I254,'Shipping Program'!$A$32:$B$78,2)-1</f>
        <v>#N/A</v>
      </c>
      <c r="P254" s="44" t="e">
        <f>O254</f>
        <v>#N/A</v>
      </c>
      <c r="Q254" s="24" t="e">
        <f>R254-7</f>
        <v>#VALUE!</v>
      </c>
      <c r="R254" s="24" t="str">
        <f>IFERROR(_xlfn.XLOOKUP(P254,'Shipping Program'!$B$32:$B$78,'Shipping Program'!$A$32:$A$78),IFERROR(INDEX(_V7Batches!$B:$B,MATCH(P254&amp;"",_V7Batches!$A:$A,0)),""))</f>
        <v/>
      </c>
      <c r="S254" s="24" t="str">
        <f>IFERROR(_xlfn.XLOOKUP(P254,'Shipping Program'!$B$32:$B$78,'Shipping Program'!$E$32:$E$78),IFERROR(INDEX(_V7Batches!$D:$D,MATCH(P254&amp;"",_V7Batches!$A:$A,0)),""))</f>
        <v/>
      </c>
      <c r="T254" s="24" t="e">
        <f>S254+'Shipping Program'!$H$9</f>
        <v>#VALUE!</v>
      </c>
      <c r="U254" s="25" t="str">
        <f>IFERROR(IF(J254*T254&lt;&gt;0,J254-T254,""),"")</f>
        <v/>
      </c>
      <c r="V254" s="25" t="str">
        <f>IF(U254&lt;&gt;"",IF(U254&gt;28,"Too early",IF(U254&lt;14,"Too late","")),"")</f>
        <v/>
      </c>
      <c r="W254" s="35"/>
      <c r="X254" s="26" t="str">
        <f ca="1">IF(OFFSET(X254,1,0)="",R254,OFFSET(X254,1,0))</f>
        <v/>
      </c>
      <c r="Y254" s="26" t="e">
        <f ca="1">IF(OFFSET(Y254,1,0)="",X254+'Shipping Program'!$F$9,OFFSET(Y254,1,0))</f>
        <v>#VALUE!</v>
      </c>
      <c r="Z254" s="26" t="e">
        <f ca="1">IF(OFFSET(Z254,1,0)="",Y254+'Shipping Program'!$H$9,OFFSET(Z254,1,0))</f>
        <v>#VALUE!</v>
      </c>
      <c r="AA254" s="27" t="str">
        <f ca="1">IFERROR(IF(J254*Z254&lt;&gt;0,J254-Z254,""),"")</f>
        <v/>
      </c>
      <c r="AB254" s="27" t="str">
        <f ca="1">IF(AA254&lt;&gt;"",IF(AA254&gt;28,"Too early",IF(AA254&lt;14,"Too late","")),"")</f>
        <v/>
      </c>
      <c r="AC254" s="46"/>
      <c r="AE254" s="80" t="s">
        <v>54</v>
      </c>
      <c r="AF254" s="80"/>
      <c r="AG254" s="80"/>
      <c r="AH254" s="80" t="str">
        <f>IF(AI254="","",AI254*AJ254*AK254/1000/1000/1000)</f>
        <v/>
      </c>
      <c r="AI254" s="80"/>
      <c r="AJ254" s="80"/>
      <c r="AK254" s="80"/>
    </row>
    <row r="255" spans="1:37" ht="20.100000000000001" customHeight="1">
      <c r="A255" s="33">
        <f ca="1">COUNTIF(J$3:OFFSET(J255,-1,0),"Subtotal:")+1</f>
        <v>18</v>
      </c>
      <c r="B255" s="23" t="str">
        <f ca="1">IF(OFFSET(B255,1,0)&lt;&gt;"",OFFSET(B255,1,0),"")</f>
        <v/>
      </c>
      <c r="C255" s="42"/>
      <c r="D255" s="59" t="s">
        <v>38</v>
      </c>
      <c r="E255" s="60" t="str">
        <f>LEFT(F255,3)</f>
        <v>#09</v>
      </c>
      <c r="F255" s="59" t="s">
        <v>154</v>
      </c>
      <c r="G255" s="59" t="s">
        <v>172</v>
      </c>
      <c r="H255" s="60"/>
      <c r="I255" s="24" t="str">
        <f>IF(J255&lt;&gt;"",J255 - ('Shipping Program'!$D$9 + 'Shipping Program'!$F$9 + 'Shipping Program'!$H$9), "")</f>
        <v/>
      </c>
      <c r="J255" s="43"/>
      <c r="K255" s="44" t="str">
        <f>IF(SUM(M255:N255)=0,"",SUM(M255:N255))</f>
        <v/>
      </c>
      <c r="L255" s="44"/>
      <c r="M255" s="44"/>
      <c r="N255" s="54"/>
      <c r="O255" s="25" t="e">
        <f>VLOOKUP(I255,'Shipping Program'!$A$32:$B$78,2)-1</f>
        <v>#N/A</v>
      </c>
      <c r="P255" s="44" t="e">
        <f>O255</f>
        <v>#N/A</v>
      </c>
      <c r="Q255" s="24" t="e">
        <f>R255-7</f>
        <v>#VALUE!</v>
      </c>
      <c r="R255" s="24" t="str">
        <f>IFERROR(_xlfn.XLOOKUP(P255,'Shipping Program'!$B$32:$B$78,'Shipping Program'!$A$32:$A$78),IFERROR(INDEX(_V7Batches!$B:$B,MATCH(P255&amp;"",_V7Batches!$A:$A,0)),""))</f>
        <v/>
      </c>
      <c r="S255" s="24" t="str">
        <f>IFERROR(_xlfn.XLOOKUP(P255,'Shipping Program'!$B$32:$B$78,'Shipping Program'!$E$32:$E$78),IFERROR(INDEX(_V7Batches!$D:$D,MATCH(P255&amp;"",_V7Batches!$A:$A,0)),""))</f>
        <v/>
      </c>
      <c r="T255" s="24" t="e">
        <f>S255+'Shipping Program'!$H$9</f>
        <v>#VALUE!</v>
      </c>
      <c r="U255" s="25" t="str">
        <f>IFERROR(IF(J255*T255&lt;&gt;0,J255-T255,""),"")</f>
        <v/>
      </c>
      <c r="V255" s="25" t="str">
        <f>IF(U255&lt;&gt;"",IF(U255&gt;28,"Too early",IF(U255&lt;14,"Too late","")),"")</f>
        <v/>
      </c>
      <c r="W255" s="35"/>
      <c r="X255" s="26" t="str">
        <f ca="1">IF(OFFSET(X255,1,0)="",R255,OFFSET(X255,1,0))</f>
        <v/>
      </c>
      <c r="Y255" s="26" t="e">
        <f ca="1">IF(OFFSET(Y255,1,0)="",X255+'Shipping Program'!$F$9,OFFSET(Y255,1,0))</f>
        <v>#VALUE!</v>
      </c>
      <c r="Z255" s="26" t="e">
        <f ca="1">IF(OFFSET(Z255,1,0)="",Y255+'Shipping Program'!$H$9,OFFSET(Z255,1,0))</f>
        <v>#VALUE!</v>
      </c>
      <c r="AA255" s="27" t="str">
        <f ca="1">IFERROR(IF(J255*Z255&lt;&gt;0,J255-Z255,""),"")</f>
        <v/>
      </c>
      <c r="AB255" s="27" t="str">
        <f ca="1">IF(AA255&lt;&gt;"",IF(AA255&gt;28,"Too early",IF(AA255&lt;14,"Too late","")),"")</f>
        <v/>
      </c>
      <c r="AC255" s="46"/>
      <c r="AE255" s="80" t="s">
        <v>54</v>
      </c>
      <c r="AF255" s="80"/>
      <c r="AG255" s="80"/>
      <c r="AH255" s="80" t="str">
        <f>IF(AI255="","",AI255*AJ255*AK255/1000/1000/1000)</f>
        <v/>
      </c>
      <c r="AI255" s="80"/>
      <c r="AJ255" s="80"/>
      <c r="AK255" s="80"/>
    </row>
    <row r="256" spans="1:37" ht="20.100000000000001" customHeight="1">
      <c r="A256" s="33">
        <f ca="1">COUNTIF(J$3:OFFSET(J256,-1,0),"Subtotal:")+1</f>
        <v>18</v>
      </c>
      <c r="B256" s="23" t="str">
        <f ca="1">IF(OFFSET(B256,1,0)&lt;&gt;"",OFFSET(B256,1,0),"")</f>
        <v/>
      </c>
      <c r="C256" s="42"/>
      <c r="D256" s="59" t="s">
        <v>78</v>
      </c>
      <c r="E256" s="60" t="str">
        <f>LEFT(F256,3)</f>
        <v>#11</v>
      </c>
      <c r="F256" s="59" t="s">
        <v>233</v>
      </c>
      <c r="G256" s="59" t="s">
        <v>211</v>
      </c>
      <c r="H256" s="60" t="s">
        <v>1</v>
      </c>
      <c r="I256" s="24" t="str">
        <f>IF(J256&lt;&gt;"",J256 - ('Shipping Program'!$D$9 + 'Shipping Program'!$F$9 + 'Shipping Program'!$H$9), "")</f>
        <v/>
      </c>
      <c r="J256" s="43"/>
      <c r="K256" s="44" t="str">
        <f>IF(SUM(M256:N256)=0,"",SUM(M256:N256))</f>
        <v/>
      </c>
      <c r="L256" s="44"/>
      <c r="M256" s="44"/>
      <c r="N256" s="54"/>
      <c r="O256" s="25" t="e">
        <f>VLOOKUP(I256,'Shipping Program'!$A$32:$B$78,2)-1</f>
        <v>#N/A</v>
      </c>
      <c r="P256" s="44" t="e">
        <f>O256</f>
        <v>#N/A</v>
      </c>
      <c r="Q256" s="24" t="e">
        <f>R256-7</f>
        <v>#VALUE!</v>
      </c>
      <c r="R256" s="24" t="str">
        <f>IFERROR(_xlfn.XLOOKUP(P256,'Shipping Program'!$B$32:$B$78,'Shipping Program'!$A$32:$A$78),IFERROR(INDEX(_V7Batches!$B:$B,MATCH(P256&amp;"",_V7Batches!$A:$A,0)),""))</f>
        <v/>
      </c>
      <c r="S256" s="24" t="str">
        <f>IFERROR(_xlfn.XLOOKUP(P256,'Shipping Program'!$B$32:$B$78,'Shipping Program'!$E$32:$E$78),IFERROR(INDEX(_V7Batches!$D:$D,MATCH(P256&amp;"",_V7Batches!$A:$A,0)),""))</f>
        <v/>
      </c>
      <c r="T256" s="24" t="e">
        <f>S256+'Shipping Program'!$H$9</f>
        <v>#VALUE!</v>
      </c>
      <c r="U256" s="25" t="str">
        <f>IFERROR(IF(J256*T256&lt;&gt;0,J256-T256,""),"")</f>
        <v/>
      </c>
      <c r="V256" s="25" t="str">
        <f>IF(U256&lt;&gt;"",IF(U256&gt;28,"Too early",IF(U256&lt;14,"Too late","")),"")</f>
        <v/>
      </c>
      <c r="W256" s="35"/>
      <c r="X256" s="26" t="str">
        <f ca="1">IF(OFFSET(X256,1,0)="",R256,OFFSET(X256,1,0))</f>
        <v/>
      </c>
      <c r="Y256" s="26" t="e">
        <f ca="1">IF(OFFSET(Y256,1,0)="",X256+'Shipping Program'!$F$9,OFFSET(Y256,1,0))</f>
        <v>#VALUE!</v>
      </c>
      <c r="Z256" s="26" t="e">
        <f ca="1">IF(OFFSET(Z256,1,0)="",Y256+'Shipping Program'!$H$9,OFFSET(Z256,1,0))</f>
        <v>#VALUE!</v>
      </c>
      <c r="AA256" s="27" t="str">
        <f ca="1">IFERROR(IF(J256*Z256&lt;&gt;0,J256-Z256,""),"")</f>
        <v/>
      </c>
      <c r="AB256" s="27" t="str">
        <f ca="1">IF(AA256&lt;&gt;"",IF(AA256&gt;28,"Too early",IF(AA256&lt;14,"Too late","")),"")</f>
        <v/>
      </c>
      <c r="AC256" s="46"/>
      <c r="AE256" s="80" t="s">
        <v>54</v>
      </c>
      <c r="AF256" s="80"/>
      <c r="AG256" s="80"/>
      <c r="AH256" s="80" t="str">
        <f>IF(AI256="","",AI256*AJ256*AK256/1000/1000/1000)</f>
        <v/>
      </c>
      <c r="AI256" s="80"/>
      <c r="AJ256" s="80"/>
      <c r="AK256" s="80"/>
    </row>
    <row r="257" spans="1:37" ht="20.100000000000001" customHeight="1">
      <c r="A257" s="33">
        <f ca="1">COUNTIF(J$3:OFFSET(J257,-1,0),"Subtotal:")+1</f>
        <v>18</v>
      </c>
      <c r="B257" s="23" t="str">
        <f ca="1">IF(OFFSET(B257,1,0)&lt;&gt;"",OFFSET(B257,1,0),"")</f>
        <v/>
      </c>
      <c r="C257" s="42"/>
      <c r="D257" s="59" t="s">
        <v>78</v>
      </c>
      <c r="E257" s="60" t="str">
        <f>LEFT(F257,3)</f>
        <v>#13</v>
      </c>
      <c r="F257" s="59" t="s">
        <v>236</v>
      </c>
      <c r="G257" s="59" t="s">
        <v>211</v>
      </c>
      <c r="H257" s="60" t="s">
        <v>242</v>
      </c>
      <c r="I257" s="24" t="str">
        <f>IF(J257&lt;&gt;"",J257 - ('Shipping Program'!$D$9 + 'Shipping Program'!$F$9 + 'Shipping Program'!$H$9), "")</f>
        <v/>
      </c>
      <c r="J257" s="43"/>
      <c r="K257" s="44" t="str">
        <f>IF(SUM(M257:N257)=0,"",SUM(M257:N257))</f>
        <v/>
      </c>
      <c r="L257" s="44"/>
      <c r="M257" s="44"/>
      <c r="N257" s="54"/>
      <c r="O257" s="25" t="e">
        <f>VLOOKUP(I257,'Shipping Program'!$A$32:$B$78,2)-1</f>
        <v>#N/A</v>
      </c>
      <c r="P257" s="44" t="e">
        <f>O257</f>
        <v>#N/A</v>
      </c>
      <c r="Q257" s="24" t="e">
        <f>R257-7</f>
        <v>#VALUE!</v>
      </c>
      <c r="R257" s="24" t="str">
        <f>IFERROR(_xlfn.XLOOKUP(P257,'Shipping Program'!$B$32:$B$78,'Shipping Program'!$A$32:$A$78),IFERROR(INDEX(_V7Batches!$B:$B,MATCH(P257&amp;"",_V7Batches!$A:$A,0)),""))</f>
        <v/>
      </c>
      <c r="S257" s="24" t="str">
        <f>IFERROR(_xlfn.XLOOKUP(P257,'Shipping Program'!$B$32:$B$78,'Shipping Program'!$E$32:$E$78),IFERROR(INDEX(_V7Batches!$D:$D,MATCH(P257&amp;"",_V7Batches!$A:$A,0)),""))</f>
        <v/>
      </c>
      <c r="T257" s="24" t="e">
        <f>S257+'Shipping Program'!$H$9</f>
        <v>#VALUE!</v>
      </c>
      <c r="U257" s="25" t="str">
        <f>IFERROR(IF(J257*T257&lt;&gt;0,J257-T257,""),"")</f>
        <v/>
      </c>
      <c r="V257" s="25" t="str">
        <f>IF(U257&lt;&gt;"",IF(U257&gt;28,"Too early",IF(U257&lt;14,"Too late","")),"")</f>
        <v/>
      </c>
      <c r="W257" s="35"/>
      <c r="X257" s="26" t="str">
        <f ca="1">IF(OFFSET(X257,1,0)="",R257,OFFSET(X257,1,0))</f>
        <v/>
      </c>
      <c r="Y257" s="26" t="e">
        <f ca="1">IF(OFFSET(Y257,1,0)="",X257+'Shipping Program'!$F$9,OFFSET(Y257,1,0))</f>
        <v>#VALUE!</v>
      </c>
      <c r="Z257" s="26" t="e">
        <f ca="1">IF(OFFSET(Z257,1,0)="",Y257+'Shipping Program'!$H$9,OFFSET(Z257,1,0))</f>
        <v>#VALUE!</v>
      </c>
      <c r="AA257" s="27" t="str">
        <f ca="1">IFERROR(IF(J257*Z257&lt;&gt;0,J257-Z257,""),"")</f>
        <v/>
      </c>
      <c r="AB257" s="27" t="str">
        <f ca="1">IF(AA257&lt;&gt;"",IF(AA257&gt;28,"Too early",IF(AA257&lt;14,"Too late","")),"")</f>
        <v/>
      </c>
      <c r="AC257" s="46"/>
      <c r="AE257" s="80" t="s">
        <v>54</v>
      </c>
      <c r="AF257" s="80"/>
      <c r="AG257" s="80"/>
      <c r="AH257" s="80" t="str">
        <f>IF(AI257="","",AI257*AJ257*AK257/1000/1000/1000)</f>
        <v/>
      </c>
      <c r="AI257" s="80"/>
      <c r="AJ257" s="80"/>
      <c r="AK257" s="80"/>
    </row>
    <row r="258" spans="1:37" ht="20.100000000000001" customHeight="1">
      <c r="A258" s="33">
        <f ca="1">COUNTIF(J$3:OFFSET(J258,-1,0),"Subtotal:")+1</f>
        <v>18</v>
      </c>
      <c r="B258" s="23" t="str">
        <f ca="1">IF(OFFSET(B258,1,0)&lt;&gt;"",OFFSET(B258,1,0),"")</f>
        <v/>
      </c>
      <c r="C258" s="42"/>
      <c r="D258" s="59" t="s">
        <v>78</v>
      </c>
      <c r="E258" s="60" t="str">
        <f>LEFT(F258,3)</f>
        <v>#11</v>
      </c>
      <c r="F258" s="59" t="s">
        <v>234</v>
      </c>
      <c r="G258" s="59" t="s">
        <v>241</v>
      </c>
      <c r="H258" s="60" t="s">
        <v>1</v>
      </c>
      <c r="I258" s="24" t="str">
        <f>IF(J258&lt;&gt;"",J258 - ('Shipping Program'!$D$9 + 'Shipping Program'!$F$9 + 'Shipping Program'!$H$9), "")</f>
        <v/>
      </c>
      <c r="J258" s="43"/>
      <c r="K258" s="44" t="str">
        <f>IF(SUM(M258:N258)=0,"",SUM(M258:N258))</f>
        <v/>
      </c>
      <c r="L258" s="44"/>
      <c r="M258" s="44"/>
      <c r="N258" s="54"/>
      <c r="O258" s="25" t="e">
        <f>VLOOKUP(I258,'Shipping Program'!$A$32:$B$78,2)-1</f>
        <v>#N/A</v>
      </c>
      <c r="P258" s="44" t="e">
        <f>O258</f>
        <v>#N/A</v>
      </c>
      <c r="Q258" s="24" t="e">
        <f>R258-7</f>
        <v>#VALUE!</v>
      </c>
      <c r="R258" s="24" t="str">
        <f>IFERROR(_xlfn.XLOOKUP(P258,'Shipping Program'!$B$32:$B$78,'Shipping Program'!$A$32:$A$78),IFERROR(INDEX(_V7Batches!$B:$B,MATCH(P258&amp;"",_V7Batches!$A:$A,0)),""))</f>
        <v/>
      </c>
      <c r="S258" s="24" t="str">
        <f>IFERROR(_xlfn.XLOOKUP(P258,'Shipping Program'!$B$32:$B$78,'Shipping Program'!$E$32:$E$78),IFERROR(INDEX(_V7Batches!$D:$D,MATCH(P258&amp;"",_V7Batches!$A:$A,0)),""))</f>
        <v/>
      </c>
      <c r="T258" s="24" t="e">
        <f>S258+'Shipping Program'!$H$9</f>
        <v>#VALUE!</v>
      </c>
      <c r="U258" s="25" t="str">
        <f>IFERROR(IF(J258*T258&lt;&gt;0,J258-T258,""),"")</f>
        <v/>
      </c>
      <c r="V258" s="25" t="str">
        <f>IF(U258&lt;&gt;"",IF(U258&gt;28,"Too early",IF(U258&lt;14,"Too late","")),"")</f>
        <v/>
      </c>
      <c r="W258" s="35"/>
      <c r="X258" s="26" t="str">
        <f ca="1">IF(OFFSET(X258,1,0)="",R258,OFFSET(X258,1,0))</f>
        <v/>
      </c>
      <c r="Y258" s="26" t="e">
        <f ca="1">IF(OFFSET(Y258,1,0)="",X258+'Shipping Program'!$F$9,OFFSET(Y258,1,0))</f>
        <v>#VALUE!</v>
      </c>
      <c r="Z258" s="26" t="e">
        <f ca="1">IF(OFFSET(Z258,1,0)="",Y258+'Shipping Program'!$H$9,OFFSET(Z258,1,0))</f>
        <v>#VALUE!</v>
      </c>
      <c r="AA258" s="27" t="str">
        <f ca="1">IFERROR(IF(J258*Z258&lt;&gt;0,J258-Z258,""),"")</f>
        <v/>
      </c>
      <c r="AB258" s="27" t="str">
        <f ca="1">IF(AA258&lt;&gt;"",IF(AA258&gt;28,"Too early",IF(AA258&lt;14,"Too late","")),"")</f>
        <v/>
      </c>
      <c r="AC258" s="46"/>
      <c r="AE258" s="80" t="s">
        <v>54</v>
      </c>
      <c r="AF258" s="80"/>
      <c r="AG258" s="80"/>
      <c r="AH258" s="80" t="str">
        <f>IF(AI258="","",AI258*AJ258*AK258/1000/1000/1000)</f>
        <v/>
      </c>
      <c r="AI258" s="80"/>
      <c r="AJ258" s="80"/>
      <c r="AK258" s="80"/>
    </row>
    <row r="259" spans="1:37" ht="20.100000000000001" customHeight="1">
      <c r="A259" s="33">
        <f ca="1">COUNTIF(J$3:OFFSET(J259,-1,0),"Subtotal:")+1</f>
        <v>18</v>
      </c>
      <c r="B259" s="23" t="str">
        <f ca="1">IF(OFFSET(B259,1,0)&lt;&gt;"",OFFSET(B259,1,0),"")</f>
        <v/>
      </c>
      <c r="C259" s="42"/>
      <c r="D259" s="59" t="s">
        <v>78</v>
      </c>
      <c r="E259" s="60" t="str">
        <f>LEFT(F259,3)</f>
        <v>#11</v>
      </c>
      <c r="F259" s="59" t="s">
        <v>234</v>
      </c>
      <c r="G259" s="59" t="s">
        <v>211</v>
      </c>
      <c r="H259" s="60" t="s">
        <v>1</v>
      </c>
      <c r="I259" s="24" t="str">
        <f>IF(J259&lt;&gt;"",J259 - ('Shipping Program'!$D$9 + 'Shipping Program'!$F$9 + 'Shipping Program'!$H$9), "")</f>
        <v/>
      </c>
      <c r="J259" s="43"/>
      <c r="K259" s="44" t="str">
        <f>IF(SUM(M259:N259)=0,"",SUM(M259:N259))</f>
        <v/>
      </c>
      <c r="L259" s="44"/>
      <c r="M259" s="44"/>
      <c r="N259" s="54"/>
      <c r="O259" s="25" t="e">
        <f>VLOOKUP(I259,'Shipping Program'!$A$32:$B$78,2)-1</f>
        <v>#N/A</v>
      </c>
      <c r="P259" s="44" t="e">
        <f>O259</f>
        <v>#N/A</v>
      </c>
      <c r="Q259" s="24" t="e">
        <f>R259-7</f>
        <v>#VALUE!</v>
      </c>
      <c r="R259" s="24" t="str">
        <f>IFERROR(_xlfn.XLOOKUP(P259,'Shipping Program'!$B$32:$B$78,'Shipping Program'!$A$32:$A$78),IFERROR(INDEX(_V7Batches!$B:$B,MATCH(P259&amp;"",_V7Batches!$A:$A,0)),""))</f>
        <v/>
      </c>
      <c r="S259" s="24" t="str">
        <f>IFERROR(_xlfn.XLOOKUP(P259,'Shipping Program'!$B$32:$B$78,'Shipping Program'!$E$32:$E$78),IFERROR(INDEX(_V7Batches!$D:$D,MATCH(P259&amp;"",_V7Batches!$A:$A,0)),""))</f>
        <v/>
      </c>
      <c r="T259" s="24" t="e">
        <f>S259+'Shipping Program'!$H$9</f>
        <v>#VALUE!</v>
      </c>
      <c r="U259" s="25" t="str">
        <f>IFERROR(IF(J259*T259&lt;&gt;0,J259-T259,""),"")</f>
        <v/>
      </c>
      <c r="V259" s="25" t="str">
        <f>IF(U259&lt;&gt;"",IF(U259&gt;28,"Too early",IF(U259&lt;14,"Too late","")),"")</f>
        <v/>
      </c>
      <c r="W259" s="35"/>
      <c r="X259" s="26" t="str">
        <f ca="1">IF(OFFSET(X259,1,0)="",R259,OFFSET(X259,1,0))</f>
        <v/>
      </c>
      <c r="Y259" s="26" t="e">
        <f ca="1">IF(OFFSET(Y259,1,0)="",X259+'Shipping Program'!$F$9,OFFSET(Y259,1,0))</f>
        <v>#VALUE!</v>
      </c>
      <c r="Z259" s="26" t="e">
        <f ca="1">IF(OFFSET(Z259,1,0)="",Y259+'Shipping Program'!$H$9,OFFSET(Z259,1,0))</f>
        <v>#VALUE!</v>
      </c>
      <c r="AA259" s="27" t="str">
        <f ca="1">IFERROR(IF(J259*Z259&lt;&gt;0,J259-Z259,""),"")</f>
        <v/>
      </c>
      <c r="AB259" s="27" t="str">
        <f ca="1">IF(AA259&lt;&gt;"",IF(AA259&gt;28,"Too early",IF(AA259&lt;14,"Too late","")),"")</f>
        <v/>
      </c>
      <c r="AC259" s="46"/>
      <c r="AE259" s="80" t="s">
        <v>54</v>
      </c>
      <c r="AF259" s="80"/>
      <c r="AG259" s="80"/>
      <c r="AH259" s="80" t="str">
        <f>IF(AI259="","",AI259*AJ259*AK259/1000/1000/1000)</f>
        <v/>
      </c>
      <c r="AI259" s="80"/>
      <c r="AJ259" s="80"/>
      <c r="AK259" s="80"/>
    </row>
    <row r="260" spans="1:37" ht="20.100000000000001" customHeight="1">
      <c r="A260" s="33">
        <f ca="1">COUNTIF(J$3:OFFSET(J260,-1,0),"Subtotal:")+1</f>
        <v>18</v>
      </c>
      <c r="B260" s="23" t="str">
        <f ca="1">IF(OFFSET(B260,1,0)&lt;&gt;"",OFFSET(B260,1,0),"")</f>
        <v/>
      </c>
      <c r="C260" s="42"/>
      <c r="D260" s="59" t="s">
        <v>78</v>
      </c>
      <c r="E260" s="60" t="str">
        <f>LEFT(F260,3)</f>
        <v>#13</v>
      </c>
      <c r="F260" s="59" t="s">
        <v>232</v>
      </c>
      <c r="G260" s="59" t="s">
        <v>211</v>
      </c>
      <c r="H260" s="60" t="s">
        <v>1</v>
      </c>
      <c r="I260" s="24" t="str">
        <f>IF(J260&lt;&gt;"",J260 - ('Shipping Program'!$D$9 + 'Shipping Program'!$F$9 + 'Shipping Program'!$H$9), "")</f>
        <v/>
      </c>
      <c r="J260" s="43"/>
      <c r="K260" s="44" t="str">
        <f>IF(SUM(M260:N260)=0,"",SUM(M260:N260))</f>
        <v/>
      </c>
      <c r="L260" s="44"/>
      <c r="M260" s="44"/>
      <c r="N260" s="54"/>
      <c r="O260" s="25" t="e">
        <f>VLOOKUP(I260,'Shipping Program'!$A$32:$B$78,2)-1</f>
        <v>#N/A</v>
      </c>
      <c r="P260" s="44" t="e">
        <f>O260</f>
        <v>#N/A</v>
      </c>
      <c r="Q260" s="24" t="e">
        <f>R260-7</f>
        <v>#VALUE!</v>
      </c>
      <c r="R260" s="24" t="str">
        <f>IFERROR(_xlfn.XLOOKUP(P260,'Shipping Program'!$B$32:$B$78,'Shipping Program'!$A$32:$A$78),IFERROR(INDEX(_V7Batches!$B:$B,MATCH(P260&amp;"",_V7Batches!$A:$A,0)),""))</f>
        <v/>
      </c>
      <c r="S260" s="24" t="str">
        <f>IFERROR(_xlfn.XLOOKUP(P260,'Shipping Program'!$B$32:$B$78,'Shipping Program'!$E$32:$E$78),IFERROR(INDEX(_V7Batches!$D:$D,MATCH(P260&amp;"",_V7Batches!$A:$A,0)),""))</f>
        <v/>
      </c>
      <c r="T260" s="24" t="e">
        <f>S260+'Shipping Program'!$H$9</f>
        <v>#VALUE!</v>
      </c>
      <c r="U260" s="25" t="str">
        <f>IFERROR(IF(J260*T260&lt;&gt;0,J260-T260,""),"")</f>
        <v/>
      </c>
      <c r="V260" s="25" t="str">
        <f>IF(U260&lt;&gt;"",IF(U260&gt;28,"Too early",IF(U260&lt;14,"Too late","")),"")</f>
        <v/>
      </c>
      <c r="W260" s="35"/>
      <c r="X260" s="26" t="str">
        <f ca="1">IF(OFFSET(X260,1,0)="",R260,OFFSET(X260,1,0))</f>
        <v/>
      </c>
      <c r="Y260" s="26" t="e">
        <f ca="1">IF(OFFSET(Y260,1,0)="",X260+'Shipping Program'!$F$9,OFFSET(Y260,1,0))</f>
        <v>#VALUE!</v>
      </c>
      <c r="Z260" s="26" t="e">
        <f ca="1">IF(OFFSET(Z260,1,0)="",Y260+'Shipping Program'!$H$9,OFFSET(Z260,1,0))</f>
        <v>#VALUE!</v>
      </c>
      <c r="AA260" s="27" t="str">
        <f ca="1">IFERROR(IF(J260*Z260&lt;&gt;0,J260-Z260,""),"")</f>
        <v/>
      </c>
      <c r="AB260" s="27" t="str">
        <f ca="1">IF(AA260&lt;&gt;"",IF(AA260&gt;28,"Too early",IF(AA260&lt;14,"Too late","")),"")</f>
        <v/>
      </c>
      <c r="AC260" s="46"/>
      <c r="AE260" s="80" t="s">
        <v>54</v>
      </c>
      <c r="AF260" s="80"/>
      <c r="AG260" s="80"/>
      <c r="AH260" s="80" t="str">
        <f>IF(AI260="","",AI260*AJ260*AK260/1000/1000/1000)</f>
        <v/>
      </c>
      <c r="AI260" s="80"/>
      <c r="AJ260" s="80"/>
      <c r="AK260" s="80"/>
    </row>
    <row r="261" spans="1:37" ht="20.100000000000001" customHeight="1">
      <c r="A261" s="33">
        <f ca="1">COUNTIF(J$3:OFFSET(J261,-1,0),"Subtotal:")+1</f>
        <v>18</v>
      </c>
      <c r="B261" s="23" t="str">
        <f ca="1">IF(OFFSET(B261,1,0)&lt;&gt;"",OFFSET(B261,1,0),"")</f>
        <v/>
      </c>
      <c r="C261" s="42"/>
      <c r="D261" s="59" t="s">
        <v>78</v>
      </c>
      <c r="E261" s="60" t="str">
        <f>LEFT(F261,3)</f>
        <v>#13</v>
      </c>
      <c r="F261" s="59" t="s">
        <v>237</v>
      </c>
      <c r="G261" s="59" t="s">
        <v>211</v>
      </c>
      <c r="H261" s="60" t="s">
        <v>2</v>
      </c>
      <c r="I261" s="24" t="str">
        <f>IF(J261&lt;&gt;"",J261 - ('Shipping Program'!$D$9 + 'Shipping Program'!$F$9 + 'Shipping Program'!$H$9), "")</f>
        <v/>
      </c>
      <c r="J261" s="43"/>
      <c r="K261" s="44" t="str">
        <f>IF(SUM(M261:N261)=0,"",SUM(M261:N261))</f>
        <v/>
      </c>
      <c r="L261" s="44"/>
      <c r="M261" s="44"/>
      <c r="N261" s="54"/>
      <c r="O261" s="25" t="e">
        <f>VLOOKUP(I261,'Shipping Program'!$A$32:$B$78,2)-1</f>
        <v>#N/A</v>
      </c>
      <c r="P261" s="44" t="e">
        <f>O261</f>
        <v>#N/A</v>
      </c>
      <c r="Q261" s="24" t="e">
        <f>R261-7</f>
        <v>#VALUE!</v>
      </c>
      <c r="R261" s="24" t="str">
        <f>IFERROR(_xlfn.XLOOKUP(P261,'Shipping Program'!$B$32:$B$78,'Shipping Program'!$A$32:$A$78),IFERROR(INDEX(_V7Batches!$B:$B,MATCH(P261&amp;"",_V7Batches!$A:$A,0)),""))</f>
        <v/>
      </c>
      <c r="S261" s="24" t="str">
        <f>IFERROR(_xlfn.XLOOKUP(P261,'Shipping Program'!$B$32:$B$78,'Shipping Program'!$E$32:$E$78),IFERROR(INDEX(_V7Batches!$D:$D,MATCH(P261&amp;"",_V7Batches!$A:$A,0)),""))</f>
        <v/>
      </c>
      <c r="T261" s="24" t="e">
        <f>S261+'Shipping Program'!$H$9</f>
        <v>#VALUE!</v>
      </c>
      <c r="U261" s="25" t="str">
        <f>IFERROR(IF(J261*T261&lt;&gt;0,J261-T261,""),"")</f>
        <v/>
      </c>
      <c r="V261" s="25" t="str">
        <f>IF(U261&lt;&gt;"",IF(U261&gt;28,"Too early",IF(U261&lt;14,"Too late","")),"")</f>
        <v/>
      </c>
      <c r="W261" s="35"/>
      <c r="X261" s="26" t="str">
        <f ca="1">IF(OFFSET(X261,1,0)="",R261,OFFSET(X261,1,0))</f>
        <v/>
      </c>
      <c r="Y261" s="26" t="e">
        <f ca="1">IF(OFFSET(Y261,1,0)="",X261+'Shipping Program'!$F$9,OFFSET(Y261,1,0))</f>
        <v>#VALUE!</v>
      </c>
      <c r="Z261" s="26" t="e">
        <f ca="1">IF(OFFSET(Z261,1,0)="",Y261+'Shipping Program'!$H$9,OFFSET(Z261,1,0))</f>
        <v>#VALUE!</v>
      </c>
      <c r="AA261" s="27" t="str">
        <f ca="1">IFERROR(IF(J261*Z261&lt;&gt;0,J261-Z261,""),"")</f>
        <v/>
      </c>
      <c r="AB261" s="27" t="str">
        <f ca="1">IF(AA261&lt;&gt;"",IF(AA261&gt;28,"Too early",IF(AA261&lt;14,"Too late","")),"")</f>
        <v/>
      </c>
      <c r="AC261" s="46"/>
      <c r="AE261" s="80" t="s">
        <v>54</v>
      </c>
      <c r="AF261" s="80"/>
      <c r="AG261" s="80"/>
      <c r="AH261" s="80" t="str">
        <f>IF(AI261="","",AI261*AJ261*AK261/1000/1000/1000)</f>
        <v/>
      </c>
      <c r="AI261" s="80"/>
      <c r="AJ261" s="80"/>
      <c r="AK261" s="80"/>
    </row>
    <row r="262" spans="1:37" ht="20.100000000000001" customHeight="1">
      <c r="A262" s="33">
        <f ca="1">COUNTIF(J$3:OFFSET(J262,-1,0),"Subtotal:")+1</f>
        <v>18</v>
      </c>
      <c r="B262" s="23" t="str">
        <f ca="1">IF(OFFSET(B262,1,0)&lt;&gt;"",OFFSET(B262,1,0),"")</f>
        <v/>
      </c>
      <c r="C262" s="42"/>
      <c r="D262" s="59" t="s">
        <v>78</v>
      </c>
      <c r="E262" s="60" t="str">
        <f>LEFT(F262,3)</f>
        <v>#13</v>
      </c>
      <c r="F262" s="59" t="s">
        <v>238</v>
      </c>
      <c r="G262" s="59" t="s">
        <v>211</v>
      </c>
      <c r="H262" s="60" t="s">
        <v>2</v>
      </c>
      <c r="I262" s="24" t="str">
        <f>IF(J262&lt;&gt;"",J262 - ('Shipping Program'!$D$9 + 'Shipping Program'!$F$9 + 'Shipping Program'!$H$9), "")</f>
        <v/>
      </c>
      <c r="J262" s="43"/>
      <c r="K262" s="44" t="str">
        <f>IF(SUM(M262:N262)=0,"",SUM(M262:N262))</f>
        <v/>
      </c>
      <c r="L262" s="44"/>
      <c r="M262" s="44"/>
      <c r="N262" s="54"/>
      <c r="O262" s="25" t="e">
        <f>VLOOKUP(I262,'Shipping Program'!$A$32:$B$78,2)-1</f>
        <v>#N/A</v>
      </c>
      <c r="P262" s="44" t="e">
        <f>O262</f>
        <v>#N/A</v>
      </c>
      <c r="Q262" s="24" t="e">
        <f>R262-7</f>
        <v>#VALUE!</v>
      </c>
      <c r="R262" s="24" t="str">
        <f>IFERROR(_xlfn.XLOOKUP(P262,'Shipping Program'!$B$32:$B$78,'Shipping Program'!$A$32:$A$78),IFERROR(INDEX(_V7Batches!$B:$B,MATCH(P262&amp;"",_V7Batches!$A:$A,0)),""))</f>
        <v/>
      </c>
      <c r="S262" s="24" t="str">
        <f>IFERROR(_xlfn.XLOOKUP(P262,'Shipping Program'!$B$32:$B$78,'Shipping Program'!$E$32:$E$78),IFERROR(INDEX(_V7Batches!$D:$D,MATCH(P262&amp;"",_V7Batches!$A:$A,0)),""))</f>
        <v/>
      </c>
      <c r="T262" s="24" t="e">
        <f>S262+'Shipping Program'!$H$9</f>
        <v>#VALUE!</v>
      </c>
      <c r="U262" s="25" t="str">
        <f>IFERROR(IF(J262*T262&lt;&gt;0,J262-T262,""),"")</f>
        <v/>
      </c>
      <c r="V262" s="25" t="str">
        <f>IF(U262&lt;&gt;"",IF(U262&gt;28,"Too early",IF(U262&lt;14,"Too late","")),"")</f>
        <v/>
      </c>
      <c r="W262" s="35"/>
      <c r="X262" s="26" t="str">
        <f ca="1">IF(OFFSET(X262,1,0)="",R262,OFFSET(X262,1,0))</f>
        <v/>
      </c>
      <c r="Y262" s="26" t="e">
        <f ca="1">IF(OFFSET(Y262,1,0)="",X262+'Shipping Program'!$F$9,OFFSET(Y262,1,0))</f>
        <v>#VALUE!</v>
      </c>
      <c r="Z262" s="26" t="e">
        <f ca="1">IF(OFFSET(Z262,1,0)="",Y262+'Shipping Program'!$H$9,OFFSET(Z262,1,0))</f>
        <v>#VALUE!</v>
      </c>
      <c r="AA262" s="27" t="str">
        <f ca="1">IFERROR(IF(J262*Z262&lt;&gt;0,J262-Z262,""),"")</f>
        <v/>
      </c>
      <c r="AB262" s="27" t="str">
        <f ca="1">IF(AA262&lt;&gt;"",IF(AA262&gt;28,"Too early",IF(AA262&lt;14,"Too late","")),"")</f>
        <v/>
      </c>
      <c r="AC262" s="46"/>
      <c r="AE262" s="80" t="s">
        <v>54</v>
      </c>
      <c r="AF262" s="80"/>
      <c r="AG262" s="80"/>
      <c r="AH262" s="80" t="str">
        <f>IF(AI262="","",AI262*AJ262*AK262/1000/1000/1000)</f>
        <v/>
      </c>
      <c r="AI262" s="80"/>
      <c r="AJ262" s="80"/>
      <c r="AK262" s="80"/>
    </row>
    <row r="263" spans="1:37" ht="20.100000000000001" customHeight="1">
      <c r="A263" s="33">
        <f ca="1">COUNTIF(J$3:OFFSET(J263,-1,0),"Subtotal:")+1</f>
        <v>18</v>
      </c>
      <c r="B263" s="23" t="str">
        <f ca="1">IF(OFFSET(B263,1,0)&lt;&gt;"",OFFSET(B263,1,0),"")</f>
        <v/>
      </c>
      <c r="C263" s="42"/>
      <c r="D263" s="59" t="s">
        <v>79</v>
      </c>
      <c r="E263" s="60" t="str">
        <f>LEFT(F263,3)</f>
        <v>#11</v>
      </c>
      <c r="F263" s="59" t="s">
        <v>235</v>
      </c>
      <c r="G263" s="59" t="s">
        <v>80</v>
      </c>
      <c r="H263" s="60"/>
      <c r="I263" s="24" t="str">
        <f>IF(J263&lt;&gt;"",J263 - ('Shipping Program'!$D$9 + 'Shipping Program'!$F$9 + 'Shipping Program'!$H$9), "")</f>
        <v/>
      </c>
      <c r="J263" s="43"/>
      <c r="K263" s="44" t="str">
        <f>IF(SUM(M263:N263)=0,"",SUM(M263:N263))</f>
        <v/>
      </c>
      <c r="L263" s="44"/>
      <c r="M263" s="44"/>
      <c r="N263" s="54"/>
      <c r="O263" s="25" t="e">
        <f>VLOOKUP(I263,'Shipping Program'!$A$32:$B$78,2)-1</f>
        <v>#N/A</v>
      </c>
      <c r="P263" s="44" t="e">
        <f>O263</f>
        <v>#N/A</v>
      </c>
      <c r="Q263" s="24" t="e">
        <f>R263-7</f>
        <v>#VALUE!</v>
      </c>
      <c r="R263" s="24" t="str">
        <f>IFERROR(_xlfn.XLOOKUP(P263,'Shipping Program'!$B$32:$B$78,'Shipping Program'!$A$32:$A$78),IFERROR(INDEX(_V7Batches!$B:$B,MATCH(P263&amp;"",_V7Batches!$A:$A,0)),""))</f>
        <v/>
      </c>
      <c r="S263" s="24" t="str">
        <f>IFERROR(_xlfn.XLOOKUP(P263,'Shipping Program'!$B$32:$B$78,'Shipping Program'!$E$32:$E$78),IFERROR(INDEX(_V7Batches!$D:$D,MATCH(P263&amp;"",_V7Batches!$A:$A,0)),""))</f>
        <v/>
      </c>
      <c r="T263" s="24" t="e">
        <f>S263+'Shipping Program'!$H$9</f>
        <v>#VALUE!</v>
      </c>
      <c r="U263" s="25" t="str">
        <f>IFERROR(IF(J263*T263&lt;&gt;0,J263-T263,""),"")</f>
        <v/>
      </c>
      <c r="V263" s="25" t="str">
        <f>IF(U263&lt;&gt;"",IF(U263&gt;28,"Too early",IF(U263&lt;14,"Too late","")),"")</f>
        <v/>
      </c>
      <c r="W263" s="35"/>
      <c r="X263" s="26" t="str">
        <f ca="1">IF(OFFSET(X263,1,0)="",R263,OFFSET(X263,1,0))</f>
        <v/>
      </c>
      <c r="Y263" s="26" t="e">
        <f ca="1">IF(OFFSET(Y263,1,0)="",X263+'Shipping Program'!$F$9,OFFSET(Y263,1,0))</f>
        <v>#VALUE!</v>
      </c>
      <c r="Z263" s="26" t="e">
        <f ca="1">IF(OFFSET(Z263,1,0)="",Y263+'Shipping Program'!$H$9,OFFSET(Z263,1,0))</f>
        <v>#VALUE!</v>
      </c>
      <c r="AA263" s="27" t="str">
        <f ca="1">IFERROR(IF(J263*Z263&lt;&gt;0,J263-Z263,""),"")</f>
        <v/>
      </c>
      <c r="AB263" s="27" t="str">
        <f ca="1">IF(AA263&lt;&gt;"",IF(AA263&gt;28,"Too early",IF(AA263&lt;14,"Too late","")),"")</f>
        <v/>
      </c>
      <c r="AC263" s="46"/>
      <c r="AE263" s="80" t="s">
        <v>54</v>
      </c>
      <c r="AF263" s="80"/>
      <c r="AG263" s="80"/>
      <c r="AH263" s="80" t="str">
        <f>IF(AI263="","",AI263*AJ263*AK263/1000/1000/1000)</f>
        <v/>
      </c>
      <c r="AI263" s="80"/>
      <c r="AJ263" s="80"/>
      <c r="AK263" s="80"/>
    </row>
    <row r="264" spans="1:37" ht="20.100000000000001" customHeight="1">
      <c r="A264" s="33">
        <f ca="1">COUNTIF(J$3:OFFSET(J264,-1,0),"Subtotal:")+1</f>
        <v>18</v>
      </c>
      <c r="B264" s="23" t="str">
        <f ca="1">IF(OFFSET(B264,1,0)&lt;&gt;"",OFFSET(B264,1,0),"")</f>
        <v/>
      </c>
      <c r="C264" s="42"/>
      <c r="D264" s="59" t="s">
        <v>79</v>
      </c>
      <c r="E264" s="60" t="str">
        <f>LEFT(F264,3)</f>
        <v>#11</v>
      </c>
      <c r="F264" s="59" t="s">
        <v>235</v>
      </c>
      <c r="G264" s="59" t="s">
        <v>81</v>
      </c>
      <c r="H264" s="60"/>
      <c r="I264" s="24" t="str">
        <f>IF(J264&lt;&gt;"",J264 - ('Shipping Program'!$D$9 + 'Shipping Program'!$F$9 + 'Shipping Program'!$H$9), "")</f>
        <v/>
      </c>
      <c r="J264" s="43"/>
      <c r="K264" s="44" t="str">
        <f>IF(SUM(M264:N264)=0,"",SUM(M264:N264))</f>
        <v/>
      </c>
      <c r="L264" s="44"/>
      <c r="M264" s="44"/>
      <c r="N264" s="54"/>
      <c r="O264" s="25" t="e">
        <f>VLOOKUP(I264,'Shipping Program'!$A$32:$B$78,2)-1</f>
        <v>#N/A</v>
      </c>
      <c r="P264" s="44" t="e">
        <f>O264</f>
        <v>#N/A</v>
      </c>
      <c r="Q264" s="24" t="e">
        <f>R264-7</f>
        <v>#VALUE!</v>
      </c>
      <c r="R264" s="24" t="str">
        <f>IFERROR(_xlfn.XLOOKUP(P264,'Shipping Program'!$B$32:$B$78,'Shipping Program'!$A$32:$A$78),IFERROR(INDEX(_V7Batches!$B:$B,MATCH(P264&amp;"",_V7Batches!$A:$A,0)),""))</f>
        <v/>
      </c>
      <c r="S264" s="24" t="str">
        <f>IFERROR(_xlfn.XLOOKUP(P264,'Shipping Program'!$B$32:$B$78,'Shipping Program'!$E$32:$E$78),IFERROR(INDEX(_V7Batches!$D:$D,MATCH(P264&amp;"",_V7Batches!$A:$A,0)),""))</f>
        <v/>
      </c>
      <c r="T264" s="24" t="e">
        <f>S264+'Shipping Program'!$H$9</f>
        <v>#VALUE!</v>
      </c>
      <c r="U264" s="25" t="str">
        <f>IFERROR(IF(J264*T264&lt;&gt;0,J264-T264,""),"")</f>
        <v/>
      </c>
      <c r="V264" s="25" t="str">
        <f>IF(U264&lt;&gt;"",IF(U264&gt;28,"Too early",IF(U264&lt;14,"Too late","")),"")</f>
        <v/>
      </c>
      <c r="W264" s="35"/>
      <c r="X264" s="26" t="str">
        <f ca="1">IF(OFFSET(X264,1,0)="",R264,OFFSET(X264,1,0))</f>
        <v/>
      </c>
      <c r="Y264" s="26" t="e">
        <f ca="1">IF(OFFSET(Y264,1,0)="",X264+'Shipping Program'!$F$9,OFFSET(Y264,1,0))</f>
        <v>#VALUE!</v>
      </c>
      <c r="Z264" s="26" t="e">
        <f ca="1">IF(OFFSET(Z264,1,0)="",Y264+'Shipping Program'!$H$9,OFFSET(Z264,1,0))</f>
        <v>#VALUE!</v>
      </c>
      <c r="AA264" s="27" t="str">
        <f ca="1">IFERROR(IF(J264*Z264&lt;&gt;0,J264-Z264,""),"")</f>
        <v/>
      </c>
      <c r="AB264" s="27" t="str">
        <f ca="1">IF(AA264&lt;&gt;"",IF(AA264&gt;28,"Too early",IF(AA264&lt;14,"Too late","")),"")</f>
        <v/>
      </c>
      <c r="AC264" s="46"/>
      <c r="AE264" s="80" t="s">
        <v>54</v>
      </c>
      <c r="AF264" s="80"/>
      <c r="AG264" s="80"/>
      <c r="AH264" s="80" t="str">
        <f>IF(AI264="","",AI264*AJ264*AK264/1000/1000/1000)</f>
        <v/>
      </c>
      <c r="AI264" s="80"/>
      <c r="AJ264" s="80"/>
      <c r="AK264" s="80"/>
    </row>
    <row r="265" spans="1:37" ht="20.100000000000001" customHeight="1">
      <c r="A265" s="33">
        <f ca="1">COUNTIF(J$3:OFFSET(J265,-1,0),"Subtotal:")+1</f>
        <v>18</v>
      </c>
      <c r="B265" s="23" t="str">
        <f ca="1">IF(OFFSET(B265,1,0)&lt;&gt;"",OFFSET(B265,1,0),"")</f>
        <v/>
      </c>
      <c r="C265" s="42"/>
      <c r="D265" s="59" t="s">
        <v>79</v>
      </c>
      <c r="E265" s="60" t="str">
        <f>LEFT(F265,3)</f>
        <v>#11</v>
      </c>
      <c r="F265" s="59" t="s">
        <v>235</v>
      </c>
      <c r="G265" s="59" t="s">
        <v>82</v>
      </c>
      <c r="H265" s="60"/>
      <c r="I265" s="24" t="str">
        <f>IF(J265&lt;&gt;"",J265 - ('Shipping Program'!$D$9 + 'Shipping Program'!$F$9 + 'Shipping Program'!$H$9), "")</f>
        <v/>
      </c>
      <c r="J265" s="43"/>
      <c r="K265" s="44" t="str">
        <f>IF(SUM(M265:N265)=0,"",SUM(M265:N265))</f>
        <v/>
      </c>
      <c r="L265" s="44"/>
      <c r="M265" s="44"/>
      <c r="N265" s="54"/>
      <c r="O265" s="25" t="e">
        <f>VLOOKUP(I265,'Shipping Program'!$A$32:$B$78,2)-1</f>
        <v>#N/A</v>
      </c>
      <c r="P265" s="44" t="e">
        <f>O265</f>
        <v>#N/A</v>
      </c>
      <c r="Q265" s="24" t="e">
        <f>R265-7</f>
        <v>#VALUE!</v>
      </c>
      <c r="R265" s="24" t="str">
        <f>IFERROR(_xlfn.XLOOKUP(P265,'Shipping Program'!$B$32:$B$78,'Shipping Program'!$A$32:$A$78),IFERROR(INDEX(_V7Batches!$B:$B,MATCH(P265&amp;"",_V7Batches!$A:$A,0)),""))</f>
        <v/>
      </c>
      <c r="S265" s="24" t="str">
        <f>IFERROR(_xlfn.XLOOKUP(P265,'Shipping Program'!$B$32:$B$78,'Shipping Program'!$E$32:$E$78),IFERROR(INDEX(_V7Batches!$D:$D,MATCH(P265&amp;"",_V7Batches!$A:$A,0)),""))</f>
        <v/>
      </c>
      <c r="T265" s="24" t="e">
        <f>S265+'Shipping Program'!$H$9</f>
        <v>#VALUE!</v>
      </c>
      <c r="U265" s="25" t="str">
        <f>IFERROR(IF(J265*T265&lt;&gt;0,J265-T265,""),"")</f>
        <v/>
      </c>
      <c r="V265" s="25" t="str">
        <f>IF(U265&lt;&gt;"",IF(U265&gt;28,"Too early",IF(U265&lt;14,"Too late","")),"")</f>
        <v/>
      </c>
      <c r="W265" s="35"/>
      <c r="X265" s="26" t="str">
        <f ca="1">IF(OFFSET(X265,1,0)="",R265,OFFSET(X265,1,0))</f>
        <v/>
      </c>
      <c r="Y265" s="26" t="e">
        <f ca="1">IF(OFFSET(Y265,1,0)="",X265+'Shipping Program'!$F$9,OFFSET(Y265,1,0))</f>
        <v>#VALUE!</v>
      </c>
      <c r="Z265" s="26" t="e">
        <f ca="1">IF(OFFSET(Z265,1,0)="",Y265+'Shipping Program'!$H$9,OFFSET(Z265,1,0))</f>
        <v>#VALUE!</v>
      </c>
      <c r="AA265" s="27" t="str">
        <f ca="1">IFERROR(IF(J265*Z265&lt;&gt;0,J265-Z265,""),"")</f>
        <v/>
      </c>
      <c r="AB265" s="27" t="str">
        <f ca="1">IF(AA265&lt;&gt;"",IF(AA265&gt;28,"Too early",IF(AA265&lt;14,"Too late","")),"")</f>
        <v/>
      </c>
      <c r="AC265" s="46"/>
      <c r="AE265" s="80" t="s">
        <v>54</v>
      </c>
      <c r="AF265" s="80"/>
      <c r="AG265" s="80"/>
      <c r="AH265" s="80" t="str">
        <f>IF(AI265="","",AI265*AJ265*AK265/1000/1000/1000)</f>
        <v/>
      </c>
      <c r="AI265" s="80"/>
      <c r="AJ265" s="80"/>
      <c r="AK265" s="80"/>
    </row>
    <row r="266" spans="1:37" ht="20.100000000000001" customHeight="1">
      <c r="A266" s="33">
        <f ca="1">COUNTIF(J$3:OFFSET(J266,-1,0),"Subtotal:")+1</f>
        <v>18</v>
      </c>
      <c r="B266" s="23" t="str">
        <f ca="1">IF(OFFSET(B266,1,0)&lt;&gt;"",OFFSET(B266,1,0),"")</f>
        <v/>
      </c>
      <c r="C266" s="42"/>
      <c r="D266" s="59" t="s">
        <v>83</v>
      </c>
      <c r="E266" s="60" t="str">
        <f>LEFT(F266,3)</f>
        <v>#11</v>
      </c>
      <c r="F266" s="59" t="s">
        <v>156</v>
      </c>
      <c r="G266" s="59" t="s">
        <v>84</v>
      </c>
      <c r="H266" s="60"/>
      <c r="I266" s="24" t="str">
        <f>IF(J266&lt;&gt;"",J266 - ('Shipping Program'!$D$9 + 'Shipping Program'!$F$9 + 'Shipping Program'!$H$9), "")</f>
        <v/>
      </c>
      <c r="J266" s="43"/>
      <c r="K266" s="44" t="str">
        <f>IF(SUM(M266:N266)=0,"",SUM(M266:N266))</f>
        <v/>
      </c>
      <c r="L266" s="44"/>
      <c r="M266" s="44"/>
      <c r="N266" s="54"/>
      <c r="O266" s="25" t="e">
        <f>VLOOKUP(I266,'Shipping Program'!$A$32:$B$78,2)-1</f>
        <v>#N/A</v>
      </c>
      <c r="P266" s="44" t="e">
        <f>O266</f>
        <v>#N/A</v>
      </c>
      <c r="Q266" s="24" t="e">
        <f>R266-7</f>
        <v>#VALUE!</v>
      </c>
      <c r="R266" s="24" t="str">
        <f>IFERROR(_xlfn.XLOOKUP(P266,'Shipping Program'!$B$32:$B$78,'Shipping Program'!$A$32:$A$78),IFERROR(INDEX(_V7Batches!$B:$B,MATCH(P266&amp;"",_V7Batches!$A:$A,0)),""))</f>
        <v/>
      </c>
      <c r="S266" s="24" t="str">
        <f>IFERROR(_xlfn.XLOOKUP(P266,'Shipping Program'!$B$32:$B$78,'Shipping Program'!$E$32:$E$78),IFERROR(INDEX(_V7Batches!$D:$D,MATCH(P266&amp;"",_V7Batches!$A:$A,0)),""))</f>
        <v/>
      </c>
      <c r="T266" s="24" t="e">
        <f>S266+'Shipping Program'!$H$9</f>
        <v>#VALUE!</v>
      </c>
      <c r="U266" s="25" t="str">
        <f>IFERROR(IF(J266*T266&lt;&gt;0,J266-T266,""),"")</f>
        <v/>
      </c>
      <c r="V266" s="25" t="str">
        <f>IF(U266&lt;&gt;"",IF(U266&gt;28,"Too early",IF(U266&lt;14,"Too late","")),"")</f>
        <v/>
      </c>
      <c r="W266" s="35"/>
      <c r="X266" s="26" t="str">
        <f ca="1">IF(OFFSET(X266,1,0)="",R266,OFFSET(X266,1,0))</f>
        <v/>
      </c>
      <c r="Y266" s="26" t="e">
        <f ca="1">IF(OFFSET(Y266,1,0)="",X266+'Shipping Program'!$F$9,OFFSET(Y266,1,0))</f>
        <v>#VALUE!</v>
      </c>
      <c r="Z266" s="26" t="e">
        <f ca="1">IF(OFFSET(Z266,1,0)="",Y266+'Shipping Program'!$H$9,OFFSET(Z266,1,0))</f>
        <v>#VALUE!</v>
      </c>
      <c r="AA266" s="27" t="str">
        <f ca="1">IFERROR(IF(J266*Z266&lt;&gt;0,J266-Z266,""),"")</f>
        <v/>
      </c>
      <c r="AB266" s="27" t="str">
        <f ca="1">IF(AA266&lt;&gt;"",IF(AA266&gt;28,"Too early",IF(AA266&lt;14,"Too late","")),"")</f>
        <v/>
      </c>
      <c r="AC266" s="46"/>
      <c r="AE266" s="80" t="s">
        <v>54</v>
      </c>
      <c r="AF266" s="80"/>
      <c r="AG266" s="80"/>
      <c r="AH266" s="80" t="str">
        <f>IF(AI266="","",AI266*AJ266*AK266/1000/1000/1000)</f>
        <v/>
      </c>
      <c r="AI266" s="80"/>
      <c r="AJ266" s="80"/>
      <c r="AK266" s="80"/>
    </row>
    <row r="267" spans="1:37" ht="20.100000000000001" customHeight="1">
      <c r="A267" s="33">
        <f ca="1">COUNTIF(J$3:OFFSET(J267,-1,0),"Subtotal:")+1</f>
        <v>18</v>
      </c>
      <c r="B267" s="23" t="str">
        <f ca="1">IF(OFFSET(B267,1,0)&lt;&gt;"",OFFSET(B267,1,0),"")</f>
        <v/>
      </c>
      <c r="C267" s="42"/>
      <c r="D267" s="59" t="s">
        <v>85</v>
      </c>
      <c r="E267" s="60" t="str">
        <f>LEFT(F267,3)</f>
        <v>#11</v>
      </c>
      <c r="F267" s="59" t="s">
        <v>156</v>
      </c>
      <c r="G267" s="59" t="s">
        <v>86</v>
      </c>
      <c r="H267" s="60"/>
      <c r="I267" s="24" t="str">
        <f>IF(J267&lt;&gt;"",J267 - ('Shipping Program'!$D$9 + 'Shipping Program'!$F$9 + 'Shipping Program'!$H$9), "")</f>
        <v/>
      </c>
      <c r="J267" s="43"/>
      <c r="K267" s="44" t="str">
        <f>IF(SUM(M267:N267)=0,"",SUM(M267:N267))</f>
        <v/>
      </c>
      <c r="L267" s="44"/>
      <c r="M267" s="44"/>
      <c r="N267" s="54"/>
      <c r="O267" s="25" t="e">
        <f>VLOOKUP(I267,'Shipping Program'!$A$32:$B$78,2)-1</f>
        <v>#N/A</v>
      </c>
      <c r="P267" s="44" t="e">
        <f>O267</f>
        <v>#N/A</v>
      </c>
      <c r="Q267" s="24" t="e">
        <f>R267-7</f>
        <v>#VALUE!</v>
      </c>
      <c r="R267" s="24" t="str">
        <f>IFERROR(_xlfn.XLOOKUP(P267,'Shipping Program'!$B$32:$B$78,'Shipping Program'!$A$32:$A$78),IFERROR(INDEX(_V7Batches!$B:$B,MATCH(P267&amp;"",_V7Batches!$A:$A,0)),""))</f>
        <v/>
      </c>
      <c r="S267" s="24" t="str">
        <f>IFERROR(_xlfn.XLOOKUP(P267,'Shipping Program'!$B$32:$B$78,'Shipping Program'!$E$32:$E$78),IFERROR(INDEX(_V7Batches!$D:$D,MATCH(P267&amp;"",_V7Batches!$A:$A,0)),""))</f>
        <v/>
      </c>
      <c r="T267" s="24" t="e">
        <f>S267+'Shipping Program'!$H$9</f>
        <v>#VALUE!</v>
      </c>
      <c r="U267" s="25" t="str">
        <f>IFERROR(IF(J267*T267&lt;&gt;0,J267-T267,""),"")</f>
        <v/>
      </c>
      <c r="V267" s="25" t="str">
        <f>IF(U267&lt;&gt;"",IF(U267&gt;28,"Too early",IF(U267&lt;14,"Too late","")),"")</f>
        <v/>
      </c>
      <c r="W267" s="35"/>
      <c r="X267" s="26" t="str">
        <f ca="1">IF(OFFSET(X267,1,0)="",R267,OFFSET(X267,1,0))</f>
        <v/>
      </c>
      <c r="Y267" s="26" t="e">
        <f ca="1">IF(OFFSET(Y267,1,0)="",X267+'Shipping Program'!$F$9,OFFSET(Y267,1,0))</f>
        <v>#VALUE!</v>
      </c>
      <c r="Z267" s="26" t="e">
        <f ca="1">IF(OFFSET(Z267,1,0)="",Y267+'Shipping Program'!$H$9,OFFSET(Z267,1,0))</f>
        <v>#VALUE!</v>
      </c>
      <c r="AA267" s="27" t="str">
        <f ca="1">IFERROR(IF(J267*Z267&lt;&gt;0,J267-Z267,""),"")</f>
        <v/>
      </c>
      <c r="AB267" s="27" t="str">
        <f ca="1">IF(AA267&lt;&gt;"",IF(AA267&gt;28,"Too early",IF(AA267&lt;14,"Too late","")),"")</f>
        <v/>
      </c>
      <c r="AC267" s="46"/>
      <c r="AE267" s="80" t="s">
        <v>54</v>
      </c>
      <c r="AF267" s="80"/>
      <c r="AG267" s="80"/>
      <c r="AH267" s="80" t="str">
        <f>IF(AI267="","",AI267*AJ267*AK267/1000/1000/1000)</f>
        <v/>
      </c>
      <c r="AI267" s="80"/>
      <c r="AJ267" s="80"/>
      <c r="AK267" s="80"/>
    </row>
    <row r="268" spans="1:37" ht="20.100000000000001" customHeight="1">
      <c r="A268" s="33">
        <f ca="1">COUNTIF(J$3:OFFSET(J268,-1,0),"Subtotal:")+1</f>
        <v>18</v>
      </c>
      <c r="B268" s="23" t="str">
        <f ca="1">IF(OFFSET(B268,1,0)&lt;&gt;"",OFFSET(B268,1,0),"")</f>
        <v/>
      </c>
      <c r="C268" s="42"/>
      <c r="D268" s="59" t="s">
        <v>87</v>
      </c>
      <c r="E268" s="60" t="str">
        <f>LEFT(F268,3)</f>
        <v>#03</v>
      </c>
      <c r="F268" s="59" t="s">
        <v>208</v>
      </c>
      <c r="G268" s="59" t="s">
        <v>88</v>
      </c>
      <c r="H268" s="60"/>
      <c r="I268" s="24" t="str">
        <f>IF(J268&lt;&gt;"",J268 - ('Shipping Program'!$D$9 + 'Shipping Program'!$F$9 + 'Shipping Program'!$H$9), "")</f>
        <v/>
      </c>
      <c r="J268" s="43"/>
      <c r="K268" s="44" t="str">
        <f>IF(SUM(M268:N268)=0,"",SUM(M268:N268))</f>
        <v/>
      </c>
      <c r="L268" s="44"/>
      <c r="M268" s="44"/>
      <c r="N268" s="54"/>
      <c r="O268" s="25" t="e">
        <f>VLOOKUP(I268,'Shipping Program'!$A$32:$B$78,2)-1</f>
        <v>#N/A</v>
      </c>
      <c r="P268" s="44" t="e">
        <f>O268</f>
        <v>#N/A</v>
      </c>
      <c r="Q268" s="24" t="e">
        <f>R268-7</f>
        <v>#VALUE!</v>
      </c>
      <c r="R268" s="24" t="str">
        <f>IFERROR(_xlfn.XLOOKUP(P268,'Shipping Program'!$B$32:$B$78,'Shipping Program'!$A$32:$A$78),IFERROR(INDEX(_V7Batches!$B:$B,MATCH(P268&amp;"",_V7Batches!$A:$A,0)),""))</f>
        <v/>
      </c>
      <c r="S268" s="24" t="str">
        <f>IFERROR(_xlfn.XLOOKUP(P268,'Shipping Program'!$B$32:$B$78,'Shipping Program'!$E$32:$E$78),IFERROR(INDEX(_V7Batches!$D:$D,MATCH(P268&amp;"",_V7Batches!$A:$A,0)),""))</f>
        <v/>
      </c>
      <c r="T268" s="24" t="e">
        <f>S268+'Shipping Program'!$H$9</f>
        <v>#VALUE!</v>
      </c>
      <c r="U268" s="25" t="str">
        <f>IFERROR(IF(J268*T268&lt;&gt;0,J268-T268,""),"")</f>
        <v/>
      </c>
      <c r="V268" s="25" t="str">
        <f>IF(U268&lt;&gt;"",IF(U268&gt;28,"Too early",IF(U268&lt;14,"Too late","")),"")</f>
        <v/>
      </c>
      <c r="W268" s="35"/>
      <c r="X268" s="26" t="str">
        <f ca="1">IF(OFFSET(X268,1,0)="",R268,OFFSET(X268,1,0))</f>
        <v/>
      </c>
      <c r="Y268" s="26" t="e">
        <f ca="1">IF(OFFSET(Y268,1,0)="",X268+'Shipping Program'!$F$9,OFFSET(Y268,1,0))</f>
        <v>#VALUE!</v>
      </c>
      <c r="Z268" s="26" t="e">
        <f ca="1">IF(OFFSET(Z268,1,0)="",Y268+'Shipping Program'!$H$9,OFFSET(Z268,1,0))</f>
        <v>#VALUE!</v>
      </c>
      <c r="AA268" s="27" t="str">
        <f ca="1">IFERROR(IF(J268*Z268&lt;&gt;0,J268-Z268,""),"")</f>
        <v/>
      </c>
      <c r="AB268" s="27" t="str">
        <f ca="1">IF(AA268&lt;&gt;"",IF(AA268&gt;28,"Too early",IF(AA268&lt;14,"Too late","")),"")</f>
        <v/>
      </c>
      <c r="AC268" s="46"/>
      <c r="AE268" s="80" t="s">
        <v>54</v>
      </c>
      <c r="AF268" s="80"/>
      <c r="AG268" s="80"/>
      <c r="AH268" s="80" t="str">
        <f>IF(AI268="","",AI268*AJ268*AK268/1000/1000/1000)</f>
        <v/>
      </c>
      <c r="AI268" s="80"/>
      <c r="AJ268" s="80"/>
      <c r="AK268" s="80"/>
    </row>
    <row r="269" spans="1:37" ht="20.100000000000001" customHeight="1">
      <c r="A269" s="33">
        <f ca="1">COUNTIF(J$3:OFFSET(J269,-1,0),"Subtotal:")+1</f>
        <v>18</v>
      </c>
      <c r="B269" s="23" t="str">
        <f ca="1">IF(OFFSET(B269,1,0)&lt;&gt;"",OFFSET(B269,1,0),"")</f>
        <v/>
      </c>
      <c r="C269" s="42"/>
      <c r="D269" s="59" t="s">
        <v>92</v>
      </c>
      <c r="E269" s="60" t="str">
        <f>LEFT(F269,3)</f>
        <v>#11</v>
      </c>
      <c r="F269" s="59" t="s">
        <v>296</v>
      </c>
      <c r="G269" s="59" t="s">
        <v>93</v>
      </c>
      <c r="H269" s="60"/>
      <c r="I269" s="24" t="str">
        <f>IF(J269&lt;&gt;"",J269 - ('Shipping Program'!$D$9 + 'Shipping Program'!$F$9 + 'Shipping Program'!$H$9), "")</f>
        <v/>
      </c>
      <c r="J269" s="43"/>
      <c r="K269" s="44" t="str">
        <f>IF(SUM(M269:N269)=0,"",SUM(M269:N269))</f>
        <v/>
      </c>
      <c r="L269" s="44"/>
      <c r="M269" s="44"/>
      <c r="N269" s="54"/>
      <c r="O269" s="25" t="e">
        <f>VLOOKUP(I269,'Shipping Program'!$A$32:$B$78,2)-1</f>
        <v>#N/A</v>
      </c>
      <c r="P269" s="44" t="e">
        <f>O269</f>
        <v>#N/A</v>
      </c>
      <c r="Q269" s="24" t="e">
        <f>R269-7</f>
        <v>#VALUE!</v>
      </c>
      <c r="R269" s="24" t="str">
        <f>IFERROR(_xlfn.XLOOKUP(P269,'Shipping Program'!$B$32:$B$78,'Shipping Program'!$A$32:$A$78),IFERROR(INDEX(_V7Batches!$B:$B,MATCH(P269&amp;"",_V7Batches!$A:$A,0)),""))</f>
        <v/>
      </c>
      <c r="S269" s="24" t="str">
        <f>IFERROR(_xlfn.XLOOKUP(P269,'Shipping Program'!$B$32:$B$78,'Shipping Program'!$E$32:$E$78),IFERROR(INDEX(_V7Batches!$D:$D,MATCH(P269&amp;"",_V7Batches!$A:$A,0)),""))</f>
        <v/>
      </c>
      <c r="T269" s="24" t="e">
        <f>S269+'Shipping Program'!$H$9</f>
        <v>#VALUE!</v>
      </c>
      <c r="U269" s="25" t="str">
        <f>IFERROR(IF(J269*T269&lt;&gt;0,J269-T269,""),"")</f>
        <v/>
      </c>
      <c r="V269" s="25" t="str">
        <f>IF(U269&lt;&gt;"",IF(U269&gt;28,"Too early",IF(U269&lt;14,"Too late","")),"")</f>
        <v/>
      </c>
      <c r="W269" s="35"/>
      <c r="X269" s="26" t="str">
        <f ca="1">IF(OFFSET(X269,1,0)="",R269,OFFSET(X269,1,0))</f>
        <v/>
      </c>
      <c r="Y269" s="26" t="e">
        <f ca="1">IF(OFFSET(Y269,1,0)="",X269+'Shipping Program'!$F$9,OFFSET(Y269,1,0))</f>
        <v>#VALUE!</v>
      </c>
      <c r="Z269" s="26" t="e">
        <f ca="1">IF(OFFSET(Z269,1,0)="",Y269+'Shipping Program'!$H$9,OFFSET(Z269,1,0))</f>
        <v>#VALUE!</v>
      </c>
      <c r="AA269" s="27" t="str">
        <f ca="1">IFERROR(IF(J269*Z269&lt;&gt;0,J269-Z269,""),"")</f>
        <v/>
      </c>
      <c r="AB269" s="27" t="str">
        <f ca="1">IF(AA269&lt;&gt;"",IF(AA269&gt;28,"Too early",IF(AA269&lt;14,"Too late","")),"")</f>
        <v/>
      </c>
      <c r="AC269" s="46"/>
      <c r="AE269" s="80" t="s">
        <v>54</v>
      </c>
      <c r="AF269" s="80"/>
      <c r="AG269" s="80"/>
      <c r="AH269" s="80" t="str">
        <f>IF(AI269="","",AI269*AJ269*AK269/1000/1000/1000)</f>
        <v/>
      </c>
      <c r="AI269" s="80"/>
      <c r="AJ269" s="80"/>
      <c r="AK269" s="80"/>
    </row>
    <row r="270" spans="1:37" ht="20.100000000000001" customHeight="1">
      <c r="A270" s="33">
        <f ca="1">COUNTIF(J$3:OFFSET(J270,-1,0),"Subtotal:")+1</f>
        <v>18</v>
      </c>
      <c r="B270" s="23" t="str">
        <f ca="1">IF(OFFSET(B270,1,0)&lt;&gt;"",OFFSET(B270,1,0),"")</f>
        <v/>
      </c>
      <c r="C270" s="42"/>
      <c r="D270" s="59" t="s">
        <v>89</v>
      </c>
      <c r="E270" s="60" t="str">
        <f>LEFT(F270,3)</f>
        <v>#11</v>
      </c>
      <c r="F270" s="59" t="s">
        <v>297</v>
      </c>
      <c r="G270" s="59" t="s">
        <v>90</v>
      </c>
      <c r="H270" s="60"/>
      <c r="I270" s="24" t="str">
        <f>IF(J270&lt;&gt;"",J270 - ('Shipping Program'!$D$9 + 'Shipping Program'!$F$9 + 'Shipping Program'!$H$9), "")</f>
        <v/>
      </c>
      <c r="J270" s="43"/>
      <c r="K270" s="44" t="str">
        <f>IF(SUM(M270:N270)=0,"",SUM(M270:N270))</f>
        <v/>
      </c>
      <c r="L270" s="44"/>
      <c r="M270" s="44"/>
      <c r="N270" s="54"/>
      <c r="O270" s="25" t="e">
        <f>VLOOKUP(I270,'Shipping Program'!$A$32:$B$78,2)-1</f>
        <v>#N/A</v>
      </c>
      <c r="P270" s="44" t="e">
        <f>O270</f>
        <v>#N/A</v>
      </c>
      <c r="Q270" s="24" t="e">
        <f>R270-7</f>
        <v>#VALUE!</v>
      </c>
      <c r="R270" s="24" t="str">
        <f>IFERROR(_xlfn.XLOOKUP(P270,'Shipping Program'!$B$32:$B$78,'Shipping Program'!$A$32:$A$78),IFERROR(INDEX(_V7Batches!$B:$B,MATCH(P270&amp;"",_V7Batches!$A:$A,0)),""))</f>
        <v/>
      </c>
      <c r="S270" s="24" t="str">
        <f>IFERROR(_xlfn.XLOOKUP(P270,'Shipping Program'!$B$32:$B$78,'Shipping Program'!$E$32:$E$78),IFERROR(INDEX(_V7Batches!$D:$D,MATCH(P270&amp;"",_V7Batches!$A:$A,0)),""))</f>
        <v/>
      </c>
      <c r="T270" s="24" t="e">
        <f>S270+'Shipping Program'!$H$9</f>
        <v>#VALUE!</v>
      </c>
      <c r="U270" s="25" t="str">
        <f>IFERROR(IF(J270*T270&lt;&gt;0,J270-T270,""),"")</f>
        <v/>
      </c>
      <c r="V270" s="25" t="str">
        <f>IF(U270&lt;&gt;"",IF(U270&gt;28,"Too early",IF(U270&lt;14,"Too late","")),"")</f>
        <v/>
      </c>
      <c r="W270" s="35"/>
      <c r="X270" s="26" t="str">
        <f ca="1">IF(OFFSET(X270,1,0)="",R270,OFFSET(X270,1,0))</f>
        <v/>
      </c>
      <c r="Y270" s="26" t="e">
        <f ca="1">IF(OFFSET(Y270,1,0)="",X270+'Shipping Program'!$F$9,OFFSET(Y270,1,0))</f>
        <v>#VALUE!</v>
      </c>
      <c r="Z270" s="26" t="e">
        <f ca="1">IF(OFFSET(Z270,1,0)="",Y270+'Shipping Program'!$H$9,OFFSET(Z270,1,0))</f>
        <v>#VALUE!</v>
      </c>
      <c r="AA270" s="27" t="str">
        <f ca="1">IFERROR(IF(J270*Z270&lt;&gt;0,J270-Z270,""),"")</f>
        <v/>
      </c>
      <c r="AB270" s="27" t="str">
        <f ca="1">IF(AA270&lt;&gt;"",IF(AA270&gt;28,"Too early",IF(AA270&lt;14,"Too late","")),"")</f>
        <v/>
      </c>
      <c r="AC270" s="46"/>
      <c r="AE270" s="80" t="s">
        <v>54</v>
      </c>
      <c r="AF270" s="80"/>
      <c r="AG270" s="80"/>
      <c r="AH270" s="80" t="str">
        <f>IF(AI270="","",AI270*AJ270*AK270/1000/1000/1000)</f>
        <v/>
      </c>
      <c r="AI270" s="80"/>
      <c r="AJ270" s="80"/>
      <c r="AK270" s="80"/>
    </row>
    <row r="271" spans="1:37" ht="20.100000000000001" customHeight="1">
      <c r="A271" s="33">
        <f ca="1">COUNTIF(J$3:OFFSET(J271,-1,0),"Subtotal:")+1</f>
        <v>18</v>
      </c>
      <c r="B271" s="23" t="str">
        <f ca="1">IF(OFFSET(B271,1,0)&lt;&gt;"",OFFSET(B271,1,0),"")</f>
        <v/>
      </c>
      <c r="C271" s="42"/>
      <c r="D271" s="59" t="s">
        <v>89</v>
      </c>
      <c r="E271" s="60" t="str">
        <f>LEFT(F271,3)</f>
        <v>#11</v>
      </c>
      <c r="F271" s="59" t="s">
        <v>300</v>
      </c>
      <c r="G271" s="59" t="s">
        <v>91</v>
      </c>
      <c r="H271" s="60"/>
      <c r="I271" s="24" t="str">
        <f>IF(J271&lt;&gt;"",J271 - ('Shipping Program'!$D$9 + 'Shipping Program'!$F$9 + 'Shipping Program'!$H$9), "")</f>
        <v/>
      </c>
      <c r="J271" s="43"/>
      <c r="K271" s="44" t="str">
        <f>IF(SUM(M271:N271)=0,"",SUM(M271:N271))</f>
        <v/>
      </c>
      <c r="L271" s="44"/>
      <c r="M271" s="44"/>
      <c r="N271" s="54"/>
      <c r="O271" s="25" t="e">
        <f>VLOOKUP(I271,'Shipping Program'!$A$32:$B$78,2)-1</f>
        <v>#N/A</v>
      </c>
      <c r="P271" s="44" t="e">
        <f>O271</f>
        <v>#N/A</v>
      </c>
      <c r="Q271" s="24" t="e">
        <f>R271-7</f>
        <v>#VALUE!</v>
      </c>
      <c r="R271" s="24" t="str">
        <f>IFERROR(_xlfn.XLOOKUP(P271,'Shipping Program'!$B$32:$B$78,'Shipping Program'!$A$32:$A$78),IFERROR(INDEX(_V7Batches!$B:$B,MATCH(P271&amp;"",_V7Batches!$A:$A,0)),""))</f>
        <v/>
      </c>
      <c r="S271" s="24" t="str">
        <f>IFERROR(_xlfn.XLOOKUP(P271,'Shipping Program'!$B$32:$B$78,'Shipping Program'!$E$32:$E$78),IFERROR(INDEX(_V7Batches!$D:$D,MATCH(P271&amp;"",_V7Batches!$A:$A,0)),""))</f>
        <v/>
      </c>
      <c r="T271" s="24" t="e">
        <f>S271+'Shipping Program'!$H$9</f>
        <v>#VALUE!</v>
      </c>
      <c r="U271" s="25" t="str">
        <f>IFERROR(IF(J271*T271&lt;&gt;0,J271-T271,""),"")</f>
        <v/>
      </c>
      <c r="V271" s="25" t="str">
        <f>IF(U271&lt;&gt;"",IF(U271&gt;28,"Too early",IF(U271&lt;14,"Too late","")),"")</f>
        <v/>
      </c>
      <c r="W271" s="35"/>
      <c r="X271" s="26" t="str">
        <f ca="1">IF(OFFSET(X271,1,0)="",R271,OFFSET(X271,1,0))</f>
        <v/>
      </c>
      <c r="Y271" s="26" t="e">
        <f ca="1">IF(OFFSET(Y271,1,0)="",X271+'Shipping Program'!$F$9,OFFSET(Y271,1,0))</f>
        <v>#VALUE!</v>
      </c>
      <c r="Z271" s="26" t="e">
        <f ca="1">IF(OFFSET(Z271,1,0)="",Y271+'Shipping Program'!$H$9,OFFSET(Z271,1,0))</f>
        <v>#VALUE!</v>
      </c>
      <c r="AA271" s="27" t="str">
        <f ca="1">IFERROR(IF(J271*Z271&lt;&gt;0,J271-Z271,""),"")</f>
        <v/>
      </c>
      <c r="AB271" s="27" t="str">
        <f ca="1">IF(AA271&lt;&gt;"",IF(AA271&gt;28,"Too early",IF(AA271&lt;14,"Too late","")),"")</f>
        <v/>
      </c>
      <c r="AC271" s="46"/>
      <c r="AE271" s="80" t="s">
        <v>54</v>
      </c>
      <c r="AF271" s="80"/>
      <c r="AG271" s="80"/>
      <c r="AH271" s="80" t="str">
        <f>IF(AI271="","",AI271*AJ271*AK271/1000/1000/1000)</f>
        <v/>
      </c>
      <c r="AI271" s="80"/>
      <c r="AJ271" s="80"/>
      <c r="AK271" s="80"/>
    </row>
    <row r="272" spans="1:37" ht="20.100000000000001" customHeight="1">
      <c r="A272" s="33">
        <f ca="1">COUNTIF(J$3:OFFSET(J272,-1,0),"Subtotal:")+1</f>
        <v>18</v>
      </c>
      <c r="B272" s="23" t="str">
        <f ca="1">IF(OFFSET(B272,1,0)&lt;&gt;"",OFFSET(B272,1,0),"")</f>
        <v/>
      </c>
      <c r="C272" s="42"/>
      <c r="D272" s="59" t="s">
        <v>89</v>
      </c>
      <c r="E272" s="60" t="str">
        <f>LEFT(F272,3)</f>
        <v>#11</v>
      </c>
      <c r="F272" s="59" t="s">
        <v>299</v>
      </c>
      <c r="G272" s="59" t="s">
        <v>94</v>
      </c>
      <c r="H272" s="60"/>
      <c r="I272" s="24" t="str">
        <f>IF(J272&lt;&gt;"",J272 - ('Shipping Program'!$D$9 + 'Shipping Program'!$F$9 + 'Shipping Program'!$H$9), "")</f>
        <v/>
      </c>
      <c r="J272" s="43"/>
      <c r="K272" s="44" t="str">
        <f>IF(SUM(M272:N272)=0,"",SUM(M272:N272))</f>
        <v/>
      </c>
      <c r="L272" s="44"/>
      <c r="M272" s="44"/>
      <c r="N272" s="54"/>
      <c r="O272" s="25" t="e">
        <f>VLOOKUP(I272,'Shipping Program'!$A$32:$B$78,2)-1</f>
        <v>#N/A</v>
      </c>
      <c r="P272" s="44" t="e">
        <f>O272</f>
        <v>#N/A</v>
      </c>
      <c r="Q272" s="24" t="e">
        <f>R272-7</f>
        <v>#VALUE!</v>
      </c>
      <c r="R272" s="24" t="str">
        <f>IFERROR(_xlfn.XLOOKUP(P272,'Shipping Program'!$B$32:$B$78,'Shipping Program'!$A$32:$A$78),IFERROR(INDEX(_V7Batches!$B:$B,MATCH(P272&amp;"",_V7Batches!$A:$A,0)),""))</f>
        <v/>
      </c>
      <c r="S272" s="24" t="str">
        <f>IFERROR(_xlfn.XLOOKUP(P272,'Shipping Program'!$B$32:$B$78,'Shipping Program'!$E$32:$E$78),IFERROR(INDEX(_V7Batches!$D:$D,MATCH(P272&amp;"",_V7Batches!$A:$A,0)),""))</f>
        <v/>
      </c>
      <c r="T272" s="24" t="e">
        <f>S272+'Shipping Program'!$H$9</f>
        <v>#VALUE!</v>
      </c>
      <c r="U272" s="25" t="str">
        <f>IFERROR(IF(J272*T272&lt;&gt;0,J272-T272,""),"")</f>
        <v/>
      </c>
      <c r="V272" s="25" t="str">
        <f>IF(U272&lt;&gt;"",IF(U272&gt;28,"Too early",IF(U272&lt;14,"Too late","")),"")</f>
        <v/>
      </c>
      <c r="W272" s="35"/>
      <c r="X272" s="26" t="str">
        <f ca="1">IF(OFFSET(X272,1,0)="",R272,OFFSET(X272,1,0))</f>
        <v/>
      </c>
      <c r="Y272" s="26" t="e">
        <f ca="1">IF(OFFSET(Y272,1,0)="",X272+'Shipping Program'!$F$9,OFFSET(Y272,1,0))</f>
        <v>#VALUE!</v>
      </c>
      <c r="Z272" s="26" t="e">
        <f ca="1">IF(OFFSET(Z272,1,0)="",Y272+'Shipping Program'!$H$9,OFFSET(Z272,1,0))</f>
        <v>#VALUE!</v>
      </c>
      <c r="AA272" s="27" t="str">
        <f ca="1">IFERROR(IF(J272*Z272&lt;&gt;0,J272-Z272,""),"")</f>
        <v/>
      </c>
      <c r="AB272" s="27" t="str">
        <f ca="1">IF(AA272&lt;&gt;"",IF(AA272&gt;28,"Too early",IF(AA272&lt;14,"Too late","")),"")</f>
        <v/>
      </c>
      <c r="AC272" s="46"/>
      <c r="AE272" s="80" t="s">
        <v>54</v>
      </c>
      <c r="AF272" s="80"/>
      <c r="AG272" s="80"/>
      <c r="AH272" s="80" t="str">
        <f>IF(AI272="","",AI272*AJ272*AK272/1000/1000/1000)</f>
        <v/>
      </c>
      <c r="AI272" s="80"/>
      <c r="AJ272" s="80"/>
      <c r="AK272" s="80"/>
    </row>
    <row r="273" spans="1:37" ht="20.100000000000001" customHeight="1">
      <c r="A273" s="33">
        <f ca="1">COUNTIF(J$3:OFFSET(J273,-1,0),"Subtotal:")+1</f>
        <v>18</v>
      </c>
      <c r="B273" s="23" t="str">
        <f ca="1">IF(OFFSET(B273,1,0)&lt;&gt;"",OFFSET(B273,1,0),"")</f>
        <v/>
      </c>
      <c r="C273" s="42"/>
      <c r="D273" s="59" t="s">
        <v>89</v>
      </c>
      <c r="E273" s="60" t="str">
        <f>LEFT(F273,3)</f>
        <v>#11</v>
      </c>
      <c r="F273" s="59" t="s">
        <v>298</v>
      </c>
      <c r="G273" s="59" t="s">
        <v>200</v>
      </c>
      <c r="H273" s="60"/>
      <c r="I273" s="24" t="str">
        <f>IF(J273&lt;&gt;"",J273 - ('Shipping Program'!$D$9 + 'Shipping Program'!$F$9 + 'Shipping Program'!$H$9), "")</f>
        <v/>
      </c>
      <c r="J273" s="43"/>
      <c r="K273" s="44" t="str">
        <f>IF(SUM(M273:N273)=0,"",SUM(M273:N273))</f>
        <v/>
      </c>
      <c r="L273" s="44"/>
      <c r="M273" s="44"/>
      <c r="N273" s="54"/>
      <c r="O273" s="25" t="e">
        <f>VLOOKUP(I273,'Shipping Program'!$A$32:$B$78,2)-1</f>
        <v>#N/A</v>
      </c>
      <c r="P273" s="44" t="e">
        <f>O273</f>
        <v>#N/A</v>
      </c>
      <c r="Q273" s="24" t="e">
        <f>R273-7</f>
        <v>#VALUE!</v>
      </c>
      <c r="R273" s="24" t="str">
        <f>IFERROR(_xlfn.XLOOKUP(P273,'Shipping Program'!$B$32:$B$78,'Shipping Program'!$A$32:$A$78),IFERROR(INDEX(_V7Batches!$B:$B,MATCH(P273&amp;"",_V7Batches!$A:$A,0)),""))</f>
        <v/>
      </c>
      <c r="S273" s="24" t="str">
        <f>IFERROR(_xlfn.XLOOKUP(P273,'Shipping Program'!$B$32:$B$78,'Shipping Program'!$E$32:$E$78),IFERROR(INDEX(_V7Batches!$D:$D,MATCH(P273&amp;"",_V7Batches!$A:$A,0)),""))</f>
        <v/>
      </c>
      <c r="T273" s="24" t="e">
        <f>S273+'Shipping Program'!$H$9</f>
        <v>#VALUE!</v>
      </c>
      <c r="U273" s="25" t="str">
        <f>IFERROR(IF(J273*T273&lt;&gt;0,J273-T273,""),"")</f>
        <v/>
      </c>
      <c r="V273" s="25" t="str">
        <f>IF(U273&lt;&gt;"",IF(U273&gt;28,"Too early",IF(U273&lt;14,"Too late","")),"")</f>
        <v/>
      </c>
      <c r="W273" s="35"/>
      <c r="X273" s="26" t="str">
        <f ca="1">IF(OFFSET(X273,1,0)="",R273,OFFSET(X273,1,0))</f>
        <v/>
      </c>
      <c r="Y273" s="26" t="e">
        <f ca="1">IF(OFFSET(Y273,1,0)="",X273+'Shipping Program'!$F$9,OFFSET(Y273,1,0))</f>
        <v>#VALUE!</v>
      </c>
      <c r="Z273" s="26" t="e">
        <f ca="1">IF(OFFSET(Z273,1,0)="",Y273+'Shipping Program'!$H$9,OFFSET(Z273,1,0))</f>
        <v>#VALUE!</v>
      </c>
      <c r="AA273" s="27" t="str">
        <f ca="1">IFERROR(IF(J273*Z273&lt;&gt;0,J273-Z273,""),"")</f>
        <v/>
      </c>
      <c r="AB273" s="27" t="str">
        <f ca="1">IF(AA273&lt;&gt;"",IF(AA273&gt;28,"Too early",IF(AA273&lt;14,"Too late","")),"")</f>
        <v/>
      </c>
      <c r="AC273" s="46"/>
      <c r="AE273" s="80" t="s">
        <v>54</v>
      </c>
      <c r="AF273" s="80"/>
      <c r="AG273" s="80"/>
      <c r="AH273" s="80" t="str">
        <f>IF(AI273="","",AI273*AJ273*AK273/1000/1000/1000)</f>
        <v/>
      </c>
      <c r="AI273" s="80"/>
      <c r="AJ273" s="80"/>
      <c r="AK273" s="80"/>
    </row>
    <row r="274" spans="1:37" ht="20.100000000000001" customHeight="1">
      <c r="A274" s="33">
        <f ca="1">COUNTIF(J$3:OFFSET(J274,-1,0),"Subtotal:")+1</f>
        <v>18</v>
      </c>
      <c r="B274" s="62" t="str">
        <f ca="1">IF(OFFSET(B274,1,0)&lt;&gt;"",OFFSET(B274,1,0),"")</f>
        <v/>
      </c>
      <c r="C274" s="63"/>
      <c r="D274" s="59" t="s">
        <v>95</v>
      </c>
      <c r="E274" s="60" t="str">
        <f>LEFT(F274,3)</f>
        <v>#06</v>
      </c>
      <c r="F274" s="59" t="s">
        <v>223</v>
      </c>
      <c r="G274" s="59" t="s">
        <v>183</v>
      </c>
      <c r="H274" s="60"/>
      <c r="I274" s="24" t="str">
        <f>IF(J274&lt;&gt;"",J274 - ('Shipping Program'!$D$9 + 'Shipping Program'!$F$9 + 'Shipping Program'!$H$9), "")</f>
        <v/>
      </c>
      <c r="J274" s="43"/>
      <c r="K274" s="44" t="str">
        <f>IF(SUM(M274:N274)=0,"",SUM(M274:N274))</f>
        <v/>
      </c>
      <c r="L274" s="64"/>
      <c r="M274" s="44"/>
      <c r="N274" s="54"/>
      <c r="O274" s="25" t="e">
        <f>VLOOKUP(I274,'Shipping Program'!$A$32:$B$78,2)-1</f>
        <v>#N/A</v>
      </c>
      <c r="P274" s="44" t="e">
        <f>O274</f>
        <v>#N/A</v>
      </c>
      <c r="Q274" s="24" t="e">
        <f>R274-7</f>
        <v>#VALUE!</v>
      </c>
      <c r="R274" s="24" t="str">
        <f>IFERROR(_xlfn.XLOOKUP(P274,'Shipping Program'!$B$32:$B$78,'Shipping Program'!$A$32:$A$78),IFERROR(INDEX(_V7Batches!$B:$B,MATCH(P274&amp;"",_V7Batches!$A:$A,0)),""))</f>
        <v/>
      </c>
      <c r="S274" s="24" t="str">
        <f>IFERROR(_xlfn.XLOOKUP(P274,'Shipping Program'!$B$32:$B$78,'Shipping Program'!$E$32:$E$78),IFERROR(INDEX(_V7Batches!$D:$D,MATCH(P274&amp;"",_V7Batches!$A:$A,0)),""))</f>
        <v/>
      </c>
      <c r="T274" s="24" t="e">
        <f>S274+'Shipping Program'!$H$9</f>
        <v>#VALUE!</v>
      </c>
      <c r="U274" s="25" t="str">
        <f>IFERROR(IF(J274*T274&lt;&gt;0,J274-T274,""),"")</f>
        <v/>
      </c>
      <c r="V274" s="25" t="str">
        <f>IF(U274&lt;&gt;"",IF(U274&gt;28,"Too early",IF(U274&lt;14,"Too late","")),"")</f>
        <v/>
      </c>
      <c r="W274" s="35"/>
      <c r="X274" s="26" t="str">
        <f ca="1">IF(OFFSET(X274,1,0)="",R274,OFFSET(X274,1,0))</f>
        <v/>
      </c>
      <c r="Y274" s="26" t="e">
        <f ca="1">IF(OFFSET(Y274,1,0)="",X274+'Shipping Program'!$F$9,OFFSET(Y274,1,0))</f>
        <v>#VALUE!</v>
      </c>
      <c r="Z274" s="26" t="e">
        <f ca="1">IF(OFFSET(Z274,1,0)="",Y274+'Shipping Program'!$H$9,OFFSET(Z274,1,0))</f>
        <v>#VALUE!</v>
      </c>
      <c r="AA274" s="27" t="str">
        <f ca="1">IFERROR(IF(J274*Z274&lt;&gt;0,J274-Z274,""),"")</f>
        <v/>
      </c>
      <c r="AB274" s="27" t="str">
        <f ca="1">IF(AA274&lt;&gt;"",IF(AA274&gt;28,"Too early",IF(AA274&lt;14,"Too late","")),"")</f>
        <v/>
      </c>
      <c r="AC274" s="46"/>
      <c r="AE274" s="80" t="s">
        <v>43</v>
      </c>
      <c r="AF274" s="80" t="s">
        <v>41</v>
      </c>
      <c r="AG274" s="80" t="s">
        <v>42</v>
      </c>
      <c r="AH274" s="80" t="str">
        <f>IF(AI274="","",AI274*AJ274*AK274/1000/1000/1000)</f>
        <v/>
      </c>
      <c r="AI274" s="80"/>
      <c r="AJ274" s="80"/>
      <c r="AK274" s="80"/>
    </row>
    <row r="275" spans="1:37" ht="20.100000000000001" customHeight="1">
      <c r="A275" s="33">
        <f ca="1">COUNTIF(J$3:OFFSET(J275,-1,0),"Subtotal:")+1</f>
        <v>18</v>
      </c>
      <c r="B275" s="62" t="str">
        <f ca="1">IF(OFFSET(B275,1,0)&lt;&gt;"",OFFSET(B275,1,0),"")</f>
        <v/>
      </c>
      <c r="C275" s="63"/>
      <c r="D275" s="59" t="s">
        <v>95</v>
      </c>
      <c r="E275" s="60" t="str">
        <f>LEFT(F275,3)</f>
        <v>#06</v>
      </c>
      <c r="F275" s="59" t="s">
        <v>224</v>
      </c>
      <c r="G275" s="59" t="s">
        <v>183</v>
      </c>
      <c r="H275" s="60"/>
      <c r="I275" s="24" t="str">
        <f>IF(J275&lt;&gt;"",J275 - ('Shipping Program'!$D$9 + 'Shipping Program'!$F$9 + 'Shipping Program'!$H$9), "")</f>
        <v/>
      </c>
      <c r="J275" s="43"/>
      <c r="K275" s="44" t="str">
        <f>IF(SUM(M275:N275)=0,"",SUM(M275:N275))</f>
        <v/>
      </c>
      <c r="L275" s="64"/>
      <c r="M275" s="44"/>
      <c r="N275" s="54"/>
      <c r="O275" s="25" t="e">
        <f>VLOOKUP(I275,'Shipping Program'!$A$32:$B$78,2)-1</f>
        <v>#N/A</v>
      </c>
      <c r="P275" s="44" t="e">
        <f>O275</f>
        <v>#N/A</v>
      </c>
      <c r="Q275" s="24" t="e">
        <f>R275-7</f>
        <v>#VALUE!</v>
      </c>
      <c r="R275" s="24" t="str">
        <f>IFERROR(_xlfn.XLOOKUP(P275,'Shipping Program'!$B$32:$B$78,'Shipping Program'!$A$32:$A$78),IFERROR(INDEX(_V7Batches!$B:$B,MATCH(P275&amp;"",_V7Batches!$A:$A,0)),""))</f>
        <v/>
      </c>
      <c r="S275" s="24" t="str">
        <f>IFERROR(_xlfn.XLOOKUP(P275,'Shipping Program'!$B$32:$B$78,'Shipping Program'!$E$32:$E$78),IFERROR(INDEX(_V7Batches!$D:$D,MATCH(P275&amp;"",_V7Batches!$A:$A,0)),""))</f>
        <v/>
      </c>
      <c r="T275" s="24" t="e">
        <f>S275+'Shipping Program'!$H$9</f>
        <v>#VALUE!</v>
      </c>
      <c r="U275" s="25" t="str">
        <f>IFERROR(IF(J275*T275&lt;&gt;0,J275-T275,""),"")</f>
        <v/>
      </c>
      <c r="V275" s="25" t="str">
        <f>IF(U275&lt;&gt;"",IF(U275&gt;28,"Too early",IF(U275&lt;14,"Too late","")),"")</f>
        <v/>
      </c>
      <c r="W275" s="35"/>
      <c r="X275" s="26" t="str">
        <f ca="1">IF(OFFSET(X275,1,0)="",R275,OFFSET(X275,1,0))</f>
        <v/>
      </c>
      <c r="Y275" s="26" t="e">
        <f ca="1">IF(OFFSET(Y275,1,0)="",X275+'Shipping Program'!$F$9,OFFSET(Y275,1,0))</f>
        <v>#VALUE!</v>
      </c>
      <c r="Z275" s="26" t="e">
        <f ca="1">IF(OFFSET(Z275,1,0)="",Y275+'Shipping Program'!$H$9,OFFSET(Z275,1,0))</f>
        <v>#VALUE!</v>
      </c>
      <c r="AA275" s="27" t="str">
        <f ca="1">IFERROR(IF(J275*Z275&lt;&gt;0,J275-Z275,""),"")</f>
        <v/>
      </c>
      <c r="AB275" s="27" t="str">
        <f ca="1">IF(AA275&lt;&gt;"",IF(AA275&gt;28,"Too early",IF(AA275&lt;14,"Too late","")),"")</f>
        <v/>
      </c>
      <c r="AC275" s="46"/>
      <c r="AE275" s="80" t="s">
        <v>43</v>
      </c>
      <c r="AF275" s="80" t="s">
        <v>41</v>
      </c>
      <c r="AG275" s="80" t="s">
        <v>42</v>
      </c>
      <c r="AH275" s="80" t="str">
        <f>IF(AI275="","",AI275*AJ275*AK275/1000/1000/1000)</f>
        <v/>
      </c>
      <c r="AI275" s="80"/>
      <c r="AJ275" s="80"/>
      <c r="AK275" s="80"/>
    </row>
    <row r="276" spans="1:37" ht="20.100000000000001" customHeight="1">
      <c r="A276" s="33">
        <f ca="1">COUNTIF(J$3:OFFSET(J276,-1,0),"Subtotal:")+1</f>
        <v>18</v>
      </c>
      <c r="B276" s="62" t="str">
        <f ca="1">IF(OFFSET(B276,1,0)&lt;&gt;"",OFFSET(B276,1,0),"")</f>
        <v/>
      </c>
      <c r="C276" s="63"/>
      <c r="D276" s="59" t="s">
        <v>95</v>
      </c>
      <c r="E276" s="60" t="str">
        <f>LEFT(F276,3)</f>
        <v>#06</v>
      </c>
      <c r="F276" s="59" t="s">
        <v>225</v>
      </c>
      <c r="G276" s="59" t="s">
        <v>181</v>
      </c>
      <c r="H276" s="60"/>
      <c r="I276" s="24" t="str">
        <f>IF(J276&lt;&gt;"",J276 - ('Shipping Program'!$D$9 + 'Shipping Program'!$F$9 + 'Shipping Program'!$H$9), "")</f>
        <v/>
      </c>
      <c r="J276" s="43"/>
      <c r="K276" s="44" t="str">
        <f>IF(SUM(M276:N276)=0,"",SUM(M276:N276))</f>
        <v/>
      </c>
      <c r="L276" s="64"/>
      <c r="M276" s="44"/>
      <c r="N276" s="54"/>
      <c r="O276" s="25" t="e">
        <f>VLOOKUP(I276,'Shipping Program'!$A$32:$B$78,2)-1</f>
        <v>#N/A</v>
      </c>
      <c r="P276" s="44" t="e">
        <f>O276</f>
        <v>#N/A</v>
      </c>
      <c r="Q276" s="24" t="e">
        <f>R276-7</f>
        <v>#VALUE!</v>
      </c>
      <c r="R276" s="24" t="str">
        <f>IFERROR(_xlfn.XLOOKUP(P276,'Shipping Program'!$B$32:$B$78,'Shipping Program'!$A$32:$A$78),IFERROR(INDEX(_V7Batches!$B:$B,MATCH(P276&amp;"",_V7Batches!$A:$A,0)),""))</f>
        <v/>
      </c>
      <c r="S276" s="24" t="str">
        <f>IFERROR(_xlfn.XLOOKUP(P276,'Shipping Program'!$B$32:$B$78,'Shipping Program'!$E$32:$E$78),IFERROR(INDEX(_V7Batches!$D:$D,MATCH(P276&amp;"",_V7Batches!$A:$A,0)),""))</f>
        <v/>
      </c>
      <c r="T276" s="24" t="e">
        <f>S276+'Shipping Program'!$H$9</f>
        <v>#VALUE!</v>
      </c>
      <c r="U276" s="25" t="str">
        <f>IFERROR(IF(J276*T276&lt;&gt;0,J276-T276,""),"")</f>
        <v/>
      </c>
      <c r="V276" s="25" t="str">
        <f>IF(U276&lt;&gt;"",IF(U276&gt;28,"Too early",IF(U276&lt;14,"Too late","")),"")</f>
        <v/>
      </c>
      <c r="W276" s="35"/>
      <c r="X276" s="26" t="str">
        <f ca="1">IF(OFFSET(X276,1,0)="",R276,OFFSET(X276,1,0))</f>
        <v/>
      </c>
      <c r="Y276" s="26" t="e">
        <f ca="1">IF(OFFSET(Y276,1,0)="",X276+'Shipping Program'!$F$9,OFFSET(Y276,1,0))</f>
        <v>#VALUE!</v>
      </c>
      <c r="Z276" s="26" t="e">
        <f ca="1">IF(OFFSET(Z276,1,0)="",Y276+'Shipping Program'!$H$9,OFFSET(Z276,1,0))</f>
        <v>#VALUE!</v>
      </c>
      <c r="AA276" s="27" t="str">
        <f ca="1">IFERROR(IF(J276*Z276&lt;&gt;0,J276-Z276,""),"")</f>
        <v/>
      </c>
      <c r="AB276" s="27" t="str">
        <f ca="1">IF(AA276&lt;&gt;"",IF(AA276&gt;28,"Too early",IF(AA276&lt;14,"Too late","")),"")</f>
        <v/>
      </c>
      <c r="AC276" s="46"/>
      <c r="AE276" s="80" t="s">
        <v>43</v>
      </c>
      <c r="AF276" s="80" t="s">
        <v>41</v>
      </c>
      <c r="AG276" s="80" t="s">
        <v>42</v>
      </c>
      <c r="AH276" s="80" t="str">
        <f>IF(AI276="","",AI276*AJ276*AK276/1000/1000/1000)</f>
        <v/>
      </c>
      <c r="AI276" s="80"/>
      <c r="AJ276" s="80"/>
      <c r="AK276" s="80"/>
    </row>
    <row r="277" spans="1:37" ht="20.100000000000001" customHeight="1">
      <c r="A277" s="33">
        <f ca="1">COUNTIF(J$3:OFFSET(J277,-1,0),"Subtotal:")+1</f>
        <v>18</v>
      </c>
      <c r="B277" s="62" t="str">
        <f ca="1">IF(OFFSET(B277,1,0)&lt;&gt;"",OFFSET(B277,1,0),"")</f>
        <v/>
      </c>
      <c r="C277" s="63"/>
      <c r="D277" s="59" t="s">
        <v>95</v>
      </c>
      <c r="E277" s="60" t="str">
        <f>LEFT(F277,3)</f>
        <v>#06</v>
      </c>
      <c r="F277" s="59" t="s">
        <v>225</v>
      </c>
      <c r="G277" s="59" t="s">
        <v>183</v>
      </c>
      <c r="H277" s="60"/>
      <c r="I277" s="24" t="str">
        <f>IF(J277&lt;&gt;"",J277 - ('Shipping Program'!$D$9 + 'Shipping Program'!$F$9 + 'Shipping Program'!$H$9), "")</f>
        <v/>
      </c>
      <c r="J277" s="43"/>
      <c r="K277" s="44" t="str">
        <f>IF(SUM(M277:N277)=0,"",SUM(M277:N277))</f>
        <v/>
      </c>
      <c r="L277" s="64"/>
      <c r="M277" s="44"/>
      <c r="N277" s="54"/>
      <c r="O277" s="25" t="e">
        <f>VLOOKUP(I277,'Shipping Program'!$A$32:$B$78,2)-1</f>
        <v>#N/A</v>
      </c>
      <c r="P277" s="44" t="e">
        <f>O277</f>
        <v>#N/A</v>
      </c>
      <c r="Q277" s="24" t="e">
        <f>R277-7</f>
        <v>#VALUE!</v>
      </c>
      <c r="R277" s="24" t="str">
        <f>IFERROR(_xlfn.XLOOKUP(P277,'Shipping Program'!$B$32:$B$78,'Shipping Program'!$A$32:$A$78),IFERROR(INDEX(_V7Batches!$B:$B,MATCH(P277&amp;"",_V7Batches!$A:$A,0)),""))</f>
        <v/>
      </c>
      <c r="S277" s="24" t="str">
        <f>IFERROR(_xlfn.XLOOKUP(P277,'Shipping Program'!$B$32:$B$78,'Shipping Program'!$E$32:$E$78),IFERROR(INDEX(_V7Batches!$D:$D,MATCH(P277&amp;"",_V7Batches!$A:$A,0)),""))</f>
        <v/>
      </c>
      <c r="T277" s="24" t="e">
        <f>S277+'Shipping Program'!$H$9</f>
        <v>#VALUE!</v>
      </c>
      <c r="U277" s="25" t="str">
        <f>IFERROR(IF(J277*T277&lt;&gt;0,J277-T277,""),"")</f>
        <v/>
      </c>
      <c r="V277" s="25" t="str">
        <f>IF(U277&lt;&gt;"",IF(U277&gt;28,"Too early",IF(U277&lt;14,"Too late","")),"")</f>
        <v/>
      </c>
      <c r="W277" s="35"/>
      <c r="X277" s="26" t="str">
        <f ca="1">IF(OFFSET(X277,1,0)="",R277,OFFSET(X277,1,0))</f>
        <v/>
      </c>
      <c r="Y277" s="26" t="e">
        <f ca="1">IF(OFFSET(Y277,1,0)="",X277+'Shipping Program'!$F$9,OFFSET(Y277,1,0))</f>
        <v>#VALUE!</v>
      </c>
      <c r="Z277" s="26" t="e">
        <f ca="1">IF(OFFSET(Z277,1,0)="",Y277+'Shipping Program'!$H$9,OFFSET(Z277,1,0))</f>
        <v>#VALUE!</v>
      </c>
      <c r="AA277" s="27" t="str">
        <f ca="1">IFERROR(IF(J277*Z277&lt;&gt;0,J277-Z277,""),"")</f>
        <v/>
      </c>
      <c r="AB277" s="27" t="str">
        <f ca="1">IF(AA277&lt;&gt;"",IF(AA277&gt;28,"Too early",IF(AA277&lt;14,"Too late","")),"")</f>
        <v/>
      </c>
      <c r="AC277" s="46"/>
      <c r="AE277" s="80" t="s">
        <v>43</v>
      </c>
      <c r="AF277" s="80" t="s">
        <v>41</v>
      </c>
      <c r="AG277" s="80" t="s">
        <v>42</v>
      </c>
      <c r="AH277" s="80" t="str">
        <f>IF(AI277="","",AI277*AJ277*AK277/1000/1000/1000)</f>
        <v/>
      </c>
      <c r="AI277" s="80"/>
      <c r="AJ277" s="80"/>
      <c r="AK277" s="80"/>
    </row>
    <row r="278" spans="1:37" ht="20.100000000000001" customHeight="1">
      <c r="A278" s="33">
        <f ca="1">COUNTIF(J$3:OFFSET(J278,-1,0),"Subtotal:")+1</f>
        <v>18</v>
      </c>
      <c r="B278" s="62" t="str">
        <f ca="1">IF(OFFSET(B278,1,0)&lt;&gt;"",OFFSET(B278,1,0),"")</f>
        <v/>
      </c>
      <c r="C278" s="63"/>
      <c r="D278" s="59" t="s">
        <v>95</v>
      </c>
      <c r="E278" s="60" t="str">
        <f>LEFT(F278,3)</f>
        <v>#06</v>
      </c>
      <c r="F278" s="59" t="s">
        <v>227</v>
      </c>
      <c r="G278" s="59" t="s">
        <v>183</v>
      </c>
      <c r="H278" s="60"/>
      <c r="I278" s="24" t="str">
        <f>IF(J278&lt;&gt;"",J278 - ('Shipping Program'!$D$9 + 'Shipping Program'!$F$9 + 'Shipping Program'!$H$9), "")</f>
        <v/>
      </c>
      <c r="J278" s="43"/>
      <c r="K278" s="44" t="str">
        <f>IF(SUM(M278:N278)=0,"",SUM(M278:N278))</f>
        <v/>
      </c>
      <c r="L278" s="64"/>
      <c r="M278" s="44"/>
      <c r="N278" s="54"/>
      <c r="O278" s="25" t="e">
        <f>VLOOKUP(I278,'Shipping Program'!$A$32:$B$78,2)-1</f>
        <v>#N/A</v>
      </c>
      <c r="P278" s="44" t="e">
        <f>O278</f>
        <v>#N/A</v>
      </c>
      <c r="Q278" s="24" t="e">
        <f>R278-7</f>
        <v>#VALUE!</v>
      </c>
      <c r="R278" s="24" t="str">
        <f>IFERROR(_xlfn.XLOOKUP(P278,'Shipping Program'!$B$32:$B$78,'Shipping Program'!$A$32:$A$78),IFERROR(INDEX(_V7Batches!$B:$B,MATCH(P278&amp;"",_V7Batches!$A:$A,0)),""))</f>
        <v/>
      </c>
      <c r="S278" s="24" t="str">
        <f>IFERROR(_xlfn.XLOOKUP(P278,'Shipping Program'!$B$32:$B$78,'Shipping Program'!$E$32:$E$78),IFERROR(INDEX(_V7Batches!$D:$D,MATCH(P278&amp;"",_V7Batches!$A:$A,0)),""))</f>
        <v/>
      </c>
      <c r="T278" s="24" t="e">
        <f>S278+'Shipping Program'!$H$9</f>
        <v>#VALUE!</v>
      </c>
      <c r="U278" s="25" t="str">
        <f>IFERROR(IF(J278*T278&lt;&gt;0,J278-T278,""),"")</f>
        <v/>
      </c>
      <c r="V278" s="25" t="str">
        <f>IF(U278&lt;&gt;"",IF(U278&gt;28,"Too early",IF(U278&lt;14,"Too late","")),"")</f>
        <v/>
      </c>
      <c r="W278" s="35"/>
      <c r="X278" s="26" t="str">
        <f ca="1">IF(OFFSET(X278,1,0)="",R278,OFFSET(X278,1,0))</f>
        <v/>
      </c>
      <c r="Y278" s="26" t="e">
        <f ca="1">IF(OFFSET(Y278,1,0)="",X278+'Shipping Program'!$F$9,OFFSET(Y278,1,0))</f>
        <v>#VALUE!</v>
      </c>
      <c r="Z278" s="26" t="e">
        <f ca="1">IF(OFFSET(Z278,1,0)="",Y278+'Shipping Program'!$H$9,OFFSET(Z278,1,0))</f>
        <v>#VALUE!</v>
      </c>
      <c r="AA278" s="27" t="str">
        <f ca="1">IFERROR(IF(J278*Z278&lt;&gt;0,J278-Z278,""),"")</f>
        <v/>
      </c>
      <c r="AB278" s="27" t="str">
        <f ca="1">IF(AA278&lt;&gt;"",IF(AA278&gt;28,"Too early",IF(AA278&lt;14,"Too late","")),"")</f>
        <v/>
      </c>
      <c r="AC278" s="46"/>
      <c r="AE278" s="80" t="s">
        <v>43</v>
      </c>
      <c r="AF278" s="80" t="s">
        <v>46</v>
      </c>
      <c r="AG278" s="80" t="s">
        <v>42</v>
      </c>
      <c r="AH278" s="80" t="str">
        <f>IF(AI278="","",AI278*AJ278*AK278/1000/1000/1000)</f>
        <v/>
      </c>
      <c r="AI278" s="80"/>
      <c r="AJ278" s="80"/>
      <c r="AK278" s="80"/>
    </row>
    <row r="279" spans="1:37" ht="20.100000000000001" customHeight="1">
      <c r="A279" s="33">
        <f ca="1">COUNTIF(J$3:OFFSET(J279,-1,0),"Subtotal:")+1</f>
        <v>18</v>
      </c>
      <c r="B279" s="62" t="str">
        <f ca="1">IF(OFFSET(B279,1,0)&lt;&gt;"",OFFSET(B279,1,0),"")</f>
        <v/>
      </c>
      <c r="C279" s="63"/>
      <c r="D279" s="59" t="s">
        <v>95</v>
      </c>
      <c r="E279" s="60" t="str">
        <f>LEFT(F279,3)</f>
        <v>#06</v>
      </c>
      <c r="F279" s="59" t="s">
        <v>226</v>
      </c>
      <c r="G279" s="59" t="s">
        <v>183</v>
      </c>
      <c r="H279" s="60"/>
      <c r="I279" s="24" t="str">
        <f>IF(J279&lt;&gt;"",J279 - ('Shipping Program'!$D$9 + 'Shipping Program'!$F$9 + 'Shipping Program'!$H$9), "")</f>
        <v/>
      </c>
      <c r="J279" s="43"/>
      <c r="K279" s="44" t="str">
        <f>IF(SUM(M279:N279)=0,"",SUM(M279:N279))</f>
        <v/>
      </c>
      <c r="L279" s="64"/>
      <c r="M279" s="44"/>
      <c r="N279" s="54"/>
      <c r="O279" s="25" t="e">
        <f>VLOOKUP(I279,'Shipping Program'!$A$32:$B$78,2)-1</f>
        <v>#N/A</v>
      </c>
      <c r="P279" s="44" t="e">
        <f>O279</f>
        <v>#N/A</v>
      </c>
      <c r="Q279" s="24" t="e">
        <f>R279-7</f>
        <v>#VALUE!</v>
      </c>
      <c r="R279" s="24" t="str">
        <f>IFERROR(_xlfn.XLOOKUP(P279,'Shipping Program'!$B$32:$B$78,'Shipping Program'!$A$32:$A$78),IFERROR(INDEX(_V7Batches!$B:$B,MATCH(P279&amp;"",_V7Batches!$A:$A,0)),""))</f>
        <v/>
      </c>
      <c r="S279" s="24" t="str">
        <f>IFERROR(_xlfn.XLOOKUP(P279,'Shipping Program'!$B$32:$B$78,'Shipping Program'!$E$32:$E$78),IFERROR(INDEX(_V7Batches!$D:$D,MATCH(P279&amp;"",_V7Batches!$A:$A,0)),""))</f>
        <v/>
      </c>
      <c r="T279" s="24" t="e">
        <f>S279+'Shipping Program'!$H$9</f>
        <v>#VALUE!</v>
      </c>
      <c r="U279" s="25" t="str">
        <f>IFERROR(IF(J279*T279&lt;&gt;0,J279-T279,""),"")</f>
        <v/>
      </c>
      <c r="V279" s="25" t="str">
        <f>IF(U279&lt;&gt;"",IF(U279&gt;28,"Too early",IF(U279&lt;14,"Too late","")),"")</f>
        <v/>
      </c>
      <c r="W279" s="35"/>
      <c r="X279" s="26" t="str">
        <f ca="1">IF(OFFSET(X279,1,0)="",R279,OFFSET(X279,1,0))</f>
        <v/>
      </c>
      <c r="Y279" s="26" t="e">
        <f ca="1">IF(OFFSET(Y279,1,0)="",X279+'Shipping Program'!$F$9,OFFSET(Y279,1,0))</f>
        <v>#VALUE!</v>
      </c>
      <c r="Z279" s="26" t="e">
        <f ca="1">IF(OFFSET(Z279,1,0)="",Y279+'Shipping Program'!$H$9,OFFSET(Z279,1,0))</f>
        <v>#VALUE!</v>
      </c>
      <c r="AA279" s="27" t="str">
        <f ca="1">IFERROR(IF(J279*Z279&lt;&gt;0,J279-Z279,""),"")</f>
        <v/>
      </c>
      <c r="AB279" s="27" t="str">
        <f ca="1">IF(AA279&lt;&gt;"",IF(AA279&gt;28,"Too early",IF(AA279&lt;14,"Too late","")),"")</f>
        <v/>
      </c>
      <c r="AC279" s="46"/>
      <c r="AE279" s="80" t="s">
        <v>43</v>
      </c>
      <c r="AF279" s="80" t="s">
        <v>46</v>
      </c>
      <c r="AG279" s="80" t="s">
        <v>42</v>
      </c>
      <c r="AH279" s="80" t="str">
        <f>IF(AI279="","",AI279*AJ279*AK279/1000/1000/1000)</f>
        <v/>
      </c>
      <c r="AI279" s="80"/>
      <c r="AJ279" s="80"/>
      <c r="AK279" s="80"/>
    </row>
    <row r="280" spans="1:37" ht="20.100000000000001" customHeight="1">
      <c r="A280" s="33">
        <f ca="1">COUNTIF(J$3:OFFSET(J280,-1,0),"Subtotal:")+1</f>
        <v>18</v>
      </c>
      <c r="B280" s="62" t="str">
        <f ca="1">IF(OFFSET(B280,1,0)&lt;&gt;"",OFFSET(B280,1,0),"")</f>
        <v/>
      </c>
      <c r="C280" s="63"/>
      <c r="D280" s="59" t="s">
        <v>95</v>
      </c>
      <c r="E280" s="60" t="str">
        <f>LEFT(F280,3)</f>
        <v>#06</v>
      </c>
      <c r="F280" s="59" t="s">
        <v>231</v>
      </c>
      <c r="G280" s="59" t="s">
        <v>183</v>
      </c>
      <c r="H280" s="60"/>
      <c r="I280" s="24" t="str">
        <f>IF(J280&lt;&gt;"",J280 - ('Shipping Program'!$D$9 + 'Shipping Program'!$F$9 + 'Shipping Program'!$H$9), "")</f>
        <v/>
      </c>
      <c r="J280" s="43"/>
      <c r="K280" s="44" t="str">
        <f>IF(SUM(M280:N280)=0,"",SUM(M280:N280))</f>
        <v/>
      </c>
      <c r="L280" s="64"/>
      <c r="M280" s="44"/>
      <c r="N280" s="54"/>
      <c r="O280" s="25" t="e">
        <f>VLOOKUP(I280,'Shipping Program'!$A$32:$B$78,2)-1</f>
        <v>#N/A</v>
      </c>
      <c r="P280" s="44" t="e">
        <f>O280</f>
        <v>#N/A</v>
      </c>
      <c r="Q280" s="24" t="e">
        <f>R280-7</f>
        <v>#VALUE!</v>
      </c>
      <c r="R280" s="24" t="str">
        <f>IFERROR(_xlfn.XLOOKUP(P280,'Shipping Program'!$B$32:$B$78,'Shipping Program'!$A$32:$A$78),IFERROR(INDEX(_V7Batches!$B:$B,MATCH(P280&amp;"",_V7Batches!$A:$A,0)),""))</f>
        <v/>
      </c>
      <c r="S280" s="24" t="str">
        <f>IFERROR(_xlfn.XLOOKUP(P280,'Shipping Program'!$B$32:$B$78,'Shipping Program'!$E$32:$E$78),IFERROR(INDEX(_V7Batches!$D:$D,MATCH(P280&amp;"",_V7Batches!$A:$A,0)),""))</f>
        <v/>
      </c>
      <c r="T280" s="24" t="e">
        <f>S280+'Shipping Program'!$H$9</f>
        <v>#VALUE!</v>
      </c>
      <c r="U280" s="25" t="str">
        <f>IFERROR(IF(J280*T280&lt;&gt;0,J280-T280,""),"")</f>
        <v/>
      </c>
      <c r="V280" s="25" t="str">
        <f>IF(U280&lt;&gt;"",IF(U280&gt;28,"Too early",IF(U280&lt;14,"Too late","")),"")</f>
        <v/>
      </c>
      <c r="W280" s="35"/>
      <c r="X280" s="26" t="str">
        <f ca="1">IF(OFFSET(X280,1,0)="",R280,OFFSET(X280,1,0))</f>
        <v/>
      </c>
      <c r="Y280" s="26" t="e">
        <f ca="1">IF(OFFSET(Y280,1,0)="",X280+'Shipping Program'!$F$9,OFFSET(Y280,1,0))</f>
        <v>#VALUE!</v>
      </c>
      <c r="Z280" s="26" t="e">
        <f ca="1">IF(OFFSET(Z280,1,0)="",Y280+'Shipping Program'!$H$9,OFFSET(Z280,1,0))</f>
        <v>#VALUE!</v>
      </c>
      <c r="AA280" s="27" t="str">
        <f ca="1">IFERROR(IF(J280*Z280&lt;&gt;0,J280-Z280,""),"")</f>
        <v/>
      </c>
      <c r="AB280" s="27" t="str">
        <f ca="1">IF(AA280&lt;&gt;"",IF(AA280&gt;28,"Too early",IF(AA280&lt;14,"Too late","")),"")</f>
        <v/>
      </c>
      <c r="AC280" s="46"/>
      <c r="AE280" s="80" t="s">
        <v>43</v>
      </c>
      <c r="AF280" s="80" t="s">
        <v>46</v>
      </c>
      <c r="AG280" s="80" t="s">
        <v>42</v>
      </c>
      <c r="AH280" s="80" t="str">
        <f>IF(AI280="","",AI280*AJ280*AK280/1000/1000/1000)</f>
        <v/>
      </c>
      <c r="AI280" s="80"/>
      <c r="AJ280" s="80"/>
      <c r="AK280" s="80"/>
    </row>
    <row r="281" spans="1:37" ht="20.100000000000001" customHeight="1">
      <c r="A281" s="33">
        <f ca="1">COUNTIF(J$3:OFFSET(J281,-1,0),"Subtotal:")+1</f>
        <v>18</v>
      </c>
      <c r="B281" s="62" t="str">
        <f ca="1">IF(OFFSET(B281,1,0)&lt;&gt;"",OFFSET(B281,1,0),"")</f>
        <v/>
      </c>
      <c r="C281" s="63"/>
      <c r="D281" s="59" t="s">
        <v>95</v>
      </c>
      <c r="E281" s="60" t="str">
        <f>LEFT(F281,3)</f>
        <v>#06</v>
      </c>
      <c r="F281" s="59" t="s">
        <v>228</v>
      </c>
      <c r="G281" s="59" t="s">
        <v>183</v>
      </c>
      <c r="H281" s="60"/>
      <c r="I281" s="24" t="str">
        <f>IF(J281&lt;&gt;"",J281 - ('Shipping Program'!$D$9 + 'Shipping Program'!$F$9 + 'Shipping Program'!$H$9), "")</f>
        <v/>
      </c>
      <c r="J281" s="43"/>
      <c r="K281" s="44" t="str">
        <f>IF(SUM(M281:N281)=0,"",SUM(M281:N281))</f>
        <v/>
      </c>
      <c r="L281" s="64"/>
      <c r="M281" s="44"/>
      <c r="N281" s="54"/>
      <c r="O281" s="25" t="e">
        <f>VLOOKUP(I281,'Shipping Program'!$A$32:$B$78,2)-1</f>
        <v>#N/A</v>
      </c>
      <c r="P281" s="44" t="e">
        <f>O281</f>
        <v>#N/A</v>
      </c>
      <c r="Q281" s="24" t="e">
        <f>R281-7</f>
        <v>#VALUE!</v>
      </c>
      <c r="R281" s="24" t="str">
        <f>IFERROR(_xlfn.XLOOKUP(P281,'Shipping Program'!$B$32:$B$78,'Shipping Program'!$A$32:$A$78),IFERROR(INDEX(_V7Batches!$B:$B,MATCH(P281&amp;"",_V7Batches!$A:$A,0)),""))</f>
        <v/>
      </c>
      <c r="S281" s="24" t="str">
        <f>IFERROR(_xlfn.XLOOKUP(P281,'Shipping Program'!$B$32:$B$78,'Shipping Program'!$E$32:$E$78),IFERROR(INDEX(_V7Batches!$D:$D,MATCH(P281&amp;"",_V7Batches!$A:$A,0)),""))</f>
        <v/>
      </c>
      <c r="T281" s="24" t="e">
        <f>S281+'Shipping Program'!$H$9</f>
        <v>#VALUE!</v>
      </c>
      <c r="U281" s="25" t="str">
        <f>IFERROR(IF(J281*T281&lt;&gt;0,J281-T281,""),"")</f>
        <v/>
      </c>
      <c r="V281" s="25" t="str">
        <f>IF(U281&lt;&gt;"",IF(U281&gt;28,"Too early",IF(U281&lt;14,"Too late","")),"")</f>
        <v/>
      </c>
      <c r="W281" s="35"/>
      <c r="X281" s="26" t="str">
        <f ca="1">IF(OFFSET(X281,1,0)="",R281,OFFSET(X281,1,0))</f>
        <v/>
      </c>
      <c r="Y281" s="26" t="e">
        <f ca="1">IF(OFFSET(Y281,1,0)="",X281+'Shipping Program'!$F$9,OFFSET(Y281,1,0))</f>
        <v>#VALUE!</v>
      </c>
      <c r="Z281" s="26" t="e">
        <f ca="1">IF(OFFSET(Z281,1,0)="",Y281+'Shipping Program'!$H$9,OFFSET(Z281,1,0))</f>
        <v>#VALUE!</v>
      </c>
      <c r="AA281" s="27" t="str">
        <f ca="1">IFERROR(IF(J281*Z281&lt;&gt;0,J281-Z281,""),"")</f>
        <v/>
      </c>
      <c r="AB281" s="27" t="str">
        <f ca="1">IF(AA281&lt;&gt;"",IF(AA281&gt;28,"Too early",IF(AA281&lt;14,"Too late","")),"")</f>
        <v/>
      </c>
      <c r="AC281" s="46"/>
      <c r="AE281" s="80" t="s">
        <v>43</v>
      </c>
      <c r="AF281" s="80" t="s">
        <v>46</v>
      </c>
      <c r="AG281" s="80" t="s">
        <v>42</v>
      </c>
      <c r="AH281" s="80" t="str">
        <f>IF(AI281="","",AI281*AJ281*AK281/1000/1000/1000)</f>
        <v/>
      </c>
      <c r="AI281" s="80"/>
      <c r="AJ281" s="80"/>
      <c r="AK281" s="80"/>
    </row>
    <row r="282" spans="1:37" ht="20.100000000000001" customHeight="1">
      <c r="A282" s="33">
        <f ca="1">COUNTIF(J$3:OFFSET(J282,-1,0),"Subtotal:")+1</f>
        <v>18</v>
      </c>
      <c r="B282" s="62" t="str">
        <f ca="1">IF(OFFSET(B282,1,0)&lt;&gt;"",OFFSET(B282,1,0),"")</f>
        <v/>
      </c>
      <c r="C282" s="63"/>
      <c r="D282" s="59" t="s">
        <v>95</v>
      </c>
      <c r="E282" s="60" t="str">
        <f>LEFT(F282,3)</f>
        <v>#06</v>
      </c>
      <c r="F282" s="59" t="s">
        <v>229</v>
      </c>
      <c r="G282" s="59"/>
      <c r="H282" s="60"/>
      <c r="I282" s="24" t="str">
        <f>IF(J282&lt;&gt;"",J282 - ('Shipping Program'!$D$9 + 'Shipping Program'!$F$9 + 'Shipping Program'!$H$9), "")</f>
        <v/>
      </c>
      <c r="J282" s="43"/>
      <c r="K282" s="44" t="str">
        <f>IF(SUM(M282:N282)=0,"",SUM(M282:N282))</f>
        <v/>
      </c>
      <c r="L282" s="64"/>
      <c r="M282" s="44"/>
      <c r="N282" s="54"/>
      <c r="O282" s="25" t="e">
        <f>VLOOKUP(I282,'Shipping Program'!$A$32:$B$78,2)-1</f>
        <v>#N/A</v>
      </c>
      <c r="P282" s="44" t="e">
        <f>O282</f>
        <v>#N/A</v>
      </c>
      <c r="Q282" s="24" t="e">
        <f>R282-7</f>
        <v>#VALUE!</v>
      </c>
      <c r="R282" s="24" t="str">
        <f>IFERROR(_xlfn.XLOOKUP(P282,'Shipping Program'!$B$32:$B$78,'Shipping Program'!$A$32:$A$78),IFERROR(INDEX(_V7Batches!$B:$B,MATCH(P282&amp;"",_V7Batches!$A:$A,0)),""))</f>
        <v/>
      </c>
      <c r="S282" s="24" t="str">
        <f>IFERROR(_xlfn.XLOOKUP(P282,'Shipping Program'!$B$32:$B$78,'Shipping Program'!$E$32:$E$78),IFERROR(INDEX(_V7Batches!$D:$D,MATCH(P282&amp;"",_V7Batches!$A:$A,0)),""))</f>
        <v/>
      </c>
      <c r="T282" s="24" t="e">
        <f>S282+'Shipping Program'!$H$9</f>
        <v>#VALUE!</v>
      </c>
      <c r="U282" s="25" t="str">
        <f>IFERROR(IF(J282*T282&lt;&gt;0,J282-T282,""),"")</f>
        <v/>
      </c>
      <c r="V282" s="25" t="str">
        <f>IF(U282&lt;&gt;"",IF(U282&gt;28,"Too early",IF(U282&lt;14,"Too late","")),"")</f>
        <v/>
      </c>
      <c r="W282" s="35"/>
      <c r="X282" s="26" t="str">
        <f ca="1">IF(OFFSET(X282,1,0)="",R282,OFFSET(X282,1,0))</f>
        <v/>
      </c>
      <c r="Y282" s="26" t="e">
        <f ca="1">IF(OFFSET(Y282,1,0)="",X282+'Shipping Program'!$F$9,OFFSET(Y282,1,0))</f>
        <v>#VALUE!</v>
      </c>
      <c r="Z282" s="26" t="e">
        <f ca="1">IF(OFFSET(Z282,1,0)="",Y282+'Shipping Program'!$H$9,OFFSET(Z282,1,0))</f>
        <v>#VALUE!</v>
      </c>
      <c r="AA282" s="27" t="str">
        <f ca="1">IFERROR(IF(J282*Z282&lt;&gt;0,J282-Z282,""),"")</f>
        <v/>
      </c>
      <c r="AB282" s="27" t="str">
        <f ca="1">IF(AA282&lt;&gt;"",IF(AA282&gt;28,"Too early",IF(AA282&lt;14,"Too late","")),"")</f>
        <v/>
      </c>
      <c r="AC282" s="46"/>
      <c r="AE282" s="80" t="s">
        <v>43</v>
      </c>
      <c r="AF282" s="80" t="s">
        <v>46</v>
      </c>
      <c r="AG282" s="80" t="s">
        <v>42</v>
      </c>
      <c r="AH282" s="80" t="str">
        <f>IF(AI282="","",AI282*AJ282*AK282/1000/1000/1000)</f>
        <v/>
      </c>
      <c r="AI282" s="80"/>
      <c r="AJ282" s="80"/>
      <c r="AK282" s="80"/>
    </row>
    <row r="283" spans="1:37" ht="20.100000000000001" customHeight="1">
      <c r="A283" s="33">
        <f ca="1">COUNTIF(J$3:OFFSET(J283,-1,0),"Subtotal:")+1</f>
        <v>18</v>
      </c>
      <c r="B283" s="62" t="str">
        <f ca="1">IF(OFFSET(B283,1,0)&lt;&gt;"",OFFSET(B283,1,0),"")</f>
        <v/>
      </c>
      <c r="C283" s="63"/>
      <c r="D283" s="59" t="s">
        <v>95</v>
      </c>
      <c r="E283" s="60" t="str">
        <f>LEFT(F283,3)</f>
        <v>#06</v>
      </c>
      <c r="F283" s="59" t="s">
        <v>152</v>
      </c>
      <c r="G283" s="59" t="s">
        <v>96</v>
      </c>
      <c r="H283" s="60"/>
      <c r="I283" s="24" t="str">
        <f>IF(J283&lt;&gt;"",J283 - ('Shipping Program'!$D$9 + 'Shipping Program'!$F$9 + 'Shipping Program'!$H$9), "")</f>
        <v/>
      </c>
      <c r="J283" s="43"/>
      <c r="K283" s="44" t="str">
        <f>IF(SUM(M283:N283)=0,"",SUM(M283:N283))</f>
        <v/>
      </c>
      <c r="L283" s="64"/>
      <c r="M283" s="44"/>
      <c r="N283" s="54"/>
      <c r="O283" s="25" t="e">
        <f>VLOOKUP(I283,'Shipping Program'!$A$32:$B$78,2)-1</f>
        <v>#N/A</v>
      </c>
      <c r="P283" s="44" t="e">
        <f>O283</f>
        <v>#N/A</v>
      </c>
      <c r="Q283" s="24" t="e">
        <f>R283-7</f>
        <v>#VALUE!</v>
      </c>
      <c r="R283" s="24" t="str">
        <f>IFERROR(_xlfn.XLOOKUP(P283,'Shipping Program'!$B$32:$B$78,'Shipping Program'!$A$32:$A$78),IFERROR(INDEX(_V7Batches!$B:$B,MATCH(P283&amp;"",_V7Batches!$A:$A,0)),""))</f>
        <v/>
      </c>
      <c r="S283" s="24" t="str">
        <f>IFERROR(_xlfn.XLOOKUP(P283,'Shipping Program'!$B$32:$B$78,'Shipping Program'!$E$32:$E$78),IFERROR(INDEX(_V7Batches!$D:$D,MATCH(P283&amp;"",_V7Batches!$A:$A,0)),""))</f>
        <v/>
      </c>
      <c r="T283" s="24" t="e">
        <f>S283+'Shipping Program'!$H$9</f>
        <v>#VALUE!</v>
      </c>
      <c r="U283" s="25" t="str">
        <f>IFERROR(IF(J283*T283&lt;&gt;0,J283-T283,""),"")</f>
        <v/>
      </c>
      <c r="V283" s="25" t="str">
        <f>IF(U283&lt;&gt;"",IF(U283&gt;28,"Too early",IF(U283&lt;14,"Too late","")),"")</f>
        <v/>
      </c>
      <c r="W283" s="35"/>
      <c r="X283" s="26" t="str">
        <f ca="1">IF(OFFSET(X283,1,0)="",R283,OFFSET(X283,1,0))</f>
        <v/>
      </c>
      <c r="Y283" s="26" t="e">
        <f ca="1">IF(OFFSET(Y283,1,0)="",X283+'Shipping Program'!$F$9,OFFSET(Y283,1,0))</f>
        <v>#VALUE!</v>
      </c>
      <c r="Z283" s="26" t="e">
        <f ca="1">IF(OFFSET(Z283,1,0)="",Y283+'Shipping Program'!$H$9,OFFSET(Z283,1,0))</f>
        <v>#VALUE!</v>
      </c>
      <c r="AA283" s="27" t="str">
        <f ca="1">IFERROR(IF(J283*Z283&lt;&gt;0,J283-Z283,""),"")</f>
        <v/>
      </c>
      <c r="AB283" s="27" t="str">
        <f ca="1">IF(AA283&lt;&gt;"",IF(AA283&gt;28,"Too early",IF(AA283&lt;14,"Too late","")),"")</f>
        <v/>
      </c>
      <c r="AC283" s="46"/>
      <c r="AE283" s="80" t="s">
        <v>43</v>
      </c>
      <c r="AF283" s="80" t="s">
        <v>46</v>
      </c>
      <c r="AG283" s="80" t="s">
        <v>42</v>
      </c>
      <c r="AH283" s="80" t="str">
        <f>IF(AI283="","",AI283*AJ283*AK283/1000/1000/1000)</f>
        <v/>
      </c>
      <c r="AI283" s="80"/>
      <c r="AJ283" s="80"/>
      <c r="AK283" s="80"/>
    </row>
    <row r="284" spans="1:37" ht="20.100000000000001" customHeight="1">
      <c r="A284" s="33">
        <f ca="1">COUNTIF(J$3:OFFSET(J284,-1,0),"Subtotal:")+1</f>
        <v>18</v>
      </c>
      <c r="B284" s="23" t="str">
        <f ca="1">IF(OFFSET(B284,1,0)&lt;&gt;"",OFFSET(B284,1,0),"")</f>
        <v/>
      </c>
      <c r="C284" s="42"/>
      <c r="D284" s="59" t="s">
        <v>111</v>
      </c>
      <c r="E284" s="60"/>
      <c r="F284" s="59" t="s">
        <v>3</v>
      </c>
      <c r="G284" s="59" t="s">
        <v>112</v>
      </c>
      <c r="H284" s="60"/>
      <c r="I284" s="24" t="str">
        <f>IF(J284&lt;&gt;"",J284 - ('Shipping Program'!$D$9 + 'Shipping Program'!$F$9 + 'Shipping Program'!$H$9), "")</f>
        <v/>
      </c>
      <c r="J284" s="43"/>
      <c r="K284" s="44" t="str">
        <f>IF(SUM(M284:N284)=0,"",SUM(M284:N284))</f>
        <v/>
      </c>
      <c r="L284" s="44"/>
      <c r="M284" s="44"/>
      <c r="N284" s="54"/>
      <c r="O284" s="25" t="e">
        <f>VLOOKUP(I284,'Shipping Program'!$A$32:$B$78,2)-1</f>
        <v>#N/A</v>
      </c>
      <c r="P284" s="44" t="e">
        <f>O284</f>
        <v>#N/A</v>
      </c>
      <c r="Q284" s="24" t="e">
        <f>R284-7</f>
        <v>#VALUE!</v>
      </c>
      <c r="R284" s="24" t="str">
        <f>IFERROR(_xlfn.XLOOKUP(P284,'Shipping Program'!$B$32:$B$78,'Shipping Program'!$A$32:$A$78),IFERROR(INDEX(_V7Batches!$B:$B,MATCH(P284&amp;"",_V7Batches!$A:$A,0)),""))</f>
        <v/>
      </c>
      <c r="S284" s="24" t="str">
        <f>IFERROR(_xlfn.XLOOKUP(P284,'Shipping Program'!$B$32:$B$78,'Shipping Program'!$E$32:$E$78),IFERROR(INDEX(_V7Batches!$D:$D,MATCH(P284&amp;"",_V7Batches!$A:$A,0)),""))</f>
        <v/>
      </c>
      <c r="T284" s="24" t="e">
        <f>S284+'Shipping Program'!$H$9</f>
        <v>#VALUE!</v>
      </c>
      <c r="U284" s="25" t="str">
        <f>IFERROR(IF(J284*T284&lt;&gt;0,J284-T284,""),"")</f>
        <v/>
      </c>
      <c r="V284" s="25" t="str">
        <f>IF(U284&lt;&gt;"",IF(U284&gt;28,"Too early",IF(U284&lt;14,"Too late","")),"")</f>
        <v/>
      </c>
      <c r="W284" s="35"/>
      <c r="X284" s="26" t="str">
        <f ca="1">IF(OFFSET(X284,1,0)="",R284,OFFSET(X284,1,0))</f>
        <v/>
      </c>
      <c r="Y284" s="26" t="e">
        <f ca="1">IF(OFFSET(Y284,1,0)="",X284+'Shipping Program'!$F$9,OFFSET(Y284,1,0))</f>
        <v>#VALUE!</v>
      </c>
      <c r="Z284" s="26" t="e">
        <f ca="1">IF(OFFSET(Z284,1,0)="",Y284+'Shipping Program'!$H$9,OFFSET(Z284,1,0))</f>
        <v>#VALUE!</v>
      </c>
      <c r="AA284" s="27" t="str">
        <f ca="1">IFERROR(IF(J284*Z284&lt;&gt;0,J284-Z284,""),"")</f>
        <v/>
      </c>
      <c r="AB284" s="27" t="str">
        <f ca="1">IF(AA284&lt;&gt;"",IF(AA284&gt;28,"Too early",IF(AA284&lt;14,"Too late","")),"")</f>
        <v/>
      </c>
      <c r="AC284" s="46"/>
      <c r="AE284" s="80" t="s">
        <v>43</v>
      </c>
      <c r="AF284" s="80" t="s">
        <v>41</v>
      </c>
      <c r="AG284" s="80" t="s">
        <v>42</v>
      </c>
      <c r="AH284" s="80" t="str">
        <f>IF(AI284="","",AI284*AJ284*AK284/1000/1000/1000)</f>
        <v/>
      </c>
      <c r="AI284" s="80"/>
      <c r="AJ284" s="80"/>
      <c r="AK284" s="80"/>
    </row>
    <row r="285" spans="1:37" ht="20.100000000000001" customHeight="1">
      <c r="A285" s="33">
        <f ca="1">COUNTIF(J$3:OFFSET(J285,-1,0),"Subtotal:")+1</f>
        <v>18</v>
      </c>
      <c r="B285" s="23" t="str">
        <f ca="1">IF(OFFSET(B285,1,0)&lt;&gt;"",OFFSET(B285,1,0),"")</f>
        <v/>
      </c>
      <c r="C285" s="42"/>
      <c r="D285" s="59" t="s">
        <v>99</v>
      </c>
      <c r="E285" s="60" t="str">
        <f>LEFT(F285,3)</f>
        <v>#10</v>
      </c>
      <c r="F285" s="59" t="s">
        <v>155</v>
      </c>
      <c r="G285" s="59" t="s">
        <v>100</v>
      </c>
      <c r="H285" s="61">
        <v>765</v>
      </c>
      <c r="I285" s="24" t="str">
        <f>IF(J285&lt;&gt;"",J285 - ('Shipping Program'!$D$9 + 'Shipping Program'!$F$9 + 'Shipping Program'!$H$9), "")</f>
        <v/>
      </c>
      <c r="J285" s="43"/>
      <c r="K285" s="44" t="str">
        <f>IF(SUM(M285:N285)=0,"",SUM(M285:N285))</f>
        <v/>
      </c>
      <c r="L285" s="44"/>
      <c r="M285" s="44"/>
      <c r="N285" s="54"/>
      <c r="O285" s="25" t="e">
        <f>VLOOKUP(I285,'Shipping Program'!$A$32:$B$78,2)-1</f>
        <v>#N/A</v>
      </c>
      <c r="P285" s="44" t="e">
        <f>O285</f>
        <v>#N/A</v>
      </c>
      <c r="Q285" s="24" t="e">
        <f>R285-7</f>
        <v>#VALUE!</v>
      </c>
      <c r="R285" s="24" t="str">
        <f>IFERROR(_xlfn.XLOOKUP(P285,'Shipping Program'!$B$32:$B$78,'Shipping Program'!$A$32:$A$78),IFERROR(INDEX(_V7Batches!$B:$B,MATCH(P285&amp;"",_V7Batches!$A:$A,0)),""))</f>
        <v/>
      </c>
      <c r="S285" s="24" t="str">
        <f>IFERROR(_xlfn.XLOOKUP(P285,'Shipping Program'!$B$32:$B$78,'Shipping Program'!$E$32:$E$78),IFERROR(INDEX(_V7Batches!$D:$D,MATCH(P285&amp;"",_V7Batches!$A:$A,0)),""))</f>
        <v/>
      </c>
      <c r="T285" s="24" t="e">
        <f>S285+'Shipping Program'!$H$9</f>
        <v>#VALUE!</v>
      </c>
      <c r="U285" s="25" t="str">
        <f>IFERROR(IF(J285*T285&lt;&gt;0,J285-T285,""),"")</f>
        <v/>
      </c>
      <c r="V285" s="25" t="str">
        <f>IF(U285&lt;&gt;"",IF(U285&gt;28,"Too early",IF(U285&lt;14,"Too late","")),"")</f>
        <v/>
      </c>
      <c r="W285" s="35"/>
      <c r="X285" s="26" t="str">
        <f ca="1">IF(OFFSET(X285,1,0)="",R285,OFFSET(X285,1,0))</f>
        <v/>
      </c>
      <c r="Y285" s="26" t="e">
        <f ca="1">IF(OFFSET(Y285,1,0)="",X285+'Shipping Program'!$F$9,OFFSET(Y285,1,0))</f>
        <v>#VALUE!</v>
      </c>
      <c r="Z285" s="26" t="e">
        <f ca="1">IF(OFFSET(Z285,1,0)="",Y285+'Shipping Program'!$H$9,OFFSET(Z285,1,0))</f>
        <v>#VALUE!</v>
      </c>
      <c r="AA285" s="27" t="str">
        <f ca="1">IFERROR(IF(J285*Z285&lt;&gt;0,J285-Z285,""),"")</f>
        <v/>
      </c>
      <c r="AB285" s="27" t="str">
        <f ca="1">IF(AA285&lt;&gt;"",IF(AA285&gt;28,"Too early",IF(AA285&lt;14,"Too late","")),"")</f>
        <v/>
      </c>
      <c r="AC285" s="46"/>
      <c r="AE285" s="80" t="s">
        <v>43</v>
      </c>
      <c r="AF285" s="80" t="s">
        <v>41</v>
      </c>
      <c r="AG285" s="80" t="s">
        <v>42</v>
      </c>
      <c r="AH285" s="80" t="str">
        <f>IF(AI285="","",AI285*AJ285*AK285/1000/1000/1000)</f>
        <v/>
      </c>
      <c r="AI285" s="80"/>
      <c r="AJ285" s="80"/>
      <c r="AK285" s="80"/>
    </row>
    <row r="286" spans="1:37" ht="20.100000000000001" customHeight="1">
      <c r="A286" s="33">
        <f ca="1">COUNTIF(J$3:OFFSET(J286,-1,0),"Subtotal:")+1</f>
        <v>18</v>
      </c>
      <c r="B286" s="23" t="str">
        <f ca="1">IF(OFFSET(B286,1,0)&lt;&gt;"",OFFSET(B286,1,0),"")</f>
        <v/>
      </c>
      <c r="C286" s="42"/>
      <c r="D286" s="64" t="s">
        <v>101</v>
      </c>
      <c r="E286" s="60" t="str">
        <f>LEFT(F286,3)</f>
        <v>#10</v>
      </c>
      <c r="F286" s="59" t="s">
        <v>155</v>
      </c>
      <c r="G286" s="59" t="s">
        <v>256</v>
      </c>
      <c r="H286" s="67">
        <v>785</v>
      </c>
      <c r="I286" s="24" t="str">
        <f>IF(J286&lt;&gt;"",J286 - ('Shipping Program'!$D$9 + 'Shipping Program'!$F$9 + 'Shipping Program'!$H$9), "")</f>
        <v/>
      </c>
      <c r="J286" s="43"/>
      <c r="K286" s="44" t="str">
        <f>IF(SUM(M286:N286)=0,"",SUM(M286:N286))</f>
        <v/>
      </c>
      <c r="L286" s="44"/>
      <c r="M286" s="44"/>
      <c r="N286" s="54"/>
      <c r="O286" s="25" t="e">
        <f>VLOOKUP(I286,'Shipping Program'!$A$32:$B$78,2)-1</f>
        <v>#N/A</v>
      </c>
      <c r="P286" s="44" t="e">
        <f>O286</f>
        <v>#N/A</v>
      </c>
      <c r="Q286" s="24" t="e">
        <f>R286-7</f>
        <v>#VALUE!</v>
      </c>
      <c r="R286" s="24" t="str">
        <f>IFERROR(_xlfn.XLOOKUP(P286,'Shipping Program'!$B$32:$B$78,'Shipping Program'!$A$32:$A$78),IFERROR(INDEX(_V7Batches!$B:$B,MATCH(P286&amp;"",_V7Batches!$A:$A,0)),""))</f>
        <v/>
      </c>
      <c r="S286" s="24" t="str">
        <f>IFERROR(_xlfn.XLOOKUP(P286,'Shipping Program'!$B$32:$B$78,'Shipping Program'!$E$32:$E$78),IFERROR(INDEX(_V7Batches!$D:$D,MATCH(P286&amp;"",_V7Batches!$A:$A,0)),""))</f>
        <v/>
      </c>
      <c r="T286" s="24" t="e">
        <f>S286+'Shipping Program'!$H$9</f>
        <v>#VALUE!</v>
      </c>
      <c r="U286" s="25" t="str">
        <f>IFERROR(IF(J286*T286&lt;&gt;0,J286-T286,""),"")</f>
        <v/>
      </c>
      <c r="V286" s="25" t="str">
        <f>IF(U286&lt;&gt;"",IF(U286&gt;28,"Too early",IF(U286&lt;14,"Too late","")),"")</f>
        <v/>
      </c>
      <c r="W286" s="35"/>
      <c r="X286" s="26" t="str">
        <f ca="1">IF(OFFSET(X286,1,0)="",R286,OFFSET(X286,1,0))</f>
        <v/>
      </c>
      <c r="Y286" s="26" t="e">
        <f ca="1">IF(OFFSET(Y286,1,0)="",X286+'Shipping Program'!$F$9,OFFSET(Y286,1,0))</f>
        <v>#VALUE!</v>
      </c>
      <c r="Z286" s="26" t="e">
        <f ca="1">IF(OFFSET(Z286,1,0)="",Y286+'Shipping Program'!$H$9,OFFSET(Z286,1,0))</f>
        <v>#VALUE!</v>
      </c>
      <c r="AA286" s="27" t="str">
        <f ca="1">IFERROR(IF(J286*Z286&lt;&gt;0,J286-Z286,""),"")</f>
        <v/>
      </c>
      <c r="AB286" s="27" t="str">
        <f ca="1">IF(AA286&lt;&gt;"",IF(AA286&gt;28,"Too early",IF(AA286&lt;14,"Too late","")),"")</f>
        <v/>
      </c>
      <c r="AC286" s="46"/>
      <c r="AE286" s="80" t="s">
        <v>43</v>
      </c>
      <c r="AF286" s="80" t="s">
        <v>41</v>
      </c>
      <c r="AG286" s="80" t="s">
        <v>42</v>
      </c>
      <c r="AH286" s="80" t="str">
        <f>IF(AI286="","",AI286*AJ286*AK286/1000/1000/1000)</f>
        <v/>
      </c>
      <c r="AI286" s="80"/>
      <c r="AJ286" s="80"/>
      <c r="AK286" s="80"/>
    </row>
    <row r="287" spans="1:37" ht="20.100000000000001" customHeight="1">
      <c r="A287" s="33">
        <f ca="1">COUNTIF(J$3:OFFSET(J287,-1,0),"Subtotal:")+1</f>
        <v>18</v>
      </c>
      <c r="B287" s="23" t="str">
        <f ca="1">IF(OFFSET(B287,1,0)&lt;&gt;"",OFFSET(B287,1,0),"")</f>
        <v/>
      </c>
      <c r="C287" s="42"/>
      <c r="D287" s="59" t="s">
        <v>102</v>
      </c>
      <c r="E287" s="60" t="str">
        <f>LEFT(F287,3)</f>
        <v>#10</v>
      </c>
      <c r="F287" s="59" t="s">
        <v>155</v>
      </c>
      <c r="G287" s="59" t="s">
        <v>255</v>
      </c>
      <c r="H287" s="61">
        <v>782</v>
      </c>
      <c r="I287" s="24" t="str">
        <f>IF(J287&lt;&gt;"",J287 - ('Shipping Program'!$D$9 + 'Shipping Program'!$F$9 + 'Shipping Program'!$H$9), "")</f>
        <v/>
      </c>
      <c r="J287" s="43"/>
      <c r="K287" s="44" t="str">
        <f>IF(SUM(M287:N287)=0,"",SUM(M287:N287))</f>
        <v/>
      </c>
      <c r="L287" s="44"/>
      <c r="M287" s="44"/>
      <c r="N287" s="54"/>
      <c r="O287" s="25" t="e">
        <f>VLOOKUP(I287,'Shipping Program'!$A$32:$B$78,2)-1</f>
        <v>#N/A</v>
      </c>
      <c r="P287" s="44" t="e">
        <f>O287</f>
        <v>#N/A</v>
      </c>
      <c r="Q287" s="24" t="e">
        <f>R287-7</f>
        <v>#VALUE!</v>
      </c>
      <c r="R287" s="24" t="str">
        <f>IFERROR(_xlfn.XLOOKUP(P287,'Shipping Program'!$B$32:$B$78,'Shipping Program'!$A$32:$A$78),IFERROR(INDEX(_V7Batches!$B:$B,MATCH(P287&amp;"",_V7Batches!$A:$A,0)),""))</f>
        <v/>
      </c>
      <c r="S287" s="24" t="str">
        <f>IFERROR(_xlfn.XLOOKUP(P287,'Shipping Program'!$B$32:$B$78,'Shipping Program'!$E$32:$E$78),IFERROR(INDEX(_V7Batches!$D:$D,MATCH(P287&amp;"",_V7Batches!$A:$A,0)),""))</f>
        <v/>
      </c>
      <c r="T287" s="24" t="e">
        <f>S287+'Shipping Program'!$H$9</f>
        <v>#VALUE!</v>
      </c>
      <c r="U287" s="25" t="str">
        <f>IFERROR(IF(J287*T287&lt;&gt;0,J287-T287,""),"")</f>
        <v/>
      </c>
      <c r="V287" s="25" t="str">
        <f>IF(U287&lt;&gt;"",IF(U287&gt;28,"Too early",IF(U287&lt;14,"Too late","")),"")</f>
        <v/>
      </c>
      <c r="W287" s="35"/>
      <c r="X287" s="26" t="str">
        <f ca="1">IF(OFFSET(X287,1,0)="",R287,OFFSET(X287,1,0))</f>
        <v/>
      </c>
      <c r="Y287" s="26" t="e">
        <f ca="1">IF(OFFSET(Y287,1,0)="",X287+'Shipping Program'!$F$9,OFFSET(Y287,1,0))</f>
        <v>#VALUE!</v>
      </c>
      <c r="Z287" s="26" t="e">
        <f ca="1">IF(OFFSET(Z287,1,0)="",Y287+'Shipping Program'!$H$9,OFFSET(Z287,1,0))</f>
        <v>#VALUE!</v>
      </c>
      <c r="AA287" s="27" t="str">
        <f ca="1">IFERROR(IF(J287*Z287&lt;&gt;0,J287-Z287,""),"")</f>
        <v/>
      </c>
      <c r="AB287" s="27" t="str">
        <f ca="1">IF(AA287&lt;&gt;"",IF(AA287&gt;28,"Too early",IF(AA287&lt;14,"Too late","")),"")</f>
        <v/>
      </c>
      <c r="AC287" s="46"/>
      <c r="AE287" s="80" t="s">
        <v>43</v>
      </c>
      <c r="AF287" s="80" t="s">
        <v>41</v>
      </c>
      <c r="AG287" s="80" t="s">
        <v>42</v>
      </c>
      <c r="AH287" s="80" t="str">
        <f>IF(AI287="","",AI287*AJ287*AK287/1000/1000/1000)</f>
        <v/>
      </c>
      <c r="AI287" s="80"/>
      <c r="AJ287" s="80"/>
      <c r="AK287" s="80"/>
    </row>
    <row r="288" spans="1:37" ht="20.100000000000001" customHeight="1">
      <c r="A288" s="33">
        <f ca="1">COUNTIF(J$3:OFFSET(J288,-1,0),"Subtotal:")+1</f>
        <v>18</v>
      </c>
      <c r="B288" s="23" t="str">
        <f ca="1">IF(OFFSET(B288,1,0)&lt;&gt;"",OFFSET(B288,1,0),"")</f>
        <v/>
      </c>
      <c r="C288" s="42"/>
      <c r="D288" s="59" t="s">
        <v>103</v>
      </c>
      <c r="E288" s="60" t="str">
        <f>LEFT(F288,3)</f>
        <v>#10</v>
      </c>
      <c r="F288" s="59" t="s">
        <v>155</v>
      </c>
      <c r="G288" s="59" t="s">
        <v>258</v>
      </c>
      <c r="H288" s="61">
        <v>781</v>
      </c>
      <c r="I288" s="24" t="str">
        <f>IF(J288&lt;&gt;"",J288 - ('Shipping Program'!$D$9 + 'Shipping Program'!$F$9 + 'Shipping Program'!$H$9), "")</f>
        <v/>
      </c>
      <c r="J288" s="43"/>
      <c r="K288" s="44" t="str">
        <f>IF(SUM(M288:N288)=0,"",SUM(M288:N288))</f>
        <v/>
      </c>
      <c r="L288" s="44"/>
      <c r="M288" s="44"/>
      <c r="N288" s="54"/>
      <c r="O288" s="25" t="e">
        <f>VLOOKUP(I288,'Shipping Program'!$A$32:$B$78,2)-1</f>
        <v>#N/A</v>
      </c>
      <c r="P288" s="44" t="e">
        <f>O288</f>
        <v>#N/A</v>
      </c>
      <c r="Q288" s="24" t="e">
        <f>R288-7</f>
        <v>#VALUE!</v>
      </c>
      <c r="R288" s="24" t="str">
        <f>IFERROR(_xlfn.XLOOKUP(P288,'Shipping Program'!$B$32:$B$78,'Shipping Program'!$A$32:$A$78),IFERROR(INDEX(_V7Batches!$B:$B,MATCH(P288&amp;"",_V7Batches!$A:$A,0)),""))</f>
        <v/>
      </c>
      <c r="S288" s="24" t="str">
        <f>IFERROR(_xlfn.XLOOKUP(P288,'Shipping Program'!$B$32:$B$78,'Shipping Program'!$E$32:$E$78),IFERROR(INDEX(_V7Batches!$D:$D,MATCH(P288&amp;"",_V7Batches!$A:$A,0)),""))</f>
        <v/>
      </c>
      <c r="T288" s="24" t="e">
        <f>S288+'Shipping Program'!$H$9</f>
        <v>#VALUE!</v>
      </c>
      <c r="U288" s="25" t="str">
        <f>IFERROR(IF(J288*T288&lt;&gt;0,J288-T288,""),"")</f>
        <v/>
      </c>
      <c r="V288" s="25" t="str">
        <f>IF(U288&lt;&gt;"",IF(U288&gt;28,"Too early",IF(U288&lt;14,"Too late","")),"")</f>
        <v/>
      </c>
      <c r="W288" s="35"/>
      <c r="X288" s="26" t="str">
        <f ca="1">IF(OFFSET(X288,1,0)="",R288,OFFSET(X288,1,0))</f>
        <v/>
      </c>
      <c r="Y288" s="26" t="e">
        <f ca="1">IF(OFFSET(Y288,1,0)="",X288+'Shipping Program'!$F$9,OFFSET(Y288,1,0))</f>
        <v>#VALUE!</v>
      </c>
      <c r="Z288" s="26" t="e">
        <f ca="1">IF(OFFSET(Z288,1,0)="",Y288+'Shipping Program'!$H$9,OFFSET(Z288,1,0))</f>
        <v>#VALUE!</v>
      </c>
      <c r="AA288" s="27" t="str">
        <f ca="1">IFERROR(IF(J288*Z288&lt;&gt;0,J288-Z288,""),"")</f>
        <v/>
      </c>
      <c r="AB288" s="27" t="str">
        <f ca="1">IF(AA288&lt;&gt;"",IF(AA288&gt;28,"Too early",IF(AA288&lt;14,"Too late","")),"")</f>
        <v/>
      </c>
      <c r="AC288" s="46"/>
      <c r="AE288" s="80" t="s">
        <v>43</v>
      </c>
      <c r="AF288" s="80" t="s">
        <v>41</v>
      </c>
      <c r="AG288" s="80" t="s">
        <v>42</v>
      </c>
      <c r="AH288" s="80" t="str">
        <f>IF(AI288="","",AI288*AJ288*AK288/1000/1000/1000)</f>
        <v/>
      </c>
      <c r="AI288" s="80"/>
      <c r="AJ288" s="80"/>
      <c r="AK288" s="80"/>
    </row>
    <row r="289" spans="1:37" ht="20.100000000000001" customHeight="1">
      <c r="A289" s="33">
        <f ca="1">COUNTIF(J$3:OFFSET(J289,-1,0),"Subtotal:")+1</f>
        <v>18</v>
      </c>
      <c r="B289" s="23" t="str">
        <f ca="1">IF(OFFSET(B289,1,0)&lt;&gt;"",OFFSET(B289,1,0),"")</f>
        <v/>
      </c>
      <c r="C289" s="42"/>
      <c r="D289" s="59" t="s">
        <v>104</v>
      </c>
      <c r="E289" s="60" t="str">
        <f>LEFT(F289,3)</f>
        <v>#10</v>
      </c>
      <c r="F289" s="59" t="s">
        <v>155</v>
      </c>
      <c r="G289" s="59" t="s">
        <v>257</v>
      </c>
      <c r="H289" s="61">
        <v>784</v>
      </c>
      <c r="I289" s="24" t="str">
        <f>IF(J289&lt;&gt;"",J289 - ('Shipping Program'!$D$9 + 'Shipping Program'!$F$9 + 'Shipping Program'!$H$9), "")</f>
        <v/>
      </c>
      <c r="J289" s="43"/>
      <c r="K289" s="44" t="str">
        <f>IF(SUM(M289:N289)=0,"",SUM(M289:N289))</f>
        <v/>
      </c>
      <c r="L289" s="44"/>
      <c r="M289" s="44"/>
      <c r="N289" s="54"/>
      <c r="O289" s="25" t="e">
        <f>VLOOKUP(I289,'Shipping Program'!$A$32:$B$78,2)-1</f>
        <v>#N/A</v>
      </c>
      <c r="P289" s="44" t="e">
        <f>O289</f>
        <v>#N/A</v>
      </c>
      <c r="Q289" s="24" t="e">
        <f>R289-7</f>
        <v>#VALUE!</v>
      </c>
      <c r="R289" s="24" t="str">
        <f>IFERROR(_xlfn.XLOOKUP(P289,'Shipping Program'!$B$32:$B$78,'Shipping Program'!$A$32:$A$78),IFERROR(INDEX(_V7Batches!$B:$B,MATCH(P289&amp;"",_V7Batches!$A:$A,0)),""))</f>
        <v/>
      </c>
      <c r="S289" s="24" t="str">
        <f>IFERROR(_xlfn.XLOOKUP(P289,'Shipping Program'!$B$32:$B$78,'Shipping Program'!$E$32:$E$78),IFERROR(INDEX(_V7Batches!$D:$D,MATCH(P289&amp;"",_V7Batches!$A:$A,0)),""))</f>
        <v/>
      </c>
      <c r="T289" s="24" t="e">
        <f>S289+'Shipping Program'!$H$9</f>
        <v>#VALUE!</v>
      </c>
      <c r="U289" s="25" t="str">
        <f>IFERROR(IF(J289*T289&lt;&gt;0,J289-T289,""),"")</f>
        <v/>
      </c>
      <c r="V289" s="25" t="str">
        <f>IF(U289&lt;&gt;"",IF(U289&gt;28,"Too early",IF(U289&lt;14,"Too late","")),"")</f>
        <v/>
      </c>
      <c r="W289" s="35"/>
      <c r="X289" s="26" t="str">
        <f ca="1">IF(OFFSET(X289,1,0)="",R289,OFFSET(X289,1,0))</f>
        <v/>
      </c>
      <c r="Y289" s="26" t="e">
        <f ca="1">IF(OFFSET(Y289,1,0)="",X289+'Shipping Program'!$F$9,OFFSET(Y289,1,0))</f>
        <v>#VALUE!</v>
      </c>
      <c r="Z289" s="26" t="e">
        <f ca="1">IF(OFFSET(Z289,1,0)="",Y289+'Shipping Program'!$H$9,OFFSET(Z289,1,0))</f>
        <v>#VALUE!</v>
      </c>
      <c r="AA289" s="27" t="str">
        <f ca="1">IFERROR(IF(J289*Z289&lt;&gt;0,J289-Z289,""),"")</f>
        <v/>
      </c>
      <c r="AB289" s="27" t="str">
        <f ca="1">IF(AA289&lt;&gt;"",IF(AA289&gt;28,"Too early",IF(AA289&lt;14,"Too late","")),"")</f>
        <v/>
      </c>
      <c r="AC289" s="46"/>
      <c r="AE289" s="80" t="s">
        <v>43</v>
      </c>
      <c r="AF289" s="80" t="s">
        <v>41</v>
      </c>
      <c r="AG289" s="80" t="s">
        <v>42</v>
      </c>
      <c r="AH289" s="80" t="str">
        <f>IF(AI289="","",AI289*AJ289*AK289/1000/1000/1000)</f>
        <v/>
      </c>
      <c r="AI289" s="80"/>
      <c r="AJ289" s="80"/>
      <c r="AK289" s="80"/>
    </row>
    <row r="290" spans="1:37" ht="20.100000000000001" customHeight="1">
      <c r="A290" s="33">
        <f ca="1">COUNTIF(J$3:OFFSET(J290,-1,0),"Subtotal:")+1</f>
        <v>18</v>
      </c>
      <c r="B290" s="23" t="str">
        <f ca="1">IF(OFFSET(B290,1,0)&lt;&gt;"",OFFSET(B290,1,0),"")</f>
        <v/>
      </c>
      <c r="C290" s="42"/>
      <c r="D290" s="59" t="s">
        <v>103</v>
      </c>
      <c r="E290" s="60" t="str">
        <f>LEFT(F290,3)</f>
        <v>#10</v>
      </c>
      <c r="F290" s="59" t="s">
        <v>155</v>
      </c>
      <c r="G290" s="59" t="s">
        <v>295</v>
      </c>
      <c r="H290" s="61">
        <v>781</v>
      </c>
      <c r="I290" s="24" t="str">
        <f>IF(J290&lt;&gt;"",J290 - ('Shipping Program'!$D$9 + 'Shipping Program'!$F$9 + 'Shipping Program'!$H$9), "")</f>
        <v/>
      </c>
      <c r="J290" s="43"/>
      <c r="K290" s="44" t="str">
        <f>IF(SUM(M290:N290)=0,"",SUM(M290:N290))</f>
        <v/>
      </c>
      <c r="L290" s="44"/>
      <c r="M290" s="44"/>
      <c r="N290" s="54"/>
      <c r="O290" s="25" t="e">
        <f>VLOOKUP(I290,'Shipping Program'!$A$32:$B$78,2)-1</f>
        <v>#N/A</v>
      </c>
      <c r="P290" s="44" t="e">
        <f>O290</f>
        <v>#N/A</v>
      </c>
      <c r="Q290" s="24" t="e">
        <f>R290-7</f>
        <v>#VALUE!</v>
      </c>
      <c r="R290" s="24" t="str">
        <f>IFERROR(_xlfn.XLOOKUP(P290,'Shipping Program'!$B$32:$B$78,'Shipping Program'!$A$32:$A$78),IFERROR(INDEX(_V7Batches!$B:$B,MATCH(P290&amp;"",_V7Batches!$A:$A,0)),""))</f>
        <v/>
      </c>
      <c r="S290" s="24" t="str">
        <f>IFERROR(_xlfn.XLOOKUP(P290,'Shipping Program'!$B$32:$B$78,'Shipping Program'!$E$32:$E$78),IFERROR(INDEX(_V7Batches!$D:$D,MATCH(P290&amp;"",_V7Batches!$A:$A,0)),""))</f>
        <v/>
      </c>
      <c r="T290" s="24" t="e">
        <f>S290+'Shipping Program'!$H$9</f>
        <v>#VALUE!</v>
      </c>
      <c r="U290" s="25" t="str">
        <f>IFERROR(IF(J290*T290&lt;&gt;0,J290-T290,""),"")</f>
        <v/>
      </c>
      <c r="V290" s="25" t="str">
        <f>IF(U290&lt;&gt;"",IF(U290&gt;28,"Too early",IF(U290&lt;14,"Too late","")),"")</f>
        <v/>
      </c>
      <c r="W290" s="35"/>
      <c r="X290" s="26" t="str">
        <f ca="1">IF(OFFSET(X290,1,0)="",R290,OFFSET(X290,1,0))</f>
        <v/>
      </c>
      <c r="Y290" s="26" t="e">
        <f ca="1">IF(OFFSET(Y290,1,0)="",X290+'Shipping Program'!$F$9,OFFSET(Y290,1,0))</f>
        <v>#VALUE!</v>
      </c>
      <c r="Z290" s="26" t="e">
        <f ca="1">IF(OFFSET(Z290,1,0)="",Y290+'Shipping Program'!$H$9,OFFSET(Z290,1,0))</f>
        <v>#VALUE!</v>
      </c>
      <c r="AA290" s="27" t="str">
        <f ca="1">IFERROR(IF(J290*Z290&lt;&gt;0,J290-Z290,""),"")</f>
        <v/>
      </c>
      <c r="AB290" s="27" t="str">
        <f ca="1">IF(AA290&lt;&gt;"",IF(AA290&gt;28,"Too early",IF(AA290&lt;14,"Too late","")),"")</f>
        <v/>
      </c>
      <c r="AC290" s="46"/>
      <c r="AE290" s="80" t="s">
        <v>43</v>
      </c>
      <c r="AF290" s="80" t="s">
        <v>41</v>
      </c>
      <c r="AG290" s="80" t="s">
        <v>42</v>
      </c>
      <c r="AH290" s="80" t="str">
        <f>IF(AI290="","",AI290*AJ290*AK290/1000/1000/1000)</f>
        <v/>
      </c>
      <c r="AI290" s="80"/>
      <c r="AJ290" s="80"/>
      <c r="AK290" s="80"/>
    </row>
    <row r="291" spans="1:37" ht="20.100000000000001" customHeight="1">
      <c r="A291" s="33">
        <f ca="1">COUNTIF(J$3:OFFSET(J291,-1,0),"Subtotal:")+1</f>
        <v>18</v>
      </c>
      <c r="B291" s="23" t="str">
        <f ca="1">IF(OFFSET(B291,1,0)&lt;&gt;"",OFFSET(B291,1,0),"")</f>
        <v/>
      </c>
      <c r="C291" s="42"/>
      <c r="D291" s="59" t="s">
        <v>106</v>
      </c>
      <c r="E291" s="60" t="str">
        <f>LEFT(F291,3)</f>
        <v>#20</v>
      </c>
      <c r="F291" s="59" t="s">
        <v>317</v>
      </c>
      <c r="G291" s="59" t="s">
        <v>321</v>
      </c>
      <c r="H291" s="60"/>
      <c r="I291" s="24" t="str">
        <f>IF(J291&lt;&gt;"",J291 - ('Shipping Program'!$D$9 + 'Shipping Program'!$F$9 + 'Shipping Program'!$H$9), "")</f>
        <v/>
      </c>
      <c r="J291" s="43"/>
      <c r="K291" s="44" t="str">
        <f>IF(SUM(M291:N291)=0,"",SUM(M291:N291))</f>
        <v/>
      </c>
      <c r="L291" s="44"/>
      <c r="M291" s="44"/>
      <c r="N291" s="54"/>
      <c r="O291" s="25" t="e">
        <f>VLOOKUP(I291,'Shipping Program'!$A$32:$B$78,2)-1</f>
        <v>#N/A</v>
      </c>
      <c r="P291" s="44" t="e">
        <f>O291</f>
        <v>#N/A</v>
      </c>
      <c r="Q291" s="24" t="e">
        <f>R291-7</f>
        <v>#VALUE!</v>
      </c>
      <c r="R291" s="24" t="str">
        <f>IFERROR(_xlfn.XLOOKUP(P291,'Shipping Program'!$B$32:$B$78,'Shipping Program'!$A$32:$A$78),IFERROR(INDEX(_V7Batches!$B:$B,MATCH(P291&amp;"",_V7Batches!$A:$A,0)),""))</f>
        <v/>
      </c>
      <c r="S291" s="24" t="str">
        <f>IFERROR(_xlfn.XLOOKUP(P291,'Shipping Program'!$B$32:$B$78,'Shipping Program'!$E$32:$E$78),IFERROR(INDEX(_V7Batches!$D:$D,MATCH(P291&amp;"",_V7Batches!$A:$A,0)),""))</f>
        <v/>
      </c>
      <c r="T291" s="24" t="e">
        <f>S291+'Shipping Program'!$H$9</f>
        <v>#VALUE!</v>
      </c>
      <c r="U291" s="25" t="str">
        <f>IFERROR(IF(J291*T291&lt;&gt;0,J291-T291,""),"")</f>
        <v/>
      </c>
      <c r="V291" s="25" t="str">
        <f>IF(U291&lt;&gt;"",IF(U291&gt;28,"Too early",IF(U291&lt;14,"Too late","")),"")</f>
        <v/>
      </c>
      <c r="W291" s="35"/>
      <c r="X291" s="26" t="str">
        <f ca="1">IF(OFFSET(X291,1,0)="",R291,OFFSET(X291,1,0))</f>
        <v/>
      </c>
      <c r="Y291" s="26" t="e">
        <f ca="1">IF(OFFSET(Y291,1,0)="",X291+'Shipping Program'!$F$9,OFFSET(Y291,1,0))</f>
        <v>#VALUE!</v>
      </c>
      <c r="Z291" s="26" t="e">
        <f ca="1">IF(OFFSET(Z291,1,0)="",Y291+'Shipping Program'!$H$9,OFFSET(Z291,1,0))</f>
        <v>#VALUE!</v>
      </c>
      <c r="AA291" s="27" t="str">
        <f ca="1">IFERROR(IF(J291*Z291&lt;&gt;0,J291-Z291,""),"")</f>
        <v/>
      </c>
      <c r="AB291" s="27" t="str">
        <f ca="1">IF(AA291&lt;&gt;"",IF(AA291&gt;28,"Too early",IF(AA291&lt;14,"Too late","")),"")</f>
        <v/>
      </c>
      <c r="AC291" s="46"/>
      <c r="AE291" s="80" t="s">
        <v>43</v>
      </c>
      <c r="AF291" s="80" t="s">
        <v>46</v>
      </c>
      <c r="AG291" s="80" t="s">
        <v>42</v>
      </c>
      <c r="AH291" s="80" t="str">
        <f>IF(AI291="","",AI291*AJ291*AK291/1000/1000/1000)</f>
        <v/>
      </c>
      <c r="AI291" s="80"/>
      <c r="AJ291" s="80"/>
      <c r="AK291" s="80"/>
    </row>
    <row r="292" spans="1:37" ht="20.100000000000001" customHeight="1">
      <c r="A292" s="33">
        <f ca="1">COUNTIF(J$3:OFFSET(J292,-1,0),"Subtotal:")+1</f>
        <v>18</v>
      </c>
      <c r="B292" s="23" t="str">
        <f ca="1">IF(OFFSET(B292,1,0)&lt;&gt;"",OFFSET(B292,1,0),"")</f>
        <v/>
      </c>
      <c r="C292" s="42"/>
      <c r="D292" s="59" t="s">
        <v>106</v>
      </c>
      <c r="E292" s="60" t="str">
        <f>LEFT(F292,3)</f>
        <v>#20</v>
      </c>
      <c r="F292" s="59" t="s">
        <v>318</v>
      </c>
      <c r="G292" s="59" t="s">
        <v>321</v>
      </c>
      <c r="H292" s="60"/>
      <c r="I292" s="24" t="str">
        <f>IF(J292&lt;&gt;"",J292 - ('Shipping Program'!$D$9 + 'Shipping Program'!$F$9 + 'Shipping Program'!$H$9), "")</f>
        <v/>
      </c>
      <c r="J292" s="43"/>
      <c r="K292" s="44" t="str">
        <f>IF(SUM(M292:N292)=0,"",SUM(M292:N292))</f>
        <v/>
      </c>
      <c r="L292" s="44"/>
      <c r="M292" s="44"/>
      <c r="N292" s="54"/>
      <c r="O292" s="25" t="e">
        <f>VLOOKUP(I292,'Shipping Program'!$A$32:$B$78,2)-1</f>
        <v>#N/A</v>
      </c>
      <c r="P292" s="44" t="e">
        <f>O292</f>
        <v>#N/A</v>
      </c>
      <c r="Q292" s="24" t="e">
        <f>R292-7</f>
        <v>#VALUE!</v>
      </c>
      <c r="R292" s="24" t="str">
        <f>IFERROR(_xlfn.XLOOKUP(P292,'Shipping Program'!$B$32:$B$78,'Shipping Program'!$A$32:$A$78),IFERROR(INDEX(_V7Batches!$B:$B,MATCH(P292&amp;"",_V7Batches!$A:$A,0)),""))</f>
        <v/>
      </c>
      <c r="S292" s="24" t="str">
        <f>IFERROR(_xlfn.XLOOKUP(P292,'Shipping Program'!$B$32:$B$78,'Shipping Program'!$E$32:$E$78),IFERROR(INDEX(_V7Batches!$D:$D,MATCH(P292&amp;"",_V7Batches!$A:$A,0)),""))</f>
        <v/>
      </c>
      <c r="T292" s="24" t="e">
        <f>S292+'Shipping Program'!$H$9</f>
        <v>#VALUE!</v>
      </c>
      <c r="U292" s="25" t="str">
        <f>IFERROR(IF(J292*T292&lt;&gt;0,J292-T292,""),"")</f>
        <v/>
      </c>
      <c r="V292" s="25" t="str">
        <f>IF(U292&lt;&gt;"",IF(U292&gt;28,"Too early",IF(U292&lt;14,"Too late","")),"")</f>
        <v/>
      </c>
      <c r="W292" s="35"/>
      <c r="X292" s="26" t="str">
        <f ca="1">IF(OFFSET(X292,1,0)="",R292,OFFSET(X292,1,0))</f>
        <v/>
      </c>
      <c r="Y292" s="26" t="e">
        <f ca="1">IF(OFFSET(Y292,1,0)="",X292+'Shipping Program'!$F$9,OFFSET(Y292,1,0))</f>
        <v>#VALUE!</v>
      </c>
      <c r="Z292" s="26" t="e">
        <f ca="1">IF(OFFSET(Z292,1,0)="",Y292+'Shipping Program'!$H$9,OFFSET(Z292,1,0))</f>
        <v>#VALUE!</v>
      </c>
      <c r="AA292" s="27" t="str">
        <f ca="1">IFERROR(IF(J292*Z292&lt;&gt;0,J292-Z292,""),"")</f>
        <v/>
      </c>
      <c r="AB292" s="27" t="str">
        <f ca="1">IF(AA292&lt;&gt;"",IF(AA292&gt;28,"Too early",IF(AA292&lt;14,"Too late","")),"")</f>
        <v/>
      </c>
      <c r="AC292" s="46"/>
      <c r="AE292" s="80" t="s">
        <v>43</v>
      </c>
      <c r="AF292" s="80" t="s">
        <v>46</v>
      </c>
      <c r="AG292" s="80" t="s">
        <v>42</v>
      </c>
      <c r="AH292" s="80" t="str">
        <f>IF(AI292="","",AI292*AJ292*AK292/1000/1000/1000)</f>
        <v/>
      </c>
      <c r="AI292" s="80"/>
      <c r="AJ292" s="80"/>
      <c r="AK292" s="80"/>
    </row>
    <row r="293" spans="1:37" ht="20.100000000000001" customHeight="1">
      <c r="A293" s="33">
        <f ca="1">COUNTIF(J$3:OFFSET(J293,-1,0),"Subtotal:")+1</f>
        <v>18</v>
      </c>
      <c r="B293" s="23" t="str">
        <f ca="1">IF(OFFSET(B293,1,0)&lt;&gt;"",OFFSET(B293,1,0),"")</f>
        <v/>
      </c>
      <c r="C293" s="42"/>
      <c r="D293" s="59" t="s">
        <v>106</v>
      </c>
      <c r="E293" s="60" t="str">
        <f>LEFT(F293,3)</f>
        <v>#20</v>
      </c>
      <c r="F293" s="59" t="s">
        <v>319</v>
      </c>
      <c r="G293" s="59" t="s">
        <v>321</v>
      </c>
      <c r="H293" s="60"/>
      <c r="I293" s="24" t="str">
        <f>IF(J293&lt;&gt;"",J293 - ('Shipping Program'!$D$9 + 'Shipping Program'!$F$9 + 'Shipping Program'!$H$9), "")</f>
        <v/>
      </c>
      <c r="J293" s="43"/>
      <c r="K293" s="44" t="str">
        <f>IF(SUM(M293:N293)=0,"",SUM(M293:N293))</f>
        <v/>
      </c>
      <c r="L293" s="44"/>
      <c r="M293" s="44"/>
      <c r="N293" s="54"/>
      <c r="O293" s="25" t="e">
        <f>VLOOKUP(I293,'Shipping Program'!$A$32:$B$78,2)-1</f>
        <v>#N/A</v>
      </c>
      <c r="P293" s="44" t="e">
        <f>O293</f>
        <v>#N/A</v>
      </c>
      <c r="Q293" s="24" t="e">
        <f>R293-7</f>
        <v>#VALUE!</v>
      </c>
      <c r="R293" s="24" t="str">
        <f>IFERROR(_xlfn.XLOOKUP(P293,'Shipping Program'!$B$32:$B$78,'Shipping Program'!$A$32:$A$78),IFERROR(INDEX(_V7Batches!$B:$B,MATCH(P293&amp;"",_V7Batches!$A:$A,0)),""))</f>
        <v/>
      </c>
      <c r="S293" s="24" t="str">
        <f>IFERROR(_xlfn.XLOOKUP(P293,'Shipping Program'!$B$32:$B$78,'Shipping Program'!$E$32:$E$78),IFERROR(INDEX(_V7Batches!$D:$D,MATCH(P293&amp;"",_V7Batches!$A:$A,0)),""))</f>
        <v/>
      </c>
      <c r="T293" s="24" t="e">
        <f>S293+'Shipping Program'!$H$9</f>
        <v>#VALUE!</v>
      </c>
      <c r="U293" s="25" t="str">
        <f>IFERROR(IF(J293*T293&lt;&gt;0,J293-T293,""),"")</f>
        <v/>
      </c>
      <c r="V293" s="25" t="str">
        <f>IF(U293&lt;&gt;"",IF(U293&gt;28,"Too early",IF(U293&lt;14,"Too late","")),"")</f>
        <v/>
      </c>
      <c r="W293" s="35"/>
      <c r="X293" s="26" t="str">
        <f ca="1">IF(OFFSET(X293,1,0)="",R293,OFFSET(X293,1,0))</f>
        <v/>
      </c>
      <c r="Y293" s="26" t="e">
        <f ca="1">IF(OFFSET(Y293,1,0)="",X293+'Shipping Program'!$F$9,OFFSET(Y293,1,0))</f>
        <v>#VALUE!</v>
      </c>
      <c r="Z293" s="26" t="e">
        <f ca="1">IF(OFFSET(Z293,1,0)="",Y293+'Shipping Program'!$H$9,OFFSET(Z293,1,0))</f>
        <v>#VALUE!</v>
      </c>
      <c r="AA293" s="27" t="str">
        <f ca="1">IFERROR(IF(J293*Z293&lt;&gt;0,J293-Z293,""),"")</f>
        <v/>
      </c>
      <c r="AB293" s="27" t="str">
        <f ca="1">IF(AA293&lt;&gt;"",IF(AA293&gt;28,"Too early",IF(AA293&lt;14,"Too late","")),"")</f>
        <v/>
      </c>
      <c r="AC293" s="46"/>
      <c r="AE293" s="80" t="s">
        <v>43</v>
      </c>
      <c r="AF293" s="80" t="s">
        <v>46</v>
      </c>
      <c r="AG293" s="80" t="s">
        <v>42</v>
      </c>
      <c r="AH293" s="80" t="str">
        <f>IF(AI293="","",AI293*AJ293*AK293/1000/1000/1000)</f>
        <v/>
      </c>
      <c r="AI293" s="80"/>
      <c r="AJ293" s="80"/>
      <c r="AK293" s="80"/>
    </row>
    <row r="294" spans="1:37" ht="20.100000000000001" customHeight="1">
      <c r="A294" s="33">
        <f ca="1">COUNTIF(J$3:OFFSET(J294,-1,0),"Subtotal:")+1</f>
        <v>18</v>
      </c>
      <c r="B294" s="23" t="str">
        <f ca="1">IF(OFFSET(B294,1,0)&lt;&gt;"",OFFSET(B294,1,0),"")</f>
        <v/>
      </c>
      <c r="C294" s="42"/>
      <c r="D294" s="59" t="s">
        <v>107</v>
      </c>
      <c r="E294" s="60"/>
      <c r="F294" s="59" t="s">
        <v>3</v>
      </c>
      <c r="G294" s="59" t="s">
        <v>108</v>
      </c>
      <c r="H294" s="60"/>
      <c r="I294" s="24" t="str">
        <f>IF(J294&lt;&gt;"",J294 - ('Shipping Program'!$D$9 + 'Shipping Program'!$F$9 + 'Shipping Program'!$H$9), "")</f>
        <v/>
      </c>
      <c r="J294" s="43"/>
      <c r="K294" s="44" t="str">
        <f>IF(SUM(M294:N294)=0,"",SUM(M294:N294))</f>
        <v/>
      </c>
      <c r="L294" s="44"/>
      <c r="M294" s="44"/>
      <c r="N294" s="54"/>
      <c r="O294" s="25" t="e">
        <f>VLOOKUP(I294,'Shipping Program'!$A$32:$B$78,2)-1</f>
        <v>#N/A</v>
      </c>
      <c r="P294" s="44" t="e">
        <f>O294</f>
        <v>#N/A</v>
      </c>
      <c r="Q294" s="24" t="e">
        <f>R294-7</f>
        <v>#VALUE!</v>
      </c>
      <c r="R294" s="24" t="str">
        <f>IFERROR(_xlfn.XLOOKUP(P294,'Shipping Program'!$B$32:$B$78,'Shipping Program'!$A$32:$A$78),IFERROR(INDEX(_V7Batches!$B:$B,MATCH(P294&amp;"",_V7Batches!$A:$A,0)),""))</f>
        <v/>
      </c>
      <c r="S294" s="24" t="str">
        <f>IFERROR(_xlfn.XLOOKUP(P294,'Shipping Program'!$B$32:$B$78,'Shipping Program'!$E$32:$E$78),IFERROR(INDEX(_V7Batches!$D:$D,MATCH(P294&amp;"",_V7Batches!$A:$A,0)),""))</f>
        <v/>
      </c>
      <c r="T294" s="24" t="e">
        <f>S294+'Shipping Program'!$H$9</f>
        <v>#VALUE!</v>
      </c>
      <c r="U294" s="25" t="str">
        <f>IFERROR(IF(J294*T294&lt;&gt;0,J294-T294,""),"")</f>
        <v/>
      </c>
      <c r="V294" s="25" t="str">
        <f>IF(U294&lt;&gt;"",IF(U294&gt;28,"Too early",IF(U294&lt;14,"Too late","")),"")</f>
        <v/>
      </c>
      <c r="W294" s="35"/>
      <c r="X294" s="26" t="str">
        <f ca="1">IF(OFFSET(X294,1,0)="",R294,OFFSET(X294,1,0))</f>
        <v/>
      </c>
      <c r="Y294" s="26" t="e">
        <f ca="1">IF(OFFSET(Y294,1,0)="",X294+'Shipping Program'!$F$9,OFFSET(Y294,1,0))</f>
        <v>#VALUE!</v>
      </c>
      <c r="Z294" s="26" t="e">
        <f ca="1">IF(OFFSET(Z294,1,0)="",Y294+'Shipping Program'!$H$9,OFFSET(Z294,1,0))</f>
        <v>#VALUE!</v>
      </c>
      <c r="AA294" s="27" t="str">
        <f ca="1">IFERROR(IF(J294*Z294&lt;&gt;0,J294-Z294,""),"")</f>
        <v/>
      </c>
      <c r="AB294" s="27" t="str">
        <f ca="1">IF(AA294&lt;&gt;"",IF(AA294&gt;28,"Too early",IF(AA294&lt;14,"Too late","")),"")</f>
        <v/>
      </c>
      <c r="AC294" s="46"/>
      <c r="AE294" s="80" t="s">
        <v>43</v>
      </c>
      <c r="AF294" s="80" t="s">
        <v>41</v>
      </c>
      <c r="AG294" s="80" t="s">
        <v>42</v>
      </c>
      <c r="AH294" s="80" t="str">
        <f>IF(AI294="","",AI294*AJ294*AK294/1000/1000/1000)</f>
        <v/>
      </c>
      <c r="AI294" s="80"/>
      <c r="AJ294" s="80"/>
      <c r="AK294" s="80"/>
    </row>
    <row r="295" spans="1:37" ht="20.100000000000001" customHeight="1">
      <c r="A295" s="33">
        <f ca="1">COUNTIF(J$3:OFFSET(J295,-1,0),"Subtotal:")+1</f>
        <v>18</v>
      </c>
      <c r="B295" s="23" t="str">
        <f ca="1">IF(OFFSET(B295,1,0)&lt;&gt;"",OFFSET(B295,1,0),"")</f>
        <v/>
      </c>
      <c r="C295" s="42"/>
      <c r="D295" s="59" t="s">
        <v>107</v>
      </c>
      <c r="E295" s="60"/>
      <c r="F295" s="59" t="s">
        <v>3</v>
      </c>
      <c r="G295" s="59" t="s">
        <v>217</v>
      </c>
      <c r="H295" s="60"/>
      <c r="I295" s="24" t="str">
        <f>IF(J295&lt;&gt;"",J295 - ('Shipping Program'!$D$9 + 'Shipping Program'!$F$9 + 'Shipping Program'!$H$9), "")</f>
        <v/>
      </c>
      <c r="J295" s="43"/>
      <c r="K295" s="44" t="str">
        <f>IF(SUM(M295:N295)=0,"",SUM(M295:N295))</f>
        <v/>
      </c>
      <c r="L295" s="44"/>
      <c r="M295" s="44"/>
      <c r="N295" s="54"/>
      <c r="O295" s="25" t="e">
        <f>VLOOKUP(I295,'Shipping Program'!$A$32:$B$78,2)-1</f>
        <v>#N/A</v>
      </c>
      <c r="P295" s="44" t="e">
        <f>O295</f>
        <v>#N/A</v>
      </c>
      <c r="Q295" s="24" t="e">
        <f>R295-7</f>
        <v>#VALUE!</v>
      </c>
      <c r="R295" s="24" t="str">
        <f>IFERROR(_xlfn.XLOOKUP(P295,'Shipping Program'!$B$32:$B$78,'Shipping Program'!$A$32:$A$78),IFERROR(INDEX(_V7Batches!$B:$B,MATCH(P295&amp;"",_V7Batches!$A:$A,0)),""))</f>
        <v/>
      </c>
      <c r="S295" s="24" t="str">
        <f>IFERROR(_xlfn.XLOOKUP(P295,'Shipping Program'!$B$32:$B$78,'Shipping Program'!$E$32:$E$78),IFERROR(INDEX(_V7Batches!$D:$D,MATCH(P295&amp;"",_V7Batches!$A:$A,0)),""))</f>
        <v/>
      </c>
      <c r="T295" s="24" t="e">
        <f>S295+'Shipping Program'!$H$9</f>
        <v>#VALUE!</v>
      </c>
      <c r="U295" s="25" t="str">
        <f>IFERROR(IF(J295*T295&lt;&gt;0,J295-T295,""),"")</f>
        <v/>
      </c>
      <c r="V295" s="25" t="str">
        <f>IF(U295&lt;&gt;"",IF(U295&gt;28,"Too early",IF(U295&lt;14,"Too late","")),"")</f>
        <v/>
      </c>
      <c r="W295" s="35"/>
      <c r="X295" s="26" t="str">
        <f ca="1">IF(OFFSET(X295,1,0)="",R295,OFFSET(X295,1,0))</f>
        <v/>
      </c>
      <c r="Y295" s="26" t="e">
        <f ca="1">IF(OFFSET(Y295,1,0)="",X295+'Shipping Program'!$F$9,OFFSET(Y295,1,0))</f>
        <v>#VALUE!</v>
      </c>
      <c r="Z295" s="26" t="e">
        <f ca="1">IF(OFFSET(Z295,1,0)="",Y295+'Shipping Program'!$H$9,OFFSET(Z295,1,0))</f>
        <v>#VALUE!</v>
      </c>
      <c r="AA295" s="27" t="str">
        <f ca="1">IFERROR(IF(J295*Z295&lt;&gt;0,J295-Z295,""),"")</f>
        <v/>
      </c>
      <c r="AB295" s="27" t="str">
        <f ca="1">IF(AA295&lt;&gt;"",IF(AA295&gt;28,"Too early",IF(AA295&lt;14,"Too late","")),"")</f>
        <v/>
      </c>
      <c r="AC295" s="46"/>
      <c r="AE295" s="80" t="s">
        <v>43</v>
      </c>
      <c r="AF295" s="80" t="s">
        <v>41</v>
      </c>
      <c r="AG295" s="80" t="s">
        <v>42</v>
      </c>
      <c r="AH295" s="80" t="str">
        <f>IF(AI295="","",AI295*AJ295*AK295/1000/1000/1000)</f>
        <v/>
      </c>
      <c r="AI295" s="80"/>
      <c r="AJ295" s="80"/>
      <c r="AK295" s="80"/>
    </row>
    <row r="296" spans="1:37" ht="20.100000000000001" customHeight="1">
      <c r="A296" s="33">
        <f ca="1">COUNTIF(J$3:OFFSET(J296,-1,0),"Subtotal:")+1</f>
        <v>18</v>
      </c>
      <c r="B296" s="23" t="str">
        <f ca="1">IF(OFFSET(B296,1,0)&lt;&gt;"",OFFSET(B296,1,0),"")</f>
        <v/>
      </c>
      <c r="C296" s="42"/>
      <c r="D296" s="59" t="s">
        <v>109</v>
      </c>
      <c r="E296" s="60"/>
      <c r="F296" s="59" t="s">
        <v>3</v>
      </c>
      <c r="G296" s="59" t="s">
        <v>110</v>
      </c>
      <c r="H296" s="60"/>
      <c r="I296" s="24" t="str">
        <f>IF(J296&lt;&gt;"",J296 - ('Shipping Program'!$D$9 + 'Shipping Program'!$F$9 + 'Shipping Program'!$H$9), "")</f>
        <v/>
      </c>
      <c r="J296" s="43"/>
      <c r="K296" s="44" t="str">
        <f>IF(SUM(M296:N296)=0,"",SUM(M296:N296))</f>
        <v/>
      </c>
      <c r="L296" s="44"/>
      <c r="M296" s="44"/>
      <c r="N296" s="54"/>
      <c r="O296" s="25" t="e">
        <f>VLOOKUP(I296,'Shipping Program'!$A$32:$B$78,2)-1</f>
        <v>#N/A</v>
      </c>
      <c r="P296" s="44" t="e">
        <f>O296</f>
        <v>#N/A</v>
      </c>
      <c r="Q296" s="24" t="e">
        <f>R296-7</f>
        <v>#VALUE!</v>
      </c>
      <c r="R296" s="24" t="str">
        <f>IFERROR(_xlfn.XLOOKUP(P296,'Shipping Program'!$B$32:$B$78,'Shipping Program'!$A$32:$A$78),IFERROR(INDEX(_V7Batches!$B:$B,MATCH(P296&amp;"",_V7Batches!$A:$A,0)),""))</f>
        <v/>
      </c>
      <c r="S296" s="24" t="str">
        <f>IFERROR(_xlfn.XLOOKUP(P296,'Shipping Program'!$B$32:$B$78,'Shipping Program'!$E$32:$E$78),IFERROR(INDEX(_V7Batches!$D:$D,MATCH(P296&amp;"",_V7Batches!$A:$A,0)),""))</f>
        <v/>
      </c>
      <c r="T296" s="24" t="e">
        <f>S296+'Shipping Program'!$H$9</f>
        <v>#VALUE!</v>
      </c>
      <c r="U296" s="25" t="str">
        <f>IFERROR(IF(J296*T296&lt;&gt;0,J296-T296,""),"")</f>
        <v/>
      </c>
      <c r="V296" s="25" t="str">
        <f>IF(U296&lt;&gt;"",IF(U296&gt;28,"Too early",IF(U296&lt;14,"Too late","")),"")</f>
        <v/>
      </c>
      <c r="W296" s="35"/>
      <c r="X296" s="26" t="str">
        <f ca="1">IF(OFFSET(X296,1,0)="",R296,OFFSET(X296,1,0))</f>
        <v/>
      </c>
      <c r="Y296" s="26" t="e">
        <f ca="1">IF(OFFSET(Y296,1,0)="",X296+'Shipping Program'!$F$9,OFFSET(Y296,1,0))</f>
        <v>#VALUE!</v>
      </c>
      <c r="Z296" s="26" t="e">
        <f ca="1">IF(OFFSET(Z296,1,0)="",Y296+'Shipping Program'!$H$9,OFFSET(Z296,1,0))</f>
        <v>#VALUE!</v>
      </c>
      <c r="AA296" s="27" t="str">
        <f ca="1">IFERROR(IF(J296*Z296&lt;&gt;0,J296-Z296,""),"")</f>
        <v/>
      </c>
      <c r="AB296" s="27" t="str">
        <f ca="1">IF(AA296&lt;&gt;"",IF(AA296&gt;28,"Too early",IF(AA296&lt;14,"Too late","")),"")</f>
        <v/>
      </c>
      <c r="AC296" s="46"/>
      <c r="AE296" s="80" t="s">
        <v>43</v>
      </c>
      <c r="AF296" s="80" t="s">
        <v>41</v>
      </c>
      <c r="AG296" s="80" t="s">
        <v>42</v>
      </c>
      <c r="AH296" s="80" t="str">
        <f>IF(AI296="","",AI296*AJ296*AK296/1000/1000/1000)</f>
        <v/>
      </c>
      <c r="AI296" s="80"/>
      <c r="AJ296" s="80"/>
      <c r="AK296" s="80"/>
    </row>
    <row r="297" spans="1:37" ht="20.100000000000001" customHeight="1">
      <c r="A297" s="33">
        <f ca="1">COUNTIF(J$3:OFFSET(J297,-1,0),"Subtotal:")+1</f>
        <v>18</v>
      </c>
      <c r="B297" s="23" t="str">
        <f ca="1">IF(OFFSET(B297,1,0)&lt;&gt;"",OFFSET(B297,1,0),"")</f>
        <v/>
      </c>
      <c r="C297" s="42"/>
      <c r="D297" s="59" t="s">
        <v>113</v>
      </c>
      <c r="E297" s="60"/>
      <c r="F297" s="59" t="s">
        <v>3</v>
      </c>
      <c r="G297" s="59" t="s">
        <v>114</v>
      </c>
      <c r="H297" s="60"/>
      <c r="I297" s="24" t="str">
        <f>IF(J297&lt;&gt;"",J297 - ('Shipping Program'!$D$9 + 'Shipping Program'!$F$9 + 'Shipping Program'!$H$9), "")</f>
        <v/>
      </c>
      <c r="J297" s="43"/>
      <c r="K297" s="44" t="str">
        <f>IF(SUM(M297:N297)=0,"",SUM(M297:N297))</f>
        <v/>
      </c>
      <c r="L297" s="44"/>
      <c r="M297" s="44"/>
      <c r="N297" s="54"/>
      <c r="O297" s="25" t="e">
        <f>VLOOKUP(I297,'Shipping Program'!$A$32:$B$78,2)-1</f>
        <v>#N/A</v>
      </c>
      <c r="P297" s="44" t="e">
        <f>O297</f>
        <v>#N/A</v>
      </c>
      <c r="Q297" s="24" t="e">
        <f>R297-7</f>
        <v>#VALUE!</v>
      </c>
      <c r="R297" s="24" t="str">
        <f>IFERROR(_xlfn.XLOOKUP(P297,'Shipping Program'!$B$32:$B$78,'Shipping Program'!$A$32:$A$78),IFERROR(INDEX(_V7Batches!$B:$B,MATCH(P297&amp;"",_V7Batches!$A:$A,0)),""))</f>
        <v/>
      </c>
      <c r="S297" s="24" t="str">
        <f>IFERROR(_xlfn.XLOOKUP(P297,'Shipping Program'!$B$32:$B$78,'Shipping Program'!$E$32:$E$78),IFERROR(INDEX(_V7Batches!$D:$D,MATCH(P297&amp;"",_V7Batches!$A:$A,0)),""))</f>
        <v/>
      </c>
      <c r="T297" s="24" t="e">
        <f>S297+'Shipping Program'!$H$9</f>
        <v>#VALUE!</v>
      </c>
      <c r="U297" s="25" t="str">
        <f>IFERROR(IF(J297*T297&lt;&gt;0,J297-T297,""),"")</f>
        <v/>
      </c>
      <c r="V297" s="25" t="str">
        <f>IF(U297&lt;&gt;"",IF(U297&gt;28,"Too early",IF(U297&lt;14,"Too late","")),"")</f>
        <v/>
      </c>
      <c r="W297" s="35"/>
      <c r="X297" s="26" t="str">
        <f ca="1">IF(OFFSET(X297,1,0)="",R297,OFFSET(X297,1,0))</f>
        <v/>
      </c>
      <c r="Y297" s="26" t="e">
        <f ca="1">IF(OFFSET(Y297,1,0)="",X297+'Shipping Program'!$F$9,OFFSET(Y297,1,0))</f>
        <v>#VALUE!</v>
      </c>
      <c r="Z297" s="26" t="e">
        <f ca="1">IF(OFFSET(Z297,1,0)="",Y297+'Shipping Program'!$H$9,OFFSET(Z297,1,0))</f>
        <v>#VALUE!</v>
      </c>
      <c r="AA297" s="27" t="str">
        <f ca="1">IFERROR(IF(J297*Z297&lt;&gt;0,J297-Z297,""),"")</f>
        <v/>
      </c>
      <c r="AB297" s="27" t="str">
        <f ca="1">IF(AA297&lt;&gt;"",IF(AA297&gt;28,"Too early",IF(AA297&lt;14,"Too late","")),"")</f>
        <v/>
      </c>
      <c r="AC297" s="46"/>
      <c r="AE297" s="80" t="s">
        <v>43</v>
      </c>
      <c r="AF297" s="80" t="s">
        <v>41</v>
      </c>
      <c r="AG297" s="80" t="s">
        <v>42</v>
      </c>
      <c r="AH297" s="80" t="str">
        <f>IF(AI297="","",AI297*AJ297*AK297/1000/1000/1000)</f>
        <v/>
      </c>
      <c r="AI297" s="80"/>
      <c r="AJ297" s="80"/>
      <c r="AK297" s="80"/>
    </row>
    <row r="298" spans="1:37" ht="20.100000000000001" customHeight="1">
      <c r="A298" s="33">
        <f ca="1">COUNTIF(J$3:OFFSET(J298,-1,0),"Subtotal:")+1</f>
        <v>18</v>
      </c>
      <c r="B298" s="23" t="str">
        <f ca="1">IF(OFFSET(B298,1,0)&lt;&gt;"",OFFSET(B298,1,0),"")</f>
        <v/>
      </c>
      <c r="C298" s="42"/>
      <c r="D298" s="59" t="s">
        <v>113</v>
      </c>
      <c r="E298" s="60"/>
      <c r="F298" s="59" t="s">
        <v>3</v>
      </c>
      <c r="G298" s="59" t="s">
        <v>115</v>
      </c>
      <c r="H298" s="60"/>
      <c r="I298" s="24" t="str">
        <f>IF(J298&lt;&gt;"",J298 - ('Shipping Program'!$D$9 + 'Shipping Program'!$F$9 + 'Shipping Program'!$H$9), "")</f>
        <v/>
      </c>
      <c r="J298" s="43"/>
      <c r="K298" s="44" t="str">
        <f>IF(SUM(M298:N298)=0,"",SUM(M298:N298))</f>
        <v/>
      </c>
      <c r="L298" s="44"/>
      <c r="M298" s="44"/>
      <c r="N298" s="54"/>
      <c r="O298" s="25" t="e">
        <f>VLOOKUP(I298,'Shipping Program'!$A$32:$B$78,2)-1</f>
        <v>#N/A</v>
      </c>
      <c r="P298" s="44" t="e">
        <f>O298</f>
        <v>#N/A</v>
      </c>
      <c r="Q298" s="24" t="e">
        <f>R298-7</f>
        <v>#VALUE!</v>
      </c>
      <c r="R298" s="24" t="str">
        <f>IFERROR(_xlfn.XLOOKUP(P298,'Shipping Program'!$B$32:$B$78,'Shipping Program'!$A$32:$A$78),IFERROR(INDEX(_V7Batches!$B:$B,MATCH(P298&amp;"",_V7Batches!$A:$A,0)),""))</f>
        <v/>
      </c>
      <c r="S298" s="24" t="str">
        <f>IFERROR(_xlfn.XLOOKUP(P298,'Shipping Program'!$B$32:$B$78,'Shipping Program'!$E$32:$E$78),IFERROR(INDEX(_V7Batches!$D:$D,MATCH(P298&amp;"",_V7Batches!$A:$A,0)),""))</f>
        <v/>
      </c>
      <c r="T298" s="24" t="e">
        <f>S298+'Shipping Program'!$H$9</f>
        <v>#VALUE!</v>
      </c>
      <c r="U298" s="25" t="str">
        <f>IFERROR(IF(J298*T298&lt;&gt;0,J298-T298,""),"")</f>
        <v/>
      </c>
      <c r="V298" s="25" t="str">
        <f>IF(U298&lt;&gt;"",IF(U298&gt;28,"Too early",IF(U298&lt;14,"Too late","")),"")</f>
        <v/>
      </c>
      <c r="W298" s="35"/>
      <c r="X298" s="26" t="str">
        <f ca="1">IF(OFFSET(X298,1,0)="",R298,OFFSET(X298,1,0))</f>
        <v/>
      </c>
      <c r="Y298" s="26" t="e">
        <f ca="1">IF(OFFSET(Y298,1,0)="",X298+'Shipping Program'!$F$9,OFFSET(Y298,1,0))</f>
        <v>#VALUE!</v>
      </c>
      <c r="Z298" s="26" t="e">
        <f ca="1">IF(OFFSET(Z298,1,0)="",Y298+'Shipping Program'!$H$9,OFFSET(Z298,1,0))</f>
        <v>#VALUE!</v>
      </c>
      <c r="AA298" s="27" t="str">
        <f ca="1">IFERROR(IF(J298*Z298&lt;&gt;0,J298-Z298,""),"")</f>
        <v/>
      </c>
      <c r="AB298" s="27" t="str">
        <f ca="1">IF(AA298&lt;&gt;"",IF(AA298&gt;28,"Too early",IF(AA298&lt;14,"Too late","")),"")</f>
        <v/>
      </c>
      <c r="AC298" s="46"/>
      <c r="AE298" s="80" t="s">
        <v>54</v>
      </c>
      <c r="AF298" s="80" t="s">
        <v>41</v>
      </c>
      <c r="AG298" s="80" t="s">
        <v>42</v>
      </c>
      <c r="AH298" s="80" t="str">
        <f>IF(AI298="","",AI298*AJ298*AK298/1000/1000/1000)</f>
        <v/>
      </c>
      <c r="AI298" s="80"/>
      <c r="AJ298" s="80"/>
      <c r="AK298" s="80"/>
    </row>
    <row r="299" spans="1:37" ht="20.100000000000001" customHeight="1">
      <c r="A299" s="33">
        <f ca="1">COUNTIF(J$3:OFFSET(J299,-1,0),"Subtotal:")+1</f>
        <v>18</v>
      </c>
      <c r="B299" s="23" t="str">
        <f ca="1">IF(OFFSET(B299,1,0)&lt;&gt;"",OFFSET(B299,1,0),"")</f>
        <v/>
      </c>
      <c r="C299" s="42"/>
      <c r="D299" s="59" t="s">
        <v>116</v>
      </c>
      <c r="E299" s="60"/>
      <c r="F299" s="59" t="s">
        <v>3</v>
      </c>
      <c r="G299" s="59" t="s">
        <v>117</v>
      </c>
      <c r="H299" s="60"/>
      <c r="I299" s="24" t="str">
        <f>IF(J299&lt;&gt;"",J299 - ('Shipping Program'!$D$9 + 'Shipping Program'!$F$9 + 'Shipping Program'!$H$9), "")</f>
        <v/>
      </c>
      <c r="J299" s="43"/>
      <c r="K299" s="44" t="str">
        <f>IF(SUM(M299:N299)=0,"",SUM(M299:N299))</f>
        <v/>
      </c>
      <c r="L299" s="44"/>
      <c r="M299" s="44"/>
      <c r="N299" s="54"/>
      <c r="O299" s="25" t="e">
        <f>VLOOKUP(I299,'Shipping Program'!$A$32:$B$78,2)-1</f>
        <v>#N/A</v>
      </c>
      <c r="P299" s="44" t="e">
        <f>O299</f>
        <v>#N/A</v>
      </c>
      <c r="Q299" s="24" t="e">
        <f>R299-7</f>
        <v>#VALUE!</v>
      </c>
      <c r="R299" s="24" t="str">
        <f>IFERROR(_xlfn.XLOOKUP(P299,'Shipping Program'!$B$32:$B$78,'Shipping Program'!$A$32:$A$78),IFERROR(INDEX(_V7Batches!$B:$B,MATCH(P299&amp;"",_V7Batches!$A:$A,0)),""))</f>
        <v/>
      </c>
      <c r="S299" s="24" t="str">
        <f>IFERROR(_xlfn.XLOOKUP(P299,'Shipping Program'!$B$32:$B$78,'Shipping Program'!$E$32:$E$78),IFERROR(INDEX(_V7Batches!$D:$D,MATCH(P299&amp;"",_V7Batches!$A:$A,0)),""))</f>
        <v/>
      </c>
      <c r="T299" s="24" t="e">
        <f>S299+'Shipping Program'!$H$9</f>
        <v>#VALUE!</v>
      </c>
      <c r="U299" s="25" t="str">
        <f>IFERROR(IF(J299*T299&lt;&gt;0,J299-T299,""),"")</f>
        <v/>
      </c>
      <c r="V299" s="25" t="str">
        <f>IF(U299&lt;&gt;"",IF(U299&gt;28,"Too early",IF(U299&lt;14,"Too late","")),"")</f>
        <v/>
      </c>
      <c r="W299" s="35"/>
      <c r="X299" s="26" t="str">
        <f ca="1">IF(OFFSET(X299,1,0)="",R299,OFFSET(X299,1,0))</f>
        <v/>
      </c>
      <c r="Y299" s="26" t="e">
        <f ca="1">IF(OFFSET(Y299,1,0)="",X299+'Shipping Program'!$F$9,OFFSET(Y299,1,0))</f>
        <v>#VALUE!</v>
      </c>
      <c r="Z299" s="26" t="e">
        <f ca="1">IF(OFFSET(Z299,1,0)="",Y299+'Shipping Program'!$H$9,OFFSET(Z299,1,0))</f>
        <v>#VALUE!</v>
      </c>
      <c r="AA299" s="27" t="str">
        <f ca="1">IFERROR(IF(J299*Z299&lt;&gt;0,J299-Z299,""),"")</f>
        <v/>
      </c>
      <c r="AB299" s="27" t="str">
        <f ca="1">IF(AA299&lt;&gt;"",IF(AA299&gt;28,"Too early",IF(AA299&lt;14,"Too late","")),"")</f>
        <v/>
      </c>
      <c r="AC299" s="46"/>
      <c r="AE299" s="80" t="s">
        <v>43</v>
      </c>
      <c r="AF299" s="80" t="s">
        <v>41</v>
      </c>
      <c r="AG299" s="80" t="s">
        <v>42</v>
      </c>
      <c r="AH299" s="80" t="str">
        <f>IF(AI299="","",AI299*AJ299*AK299/1000/1000/1000)</f>
        <v/>
      </c>
      <c r="AI299" s="80"/>
      <c r="AJ299" s="80"/>
      <c r="AK299" s="80"/>
    </row>
    <row r="300" spans="1:37" ht="20.100000000000001" customHeight="1">
      <c r="A300" s="33">
        <f ca="1">COUNTIF(J$3:OFFSET(J300,-1,0),"Subtotal:")+1</f>
        <v>18</v>
      </c>
      <c r="B300" s="23" t="str">
        <f ca="1">IF(OFFSET(B300,1,0)&lt;&gt;"",OFFSET(B300,1,0),"")</f>
        <v/>
      </c>
      <c r="C300" s="42"/>
      <c r="D300" s="59" t="s">
        <v>116</v>
      </c>
      <c r="E300" s="60"/>
      <c r="F300" s="59" t="s">
        <v>3</v>
      </c>
      <c r="G300" s="59" t="s">
        <v>281</v>
      </c>
      <c r="H300" s="60"/>
      <c r="I300" s="24" t="str">
        <f>IF(J300&lt;&gt;"",J300 - ('Shipping Program'!$D$9 + 'Shipping Program'!$F$9 + 'Shipping Program'!$H$9), "")</f>
        <v/>
      </c>
      <c r="J300" s="43"/>
      <c r="K300" s="44" t="str">
        <f>IF(SUM(M300:N300)=0,"",SUM(M300:N300))</f>
        <v/>
      </c>
      <c r="L300" s="44"/>
      <c r="M300" s="44"/>
      <c r="N300" s="54"/>
      <c r="O300" s="25" t="e">
        <f>VLOOKUP(I300,'Shipping Program'!$A$32:$B$78,2)-1</f>
        <v>#N/A</v>
      </c>
      <c r="P300" s="44" t="e">
        <f>O300</f>
        <v>#N/A</v>
      </c>
      <c r="Q300" s="24" t="e">
        <f>R300-7</f>
        <v>#VALUE!</v>
      </c>
      <c r="R300" s="24" t="str">
        <f>IFERROR(_xlfn.XLOOKUP(P300,'Shipping Program'!$B$32:$B$78,'Shipping Program'!$A$32:$A$78),IFERROR(INDEX(_V7Batches!$B:$B,MATCH(P300&amp;"",_V7Batches!$A:$A,0)),""))</f>
        <v/>
      </c>
      <c r="S300" s="24" t="str">
        <f>IFERROR(_xlfn.XLOOKUP(P300,'Shipping Program'!$B$32:$B$78,'Shipping Program'!$E$32:$E$78),IFERROR(INDEX(_V7Batches!$D:$D,MATCH(P300&amp;"",_V7Batches!$A:$A,0)),""))</f>
        <v/>
      </c>
      <c r="T300" s="24" t="e">
        <f>S300+'Shipping Program'!$H$9</f>
        <v>#VALUE!</v>
      </c>
      <c r="U300" s="25" t="str">
        <f>IFERROR(IF(J300*T300&lt;&gt;0,J300-T300,""),"")</f>
        <v/>
      </c>
      <c r="V300" s="25" t="str">
        <f>IF(U300&lt;&gt;"",IF(U300&gt;28,"Too early",IF(U300&lt;14,"Too late","")),"")</f>
        <v/>
      </c>
      <c r="W300" s="35"/>
      <c r="X300" s="26" t="str">
        <f ca="1">IF(OFFSET(X300,1,0)="",R300,OFFSET(X300,1,0))</f>
        <v/>
      </c>
      <c r="Y300" s="26" t="e">
        <f ca="1">IF(OFFSET(Y300,1,0)="",X300+'Shipping Program'!$F$9,OFFSET(Y300,1,0))</f>
        <v>#VALUE!</v>
      </c>
      <c r="Z300" s="26" t="e">
        <f ca="1">IF(OFFSET(Z300,1,0)="",Y300+'Shipping Program'!$H$9,OFFSET(Z300,1,0))</f>
        <v>#VALUE!</v>
      </c>
      <c r="AA300" s="27" t="str">
        <f ca="1">IFERROR(IF(J300*Z300&lt;&gt;0,J300-Z300,""),"")</f>
        <v/>
      </c>
      <c r="AB300" s="27" t="str">
        <f ca="1">IF(AA300&lt;&gt;"",IF(AA300&gt;28,"Too early",IF(AA300&lt;14,"Too late","")),"")</f>
        <v/>
      </c>
      <c r="AC300" s="46"/>
      <c r="AE300" s="80" t="s">
        <v>43</v>
      </c>
      <c r="AF300" s="80" t="s">
        <v>41</v>
      </c>
      <c r="AG300" s="80" t="s">
        <v>42</v>
      </c>
      <c r="AH300" s="80" t="str">
        <f>IF(AI300="","",AI300*AJ300*AK300/1000/1000/1000)</f>
        <v/>
      </c>
      <c r="AI300" s="80"/>
      <c r="AJ300" s="80"/>
      <c r="AK300" s="80"/>
    </row>
    <row r="301" spans="1:37" ht="20.100000000000001" customHeight="1">
      <c r="A301" s="33">
        <f ca="1">COUNTIF(J$3:OFFSET(J301,-1,0),"Subtotal:")+1</f>
        <v>18</v>
      </c>
      <c r="B301" s="23" t="str">
        <f ca="1">IF(OFFSET(B301,1,0)&lt;&gt;"",OFFSET(B301,1,0),"")</f>
        <v/>
      </c>
      <c r="C301" s="42"/>
      <c r="D301" s="59" t="s">
        <v>118</v>
      </c>
      <c r="E301" s="60"/>
      <c r="F301" s="59" t="s">
        <v>3</v>
      </c>
      <c r="G301" s="59" t="s">
        <v>119</v>
      </c>
      <c r="H301" s="60"/>
      <c r="I301" s="24" t="str">
        <f>IF(J301&lt;&gt;"",J301 - ('Shipping Program'!$D$9 + 'Shipping Program'!$F$9 + 'Shipping Program'!$H$9), "")</f>
        <v/>
      </c>
      <c r="J301" s="43"/>
      <c r="K301" s="44" t="str">
        <f>IF(SUM(M301:N301)=0,"",SUM(M301:N301))</f>
        <v/>
      </c>
      <c r="L301" s="44"/>
      <c r="M301" s="44"/>
      <c r="N301" s="54"/>
      <c r="O301" s="25" t="e">
        <f>VLOOKUP(I301,'Shipping Program'!$A$32:$B$78,2)-1</f>
        <v>#N/A</v>
      </c>
      <c r="P301" s="44" t="e">
        <f>O301</f>
        <v>#N/A</v>
      </c>
      <c r="Q301" s="24" t="e">
        <f>R301-7</f>
        <v>#VALUE!</v>
      </c>
      <c r="R301" s="24" t="str">
        <f>IFERROR(_xlfn.XLOOKUP(P301,'Shipping Program'!$B$32:$B$78,'Shipping Program'!$A$32:$A$78),IFERROR(INDEX(_V7Batches!$B:$B,MATCH(P301&amp;"",_V7Batches!$A:$A,0)),""))</f>
        <v/>
      </c>
      <c r="S301" s="24" t="str">
        <f>IFERROR(_xlfn.XLOOKUP(P301,'Shipping Program'!$B$32:$B$78,'Shipping Program'!$E$32:$E$78),IFERROR(INDEX(_V7Batches!$D:$D,MATCH(P301&amp;"",_V7Batches!$A:$A,0)),""))</f>
        <v/>
      </c>
      <c r="T301" s="24" t="e">
        <f>S301+'Shipping Program'!$H$9</f>
        <v>#VALUE!</v>
      </c>
      <c r="U301" s="25" t="str">
        <f>IFERROR(IF(J301*T301&lt;&gt;0,J301-T301,""),"")</f>
        <v/>
      </c>
      <c r="V301" s="25" t="str">
        <f>IF(U301&lt;&gt;"",IF(U301&gt;28,"Too early",IF(U301&lt;14,"Too late","")),"")</f>
        <v/>
      </c>
      <c r="W301" s="35"/>
      <c r="X301" s="26" t="str">
        <f ca="1">IF(OFFSET(X301,1,0)="",R301,OFFSET(X301,1,0))</f>
        <v/>
      </c>
      <c r="Y301" s="26" t="e">
        <f ca="1">IF(OFFSET(Y301,1,0)="",X301+'Shipping Program'!$F$9,OFFSET(Y301,1,0))</f>
        <v>#VALUE!</v>
      </c>
      <c r="Z301" s="26" t="e">
        <f ca="1">IF(OFFSET(Z301,1,0)="",Y301+'Shipping Program'!$H$9,OFFSET(Z301,1,0))</f>
        <v>#VALUE!</v>
      </c>
      <c r="AA301" s="27" t="str">
        <f ca="1">IFERROR(IF(J301*Z301&lt;&gt;0,J301-Z301,""),"")</f>
        <v/>
      </c>
      <c r="AB301" s="27" t="str">
        <f ca="1">IF(AA301&lt;&gt;"",IF(AA301&gt;28,"Too early",IF(AA301&lt;14,"Too late","")),"")</f>
        <v/>
      </c>
      <c r="AC301" s="46"/>
      <c r="AE301" s="80" t="s">
        <v>43</v>
      </c>
      <c r="AF301" s="80" t="s">
        <v>46</v>
      </c>
      <c r="AG301" s="80" t="s">
        <v>42</v>
      </c>
      <c r="AH301" s="80" t="str">
        <f>IF(AI301="","",AI301*AJ301*AK301/1000/1000/1000)</f>
        <v/>
      </c>
      <c r="AI301" s="80"/>
      <c r="AJ301" s="80"/>
      <c r="AK301" s="80"/>
    </row>
    <row r="302" spans="1:37" ht="20.100000000000001" customHeight="1">
      <c r="A302" s="33">
        <f ca="1">COUNTIF(J$3:OFFSET(J302,-1,0),"Subtotal:")+1</f>
        <v>18</v>
      </c>
      <c r="B302" s="23" t="str">
        <f ca="1">IF(OFFSET(B302,1,0)&lt;&gt;"",OFFSET(B302,1,0),"")</f>
        <v/>
      </c>
      <c r="C302" s="42"/>
      <c r="D302" s="59" t="s">
        <v>120</v>
      </c>
      <c r="E302" s="60"/>
      <c r="F302" s="59" t="s">
        <v>3</v>
      </c>
      <c r="G302" s="59" t="s">
        <v>121</v>
      </c>
      <c r="H302" s="60"/>
      <c r="I302" s="24" t="str">
        <f>IF(J302&lt;&gt;"",J302 - ('Shipping Program'!$D$9 + 'Shipping Program'!$F$9 + 'Shipping Program'!$H$9), "")</f>
        <v/>
      </c>
      <c r="J302" s="43"/>
      <c r="K302" s="44" t="str">
        <f>IF(SUM(M302:N302)=0,"",SUM(M302:N302))</f>
        <v/>
      </c>
      <c r="L302" s="44"/>
      <c r="M302" s="44"/>
      <c r="N302" s="54"/>
      <c r="O302" s="25" t="e">
        <f>VLOOKUP(I302,'Shipping Program'!$A$32:$B$78,2)-1</f>
        <v>#N/A</v>
      </c>
      <c r="P302" s="44" t="e">
        <f>O302</f>
        <v>#N/A</v>
      </c>
      <c r="Q302" s="24" t="e">
        <f>R302-7</f>
        <v>#VALUE!</v>
      </c>
      <c r="R302" s="24" t="str">
        <f>IFERROR(_xlfn.XLOOKUP(P302,'Shipping Program'!$B$32:$B$78,'Shipping Program'!$A$32:$A$78),IFERROR(INDEX(_V7Batches!$B:$B,MATCH(P302&amp;"",_V7Batches!$A:$A,0)),""))</f>
        <v/>
      </c>
      <c r="S302" s="24" t="str">
        <f>IFERROR(_xlfn.XLOOKUP(P302,'Shipping Program'!$B$32:$B$78,'Shipping Program'!$E$32:$E$78),IFERROR(INDEX(_V7Batches!$D:$D,MATCH(P302&amp;"",_V7Batches!$A:$A,0)),""))</f>
        <v/>
      </c>
      <c r="T302" s="24" t="e">
        <f>S302+'Shipping Program'!$H$9</f>
        <v>#VALUE!</v>
      </c>
      <c r="U302" s="25" t="str">
        <f>IFERROR(IF(J302*T302&lt;&gt;0,J302-T302,""),"")</f>
        <v/>
      </c>
      <c r="V302" s="25" t="str">
        <f>IF(U302&lt;&gt;"",IF(U302&gt;28,"Too early",IF(U302&lt;14,"Too late","")),"")</f>
        <v/>
      </c>
      <c r="W302" s="35"/>
      <c r="X302" s="26" t="str">
        <f ca="1">IF(OFFSET(X302,1,0)="",R302,OFFSET(X302,1,0))</f>
        <v/>
      </c>
      <c r="Y302" s="26" t="e">
        <f ca="1">IF(OFFSET(Y302,1,0)="",X302+'Shipping Program'!$F$9,OFFSET(Y302,1,0))</f>
        <v>#VALUE!</v>
      </c>
      <c r="Z302" s="26" t="e">
        <f ca="1">IF(OFFSET(Z302,1,0)="",Y302+'Shipping Program'!$H$9,OFFSET(Z302,1,0))</f>
        <v>#VALUE!</v>
      </c>
      <c r="AA302" s="27" t="str">
        <f ca="1">IFERROR(IF(J302*Z302&lt;&gt;0,J302-Z302,""),"")</f>
        <v/>
      </c>
      <c r="AB302" s="27" t="str">
        <f ca="1">IF(AA302&lt;&gt;"",IF(AA302&gt;28,"Too early",IF(AA302&lt;14,"Too late","")),"")</f>
        <v/>
      </c>
      <c r="AC302" s="46"/>
      <c r="AE302" s="80" t="s">
        <v>43</v>
      </c>
      <c r="AF302" s="80" t="s">
        <v>41</v>
      </c>
      <c r="AG302" s="80" t="s">
        <v>42</v>
      </c>
      <c r="AH302" s="80" t="str">
        <f>IF(AI302="","",AI302*AJ302*AK302/1000/1000/1000)</f>
        <v/>
      </c>
      <c r="AI302" s="80"/>
      <c r="AJ302" s="80"/>
      <c r="AK302" s="80"/>
    </row>
    <row r="303" spans="1:37" ht="20.100000000000001" customHeight="1">
      <c r="A303" s="33">
        <f ca="1">COUNTIF(J$3:OFFSET(J303,-1,0),"Subtotal:")+1</f>
        <v>18</v>
      </c>
      <c r="B303" s="23" t="str">
        <f ca="1">IF(OFFSET(B303,1,0)&lt;&gt;"",OFFSET(B303,1,0),"")</f>
        <v/>
      </c>
      <c r="C303" s="42"/>
      <c r="D303" s="59" t="s">
        <v>122</v>
      </c>
      <c r="E303" s="60"/>
      <c r="F303" s="59" t="s">
        <v>3</v>
      </c>
      <c r="G303" s="59" t="s">
        <v>123</v>
      </c>
      <c r="H303" s="60"/>
      <c r="I303" s="24" t="str">
        <f>IF(J303&lt;&gt;"",J303 - ('Shipping Program'!$D$9 + 'Shipping Program'!$F$9 + 'Shipping Program'!$H$9), "")</f>
        <v/>
      </c>
      <c r="J303" s="43"/>
      <c r="K303" s="44" t="str">
        <f>IF(SUM(M303:N303)=0,"",SUM(M303:N303))</f>
        <v/>
      </c>
      <c r="L303" s="44"/>
      <c r="M303" s="44"/>
      <c r="N303" s="54"/>
      <c r="O303" s="25" t="e">
        <f>VLOOKUP(I303,'Shipping Program'!$A$32:$B$78,2)-1</f>
        <v>#N/A</v>
      </c>
      <c r="P303" s="44" t="e">
        <f>O303</f>
        <v>#N/A</v>
      </c>
      <c r="Q303" s="24" t="e">
        <f>R303-7</f>
        <v>#VALUE!</v>
      </c>
      <c r="R303" s="24" t="str">
        <f>IFERROR(_xlfn.XLOOKUP(P303,'Shipping Program'!$B$32:$B$78,'Shipping Program'!$A$32:$A$78),IFERROR(INDEX(_V7Batches!$B:$B,MATCH(P303&amp;"",_V7Batches!$A:$A,0)),""))</f>
        <v/>
      </c>
      <c r="S303" s="24" t="str">
        <f>IFERROR(_xlfn.XLOOKUP(P303,'Shipping Program'!$B$32:$B$78,'Shipping Program'!$E$32:$E$78),IFERROR(INDEX(_V7Batches!$D:$D,MATCH(P303&amp;"",_V7Batches!$A:$A,0)),""))</f>
        <v/>
      </c>
      <c r="T303" s="24" t="e">
        <f>S303+'Shipping Program'!$H$9</f>
        <v>#VALUE!</v>
      </c>
      <c r="U303" s="25" t="str">
        <f>IFERROR(IF(J303*T303&lt;&gt;0,J303-T303,""),"")</f>
        <v/>
      </c>
      <c r="V303" s="25" t="str">
        <f>IF(U303&lt;&gt;"",IF(U303&gt;28,"Too early",IF(U303&lt;14,"Too late","")),"")</f>
        <v/>
      </c>
      <c r="W303" s="35"/>
      <c r="X303" s="26" t="str">
        <f ca="1">IF(OFFSET(X303,1,0)="",R303,OFFSET(X303,1,0))</f>
        <v/>
      </c>
      <c r="Y303" s="26" t="e">
        <f ca="1">IF(OFFSET(Y303,1,0)="",X303+'Shipping Program'!$F$9,OFFSET(Y303,1,0))</f>
        <v>#VALUE!</v>
      </c>
      <c r="Z303" s="26" t="e">
        <f ca="1">IF(OFFSET(Z303,1,0)="",Y303+'Shipping Program'!$H$9,OFFSET(Z303,1,0))</f>
        <v>#VALUE!</v>
      </c>
      <c r="AA303" s="27" t="str">
        <f ca="1">IFERROR(IF(J303*Z303&lt;&gt;0,J303-Z303,""),"")</f>
        <v/>
      </c>
      <c r="AB303" s="27" t="str">
        <f ca="1">IF(AA303&lt;&gt;"",IF(AA303&gt;28,"Too early",IF(AA303&lt;14,"Too late","")),"")</f>
        <v/>
      </c>
      <c r="AC303" s="46"/>
      <c r="AE303" s="80" t="s">
        <v>43</v>
      </c>
      <c r="AF303" s="80" t="s">
        <v>41</v>
      </c>
      <c r="AG303" s="80" t="s">
        <v>42</v>
      </c>
      <c r="AH303" s="80" t="str">
        <f>IF(AI303="","",AI303*AJ303*AK303/1000/1000/1000)</f>
        <v/>
      </c>
      <c r="AI303" s="80"/>
      <c r="AJ303" s="80"/>
      <c r="AK303" s="80"/>
    </row>
    <row r="304" spans="1:37" ht="20.100000000000001" customHeight="1">
      <c r="A304" s="33">
        <f ca="1">COUNTIF(J$3:OFFSET(J304,-1,0),"Subtotal:")+1</f>
        <v>18</v>
      </c>
      <c r="B304" s="23" t="str">
        <f ca="1">IF(OFFSET(B304,1,0)&lt;&gt;"",OFFSET(B304,1,0),"")</f>
        <v/>
      </c>
      <c r="C304" s="42"/>
      <c r="D304" s="59" t="s">
        <v>122</v>
      </c>
      <c r="E304" s="60"/>
      <c r="F304" s="59" t="s">
        <v>3</v>
      </c>
      <c r="G304" s="59" t="s">
        <v>124</v>
      </c>
      <c r="H304" s="60"/>
      <c r="I304" s="24" t="str">
        <f>IF(J304&lt;&gt;"",J304 - ('Shipping Program'!$D$9 + 'Shipping Program'!$F$9 + 'Shipping Program'!$H$9), "")</f>
        <v/>
      </c>
      <c r="J304" s="43"/>
      <c r="K304" s="44" t="str">
        <f>IF(SUM(M304:N304)=0,"",SUM(M304:N304))</f>
        <v/>
      </c>
      <c r="L304" s="44"/>
      <c r="M304" s="44"/>
      <c r="N304" s="54"/>
      <c r="O304" s="25" t="e">
        <f>VLOOKUP(I304,'Shipping Program'!$A$32:$B$78,2)-1</f>
        <v>#N/A</v>
      </c>
      <c r="P304" s="44" t="e">
        <f>O304</f>
        <v>#N/A</v>
      </c>
      <c r="Q304" s="24" t="e">
        <f>R304-7</f>
        <v>#VALUE!</v>
      </c>
      <c r="R304" s="24" t="str">
        <f>IFERROR(_xlfn.XLOOKUP(P304,'Shipping Program'!$B$32:$B$78,'Shipping Program'!$A$32:$A$78),IFERROR(INDEX(_V7Batches!$B:$B,MATCH(P304&amp;"",_V7Batches!$A:$A,0)),""))</f>
        <v/>
      </c>
      <c r="S304" s="24" t="str">
        <f>IFERROR(_xlfn.XLOOKUP(P304,'Shipping Program'!$B$32:$B$78,'Shipping Program'!$E$32:$E$78),IFERROR(INDEX(_V7Batches!$D:$D,MATCH(P304&amp;"",_V7Batches!$A:$A,0)),""))</f>
        <v/>
      </c>
      <c r="T304" s="24" t="e">
        <f>S304+'Shipping Program'!$H$9</f>
        <v>#VALUE!</v>
      </c>
      <c r="U304" s="25" t="str">
        <f>IFERROR(IF(J304*T304&lt;&gt;0,J304-T304,""),"")</f>
        <v/>
      </c>
      <c r="V304" s="25" t="str">
        <f>IF(U304&lt;&gt;"",IF(U304&gt;28,"Too early",IF(U304&lt;14,"Too late","")),"")</f>
        <v/>
      </c>
      <c r="W304" s="35"/>
      <c r="X304" s="26" t="str">
        <f ca="1">IF(OFFSET(X304,1,0)="",R304,OFFSET(X304,1,0))</f>
        <v/>
      </c>
      <c r="Y304" s="26" t="e">
        <f ca="1">IF(OFFSET(Y304,1,0)="",X304+'Shipping Program'!$F$9,OFFSET(Y304,1,0))</f>
        <v>#VALUE!</v>
      </c>
      <c r="Z304" s="26" t="e">
        <f ca="1">IF(OFFSET(Z304,1,0)="",Y304+'Shipping Program'!$H$9,OFFSET(Z304,1,0))</f>
        <v>#VALUE!</v>
      </c>
      <c r="AA304" s="27" t="str">
        <f ca="1">IFERROR(IF(J304*Z304&lt;&gt;0,J304-Z304,""),"")</f>
        <v/>
      </c>
      <c r="AB304" s="27" t="str">
        <f ca="1">IF(AA304&lt;&gt;"",IF(AA304&gt;28,"Too early",IF(AA304&lt;14,"Too late","")),"")</f>
        <v/>
      </c>
      <c r="AC304" s="46"/>
      <c r="AE304" s="80" t="s">
        <v>43</v>
      </c>
      <c r="AF304" s="80" t="s">
        <v>41</v>
      </c>
      <c r="AG304" s="80" t="s">
        <v>42</v>
      </c>
      <c r="AH304" s="80" t="str">
        <f>IF(AI304="","",AI304*AJ304*AK304/1000/1000/1000)</f>
        <v/>
      </c>
      <c r="AI304" s="80"/>
      <c r="AJ304" s="80"/>
      <c r="AK304" s="80"/>
    </row>
    <row r="305" spans="1:37" ht="20.100000000000001" customHeight="1">
      <c r="A305" s="33">
        <f ca="1">COUNTIF(J$3:OFFSET(J305,-1,0),"Subtotal:")+1</f>
        <v>18</v>
      </c>
      <c r="B305" s="23" t="str">
        <f ca="1">IF(OFFSET(B305,1,0)&lt;&gt;"",OFFSET(B305,1,0),"")</f>
        <v/>
      </c>
      <c r="C305" s="42"/>
      <c r="D305" s="59" t="s">
        <v>122</v>
      </c>
      <c r="E305" s="60"/>
      <c r="F305" s="59" t="s">
        <v>3</v>
      </c>
      <c r="G305" s="59" t="s">
        <v>158</v>
      </c>
      <c r="H305" s="60"/>
      <c r="I305" s="24" t="str">
        <f>IF(J305&lt;&gt;"",J305 - ('Shipping Program'!$D$9 + 'Shipping Program'!$F$9 + 'Shipping Program'!$H$9), "")</f>
        <v/>
      </c>
      <c r="J305" s="43"/>
      <c r="K305" s="44" t="str">
        <f>IF(SUM(M305:N305)=0,"",SUM(M305:N305))</f>
        <v/>
      </c>
      <c r="L305" s="44"/>
      <c r="M305" s="44"/>
      <c r="N305" s="54"/>
      <c r="O305" s="25" t="e">
        <f>VLOOKUP(I305,'Shipping Program'!$A$32:$B$78,2)-1</f>
        <v>#N/A</v>
      </c>
      <c r="P305" s="44" t="e">
        <f>O305</f>
        <v>#N/A</v>
      </c>
      <c r="Q305" s="24" t="e">
        <f>R305-7</f>
        <v>#VALUE!</v>
      </c>
      <c r="R305" s="24" t="str">
        <f>IFERROR(_xlfn.XLOOKUP(P305,'Shipping Program'!$B$32:$B$78,'Shipping Program'!$A$32:$A$78),IFERROR(INDEX(_V7Batches!$B:$B,MATCH(P305&amp;"",_V7Batches!$A:$A,0)),""))</f>
        <v/>
      </c>
      <c r="S305" s="24" t="str">
        <f>IFERROR(_xlfn.XLOOKUP(P305,'Shipping Program'!$B$32:$B$78,'Shipping Program'!$E$32:$E$78),IFERROR(INDEX(_V7Batches!$D:$D,MATCH(P305&amp;"",_V7Batches!$A:$A,0)),""))</f>
        <v/>
      </c>
      <c r="T305" s="24" t="e">
        <f>S305+'Shipping Program'!$H$9</f>
        <v>#VALUE!</v>
      </c>
      <c r="U305" s="25" t="str">
        <f>IFERROR(IF(J305*T305&lt;&gt;0,J305-T305,""),"")</f>
        <v/>
      </c>
      <c r="V305" s="25" t="str">
        <f>IF(U305&lt;&gt;"",IF(U305&gt;28,"Too early",IF(U305&lt;14,"Too late","")),"")</f>
        <v/>
      </c>
      <c r="W305" s="35"/>
      <c r="X305" s="26" t="str">
        <f ca="1">IF(OFFSET(X305,1,0)="",R305,OFFSET(X305,1,0))</f>
        <v/>
      </c>
      <c r="Y305" s="26" t="e">
        <f ca="1">IF(OFFSET(Y305,1,0)="",X305+'Shipping Program'!$F$9,OFFSET(Y305,1,0))</f>
        <v>#VALUE!</v>
      </c>
      <c r="Z305" s="26" t="e">
        <f ca="1">IF(OFFSET(Z305,1,0)="",Y305+'Shipping Program'!$H$9,OFFSET(Z305,1,0))</f>
        <v>#VALUE!</v>
      </c>
      <c r="AA305" s="27" t="str">
        <f ca="1">IFERROR(IF(J305*Z305&lt;&gt;0,J305-Z305,""),"")</f>
        <v/>
      </c>
      <c r="AB305" s="27" t="str">
        <f ca="1">IF(AA305&lt;&gt;"",IF(AA305&gt;28,"Too early",IF(AA305&lt;14,"Too late","")),"")</f>
        <v/>
      </c>
      <c r="AC305" s="46"/>
      <c r="AE305" s="80" t="s">
        <v>43</v>
      </c>
      <c r="AF305" s="80" t="s">
        <v>41</v>
      </c>
      <c r="AG305" s="80" t="s">
        <v>42</v>
      </c>
      <c r="AH305" s="80" t="str">
        <f>IF(AI305="","",AI305*AJ305*AK305/1000/1000/1000)</f>
        <v/>
      </c>
      <c r="AI305" s="80"/>
      <c r="AJ305" s="80"/>
      <c r="AK305" s="80"/>
    </row>
    <row r="306" spans="1:37" ht="20.100000000000001" customHeight="1">
      <c r="A306" s="33">
        <f ca="1">COUNTIF(J$3:OFFSET(J306,-1,0),"Subtotal:")+1</f>
        <v>18</v>
      </c>
      <c r="B306" s="23" t="str">
        <f ca="1">IF(OFFSET(B306,1,0)&lt;&gt;"",OFFSET(B306,1,0),"")</f>
        <v/>
      </c>
      <c r="C306" s="42"/>
      <c r="D306" s="59" t="s">
        <v>125</v>
      </c>
      <c r="E306" s="60" t="str">
        <f>LEFT(F306,3)</f>
        <v>#15</v>
      </c>
      <c r="F306" s="59" t="s">
        <v>157</v>
      </c>
      <c r="G306" s="59" t="s">
        <v>126</v>
      </c>
      <c r="H306" s="60"/>
      <c r="I306" s="24" t="str">
        <f>IF(J306&lt;&gt;"",J306 - ('Shipping Program'!$D$9 + 'Shipping Program'!$F$9 + 'Shipping Program'!$H$9), "")</f>
        <v/>
      </c>
      <c r="J306" s="43"/>
      <c r="K306" s="44" t="str">
        <f>IF(SUM(M306:N306)=0,"",SUM(M306:N306))</f>
        <v/>
      </c>
      <c r="L306" s="44"/>
      <c r="M306" s="44"/>
      <c r="N306" s="54"/>
      <c r="O306" s="25" t="e">
        <f>VLOOKUP(I306,'Shipping Program'!$A$32:$B$78,2)-1</f>
        <v>#N/A</v>
      </c>
      <c r="P306" s="44" t="e">
        <f>O306</f>
        <v>#N/A</v>
      </c>
      <c r="Q306" s="24" t="e">
        <f>R306-7</f>
        <v>#VALUE!</v>
      </c>
      <c r="R306" s="24" t="str">
        <f>IFERROR(_xlfn.XLOOKUP(P306,'Shipping Program'!$B$32:$B$78,'Shipping Program'!$A$32:$A$78),IFERROR(INDEX(_V7Batches!$B:$B,MATCH(P306&amp;"",_V7Batches!$A:$A,0)),""))</f>
        <v/>
      </c>
      <c r="S306" s="24" t="str">
        <f>IFERROR(_xlfn.XLOOKUP(P306,'Shipping Program'!$B$32:$B$78,'Shipping Program'!$E$32:$E$78),IFERROR(INDEX(_V7Batches!$D:$D,MATCH(P306&amp;"",_V7Batches!$A:$A,0)),""))</f>
        <v/>
      </c>
      <c r="T306" s="24" t="e">
        <f>S306+'Shipping Program'!$H$9</f>
        <v>#VALUE!</v>
      </c>
      <c r="U306" s="25" t="str">
        <f>IFERROR(IF(J306*T306&lt;&gt;0,J306-T306,""),"")</f>
        <v/>
      </c>
      <c r="V306" s="25" t="str">
        <f>IF(U306&lt;&gt;"",IF(U306&gt;28,"Too early",IF(U306&lt;14,"Too late","")),"")</f>
        <v/>
      </c>
      <c r="W306" s="35"/>
      <c r="X306" s="26" t="str">
        <f ca="1">IF(OFFSET(X306,1,0)="",R306,OFFSET(X306,1,0))</f>
        <v/>
      </c>
      <c r="Y306" s="26" t="e">
        <f ca="1">IF(OFFSET(Y306,1,0)="",X306+'Shipping Program'!$F$9,OFFSET(Y306,1,0))</f>
        <v>#VALUE!</v>
      </c>
      <c r="Z306" s="26" t="e">
        <f ca="1">IF(OFFSET(Z306,1,0)="",Y306+'Shipping Program'!$H$9,OFFSET(Z306,1,0))</f>
        <v>#VALUE!</v>
      </c>
      <c r="AA306" s="27" t="str">
        <f ca="1">IFERROR(IF(J306*Z306&lt;&gt;0,J306-Z306,""),"")</f>
        <v/>
      </c>
      <c r="AB306" s="27" t="str">
        <f ca="1">IF(AA306&lt;&gt;"",IF(AA306&gt;28,"Too early",IF(AA306&lt;14,"Too late","")),"")</f>
        <v/>
      </c>
      <c r="AC306" s="46"/>
      <c r="AE306" s="80" t="s">
        <v>43</v>
      </c>
      <c r="AF306" s="80" t="s">
        <v>46</v>
      </c>
      <c r="AG306" s="80" t="s">
        <v>42</v>
      </c>
      <c r="AH306" s="80" t="str">
        <f>IF(AI306="","",AI306*AJ306*AK306/1000/1000/1000)</f>
        <v/>
      </c>
      <c r="AI306" s="80"/>
      <c r="AJ306" s="80"/>
      <c r="AK306" s="80"/>
    </row>
    <row r="307" spans="1:37" ht="20.100000000000001" customHeight="1">
      <c r="A307" s="33">
        <f ca="1">COUNTIF(J$3:OFFSET(J307,-1,0),"Subtotal:")+1</f>
        <v>18</v>
      </c>
      <c r="B307" s="23" t="str">
        <f ca="1">IF(OFFSET(B307,1,0)&lt;&gt;"",OFFSET(B307,1,0),"")</f>
        <v/>
      </c>
      <c r="C307" s="42"/>
      <c r="D307" s="59" t="s">
        <v>125</v>
      </c>
      <c r="E307" s="60" t="str">
        <f>LEFT(F307,3)</f>
        <v>#15</v>
      </c>
      <c r="F307" s="59" t="s">
        <v>157</v>
      </c>
      <c r="G307" s="59" t="s">
        <v>127</v>
      </c>
      <c r="H307" s="60"/>
      <c r="I307" s="24" t="str">
        <f>IF(J307&lt;&gt;"",J307 - ('Shipping Program'!$D$9 + 'Shipping Program'!$F$9 + 'Shipping Program'!$H$9), "")</f>
        <v/>
      </c>
      <c r="J307" s="43"/>
      <c r="K307" s="44" t="str">
        <f>IF(SUM(M307:N307)=0,"",SUM(M307:N307))</f>
        <v/>
      </c>
      <c r="L307" s="44"/>
      <c r="M307" s="44"/>
      <c r="N307" s="54"/>
      <c r="O307" s="25" t="e">
        <f>VLOOKUP(I307,'Shipping Program'!$A$32:$B$78,2)-1</f>
        <v>#N/A</v>
      </c>
      <c r="P307" s="44" t="e">
        <f>O307</f>
        <v>#N/A</v>
      </c>
      <c r="Q307" s="24" t="e">
        <f>R307-7</f>
        <v>#VALUE!</v>
      </c>
      <c r="R307" s="24" t="str">
        <f>IFERROR(_xlfn.XLOOKUP(P307,'Shipping Program'!$B$32:$B$78,'Shipping Program'!$A$32:$A$78),IFERROR(INDEX(_V7Batches!$B:$B,MATCH(P307&amp;"",_V7Batches!$A:$A,0)),""))</f>
        <v/>
      </c>
      <c r="S307" s="24" t="str">
        <f>IFERROR(_xlfn.XLOOKUP(P307,'Shipping Program'!$B$32:$B$78,'Shipping Program'!$E$32:$E$78),IFERROR(INDEX(_V7Batches!$D:$D,MATCH(P307&amp;"",_V7Batches!$A:$A,0)),""))</f>
        <v/>
      </c>
      <c r="T307" s="24" t="e">
        <f>S307+'Shipping Program'!$H$9</f>
        <v>#VALUE!</v>
      </c>
      <c r="U307" s="25" t="str">
        <f>IFERROR(IF(J307*T307&lt;&gt;0,J307-T307,""),"")</f>
        <v/>
      </c>
      <c r="V307" s="25" t="str">
        <f>IF(U307&lt;&gt;"",IF(U307&gt;28,"Too early",IF(U307&lt;14,"Too late","")),"")</f>
        <v/>
      </c>
      <c r="W307" s="35"/>
      <c r="X307" s="26" t="str">
        <f ca="1">IF(OFFSET(X307,1,0)="",R307,OFFSET(X307,1,0))</f>
        <v/>
      </c>
      <c r="Y307" s="26" t="e">
        <f ca="1">IF(OFFSET(Y307,1,0)="",X307+'Shipping Program'!$F$9,OFFSET(Y307,1,0))</f>
        <v>#VALUE!</v>
      </c>
      <c r="Z307" s="26" t="e">
        <f ca="1">IF(OFFSET(Z307,1,0)="",Y307+'Shipping Program'!$H$9,OFFSET(Z307,1,0))</f>
        <v>#VALUE!</v>
      </c>
      <c r="AA307" s="27" t="str">
        <f ca="1">IFERROR(IF(J307*Z307&lt;&gt;0,J307-Z307,""),"")</f>
        <v/>
      </c>
      <c r="AB307" s="27" t="str">
        <f ca="1">IF(AA307&lt;&gt;"",IF(AA307&gt;28,"Too early",IF(AA307&lt;14,"Too late","")),"")</f>
        <v/>
      </c>
      <c r="AC307" s="46"/>
      <c r="AE307" s="80" t="s">
        <v>43</v>
      </c>
      <c r="AF307" s="80" t="s">
        <v>41</v>
      </c>
      <c r="AG307" s="80" t="s">
        <v>42</v>
      </c>
      <c r="AH307" s="80" t="str">
        <f>IF(AI307="","",AI307*AJ307*AK307/1000/1000/1000)</f>
        <v/>
      </c>
      <c r="AI307" s="80"/>
      <c r="AJ307" s="80"/>
      <c r="AK307" s="80"/>
    </row>
    <row r="308" spans="1:37" ht="20.100000000000001" customHeight="1">
      <c r="A308" s="33">
        <f ca="1">COUNTIF(J$3:OFFSET(J308,-1,0),"Subtotal:")+1</f>
        <v>18</v>
      </c>
      <c r="B308" s="23" t="str">
        <f ca="1">IF(OFFSET(B308,1,0)&lt;&gt;"",OFFSET(B308,1,0),"")</f>
        <v/>
      </c>
      <c r="C308" s="42"/>
      <c r="D308" s="59" t="s">
        <v>125</v>
      </c>
      <c r="E308" s="60" t="str">
        <f>LEFT(F308,3)</f>
        <v>#07</v>
      </c>
      <c r="F308" s="59" t="s">
        <v>153</v>
      </c>
      <c r="G308" s="59" t="s">
        <v>128</v>
      </c>
      <c r="H308" s="60"/>
      <c r="I308" s="24" t="str">
        <f>IF(J308&lt;&gt;"",J308 - ('Shipping Program'!$D$9 + 'Shipping Program'!$F$9 + 'Shipping Program'!$H$9), "")</f>
        <v/>
      </c>
      <c r="J308" s="43"/>
      <c r="K308" s="44" t="str">
        <f>IF(SUM(M308:N308)=0,"",SUM(M308:N308))</f>
        <v/>
      </c>
      <c r="L308" s="44"/>
      <c r="M308" s="44"/>
      <c r="N308" s="54"/>
      <c r="O308" s="25" t="e">
        <f>VLOOKUP(I308,'Shipping Program'!$A$32:$B$78,2)-1</f>
        <v>#N/A</v>
      </c>
      <c r="P308" s="44" t="e">
        <f>O308</f>
        <v>#N/A</v>
      </c>
      <c r="Q308" s="24" t="e">
        <f>R308-7</f>
        <v>#VALUE!</v>
      </c>
      <c r="R308" s="24" t="str">
        <f>IFERROR(_xlfn.XLOOKUP(P308,'Shipping Program'!$B$32:$B$78,'Shipping Program'!$A$32:$A$78),IFERROR(INDEX(_V7Batches!$B:$B,MATCH(P308&amp;"",_V7Batches!$A:$A,0)),""))</f>
        <v/>
      </c>
      <c r="S308" s="24" t="str">
        <f>IFERROR(_xlfn.XLOOKUP(P308,'Shipping Program'!$B$32:$B$78,'Shipping Program'!$E$32:$E$78),IFERROR(INDEX(_V7Batches!$D:$D,MATCH(P308&amp;"",_V7Batches!$A:$A,0)),""))</f>
        <v/>
      </c>
      <c r="T308" s="24" t="e">
        <f>S308+'Shipping Program'!$H$9</f>
        <v>#VALUE!</v>
      </c>
      <c r="U308" s="25" t="str">
        <f>IFERROR(IF(J308*T308&lt;&gt;0,J308-T308,""),"")</f>
        <v/>
      </c>
      <c r="V308" s="25" t="str">
        <f>IF(U308&lt;&gt;"",IF(U308&gt;28,"Too early",IF(U308&lt;14,"Too late","")),"")</f>
        <v/>
      </c>
      <c r="W308" s="35"/>
      <c r="X308" s="26" t="str">
        <f ca="1">IF(OFFSET(X308,1,0)="",R308,OFFSET(X308,1,0))</f>
        <v/>
      </c>
      <c r="Y308" s="26" t="e">
        <f ca="1">IF(OFFSET(Y308,1,0)="",X308+'Shipping Program'!$F$9,OFFSET(Y308,1,0))</f>
        <v>#VALUE!</v>
      </c>
      <c r="Z308" s="26" t="e">
        <f ca="1">IF(OFFSET(Z308,1,0)="",Y308+'Shipping Program'!$H$9,OFFSET(Z308,1,0))</f>
        <v>#VALUE!</v>
      </c>
      <c r="AA308" s="27" t="str">
        <f ca="1">IFERROR(IF(J308*Z308&lt;&gt;0,J308-Z308,""),"")</f>
        <v/>
      </c>
      <c r="AB308" s="27" t="str">
        <f ca="1">IF(AA308&lt;&gt;"",IF(AA308&gt;28,"Too early",IF(AA308&lt;14,"Too late","")),"")</f>
        <v/>
      </c>
      <c r="AC308" s="46"/>
      <c r="AE308" s="80" t="s">
        <v>43</v>
      </c>
      <c r="AF308" s="80" t="s">
        <v>46</v>
      </c>
      <c r="AG308" s="80" t="s">
        <v>42</v>
      </c>
      <c r="AH308" s="80" t="str">
        <f>IF(AI308="","",AI308*AJ308*AK308/1000/1000/1000)</f>
        <v/>
      </c>
      <c r="AI308" s="80"/>
      <c r="AJ308" s="80"/>
      <c r="AK308" s="80"/>
    </row>
    <row r="309" spans="1:37" ht="20.100000000000001" customHeight="1">
      <c r="A309" s="33">
        <f ca="1">COUNTIF(J$3:OFFSET(J309,-1,0),"Subtotal:")+1</f>
        <v>18</v>
      </c>
      <c r="B309" s="23" t="str">
        <f ca="1">IF(OFFSET(B309,1,0)&lt;&gt;"",OFFSET(B309,1,0),"")</f>
        <v/>
      </c>
      <c r="C309" s="42"/>
      <c r="D309" s="59" t="s">
        <v>129</v>
      </c>
      <c r="E309" s="60" t="str">
        <f>LEFT(F309,3)</f>
        <v>#07</v>
      </c>
      <c r="F309" s="59" t="s">
        <v>153</v>
      </c>
      <c r="G309" s="59" t="s">
        <v>130</v>
      </c>
      <c r="H309" s="60"/>
      <c r="I309" s="24" t="str">
        <f>IF(J309&lt;&gt;"",J309 - ('Shipping Program'!$D$9 + 'Shipping Program'!$F$9 + 'Shipping Program'!$H$9), "")</f>
        <v/>
      </c>
      <c r="J309" s="43"/>
      <c r="K309" s="44" t="str">
        <f>IF(SUM(M309:N309)=0,"",SUM(M309:N309))</f>
        <v/>
      </c>
      <c r="L309" s="44"/>
      <c r="M309" s="44"/>
      <c r="N309" s="54"/>
      <c r="O309" s="25" t="e">
        <f>VLOOKUP(I309,'Shipping Program'!$A$32:$B$78,2)-1</f>
        <v>#N/A</v>
      </c>
      <c r="P309" s="44" t="e">
        <f>O309</f>
        <v>#N/A</v>
      </c>
      <c r="Q309" s="24" t="e">
        <f>R309-7</f>
        <v>#VALUE!</v>
      </c>
      <c r="R309" s="24" t="str">
        <f>IFERROR(_xlfn.XLOOKUP(P309,'Shipping Program'!$B$32:$B$78,'Shipping Program'!$A$32:$A$78),IFERROR(INDEX(_V7Batches!$B:$B,MATCH(P309&amp;"",_V7Batches!$A:$A,0)),""))</f>
        <v/>
      </c>
      <c r="S309" s="24" t="str">
        <f>IFERROR(_xlfn.XLOOKUP(P309,'Shipping Program'!$B$32:$B$78,'Shipping Program'!$E$32:$E$78),IFERROR(INDEX(_V7Batches!$D:$D,MATCH(P309&amp;"",_V7Batches!$A:$A,0)),""))</f>
        <v/>
      </c>
      <c r="T309" s="24" t="e">
        <f>S309+'Shipping Program'!$H$9</f>
        <v>#VALUE!</v>
      </c>
      <c r="U309" s="25" t="str">
        <f>IFERROR(IF(J309*T309&lt;&gt;0,J309-T309,""),"")</f>
        <v/>
      </c>
      <c r="V309" s="25" t="str">
        <f>IF(U309&lt;&gt;"",IF(U309&gt;28,"Too early",IF(U309&lt;14,"Too late","")),"")</f>
        <v/>
      </c>
      <c r="W309" s="35"/>
      <c r="X309" s="26" t="str">
        <f ca="1">IF(OFFSET(X309,1,0)="",R309,OFFSET(X309,1,0))</f>
        <v/>
      </c>
      <c r="Y309" s="26" t="e">
        <f ca="1">IF(OFFSET(Y309,1,0)="",X309+'Shipping Program'!$F$9,OFFSET(Y309,1,0))</f>
        <v>#VALUE!</v>
      </c>
      <c r="Z309" s="26" t="e">
        <f ca="1">IF(OFFSET(Z309,1,0)="",Y309+'Shipping Program'!$H$9,OFFSET(Z309,1,0))</f>
        <v>#VALUE!</v>
      </c>
      <c r="AA309" s="27" t="str">
        <f ca="1">IFERROR(IF(J309*Z309&lt;&gt;0,J309-Z309,""),"")</f>
        <v/>
      </c>
      <c r="AB309" s="27" t="str">
        <f ca="1">IF(AA309&lt;&gt;"",IF(AA309&gt;28,"Too early",IF(AA309&lt;14,"Too late","")),"")</f>
        <v/>
      </c>
      <c r="AC309" s="46"/>
      <c r="AE309" s="80" t="s">
        <v>43</v>
      </c>
      <c r="AF309" s="80" t="s">
        <v>41</v>
      </c>
      <c r="AG309" s="80" t="s">
        <v>42</v>
      </c>
      <c r="AH309" s="80" t="str">
        <f>IF(AI309="","",AI309*AJ309*AK309/1000/1000/1000)</f>
        <v/>
      </c>
      <c r="AI309" s="80"/>
      <c r="AJ309" s="80"/>
      <c r="AK309" s="80"/>
    </row>
    <row r="310" spans="1:37" ht="20.100000000000001" customHeight="1">
      <c r="A310" s="83"/>
      <c r="B310" s="84"/>
      <c r="C310" s="85"/>
      <c r="D310" s="86"/>
      <c r="E310" s="87"/>
      <c r="F310" s="86"/>
      <c r="G310" s="86"/>
      <c r="H310" s="87"/>
      <c r="I310" s="89"/>
      <c r="J310" s="89"/>
      <c r="K310" s="90" t="str">
        <f>IF(SUM(M310:N310)=0,"",SUM(M310:N310))</f>
        <v/>
      </c>
      <c r="L310" s="90"/>
      <c r="M310" s="90"/>
      <c r="N310" s="91"/>
      <c r="O310" s="92"/>
      <c r="P310" s="44"/>
      <c r="Q310" s="88"/>
      <c r="R310" s="88"/>
      <c r="S310" s="88"/>
      <c r="T310" s="88"/>
      <c r="U310" s="92"/>
      <c r="V310" s="92"/>
      <c r="W310" s="93"/>
      <c r="X310" s="88"/>
      <c r="Y310" s="88"/>
      <c r="Z310" s="88"/>
      <c r="AA310" s="92"/>
      <c r="AB310" s="92"/>
      <c r="AC310" s="94"/>
      <c r="AE310" s="80"/>
      <c r="AF310" s="80"/>
      <c r="AG310" s="80"/>
      <c r="AH310" s="80" t="str">
        <f>IF(AI310="","",AI310*AJ310*AK310/1000/1000/1000)</f>
        <v/>
      </c>
      <c r="AI310" s="80"/>
      <c r="AJ310" s="80"/>
      <c r="AK310" s="80"/>
    </row>
    <row r="311" spans="1:37" ht="20.100000000000001" customHeight="1">
      <c r="A311" s="83"/>
      <c r="B311" s="84"/>
      <c r="C311" s="85"/>
      <c r="D311" s="86"/>
      <c r="E311" s="87"/>
      <c r="F311" s="86"/>
      <c r="G311" s="86"/>
      <c r="H311" s="87"/>
      <c r="I311" s="89"/>
      <c r="J311" s="89"/>
      <c r="K311" s="90" t="str">
        <f>IF(SUM(M311:N311)=0,"",SUM(M311:N311))</f>
        <v/>
      </c>
      <c r="L311" s="90"/>
      <c r="M311" s="90"/>
      <c r="N311" s="91"/>
      <c r="O311" s="92"/>
      <c r="P311" s="44"/>
      <c r="Q311" s="88"/>
      <c r="R311" s="88"/>
      <c r="S311" s="88"/>
      <c r="T311" s="88"/>
      <c r="U311" s="92"/>
      <c r="V311" s="92"/>
      <c r="W311" s="93"/>
      <c r="X311" s="88"/>
      <c r="Y311" s="88"/>
      <c r="Z311" s="88"/>
      <c r="AA311" s="92"/>
      <c r="AB311" s="92"/>
      <c r="AC311" s="94"/>
      <c r="AE311" s="80"/>
      <c r="AF311" s="80"/>
      <c r="AG311" s="80"/>
      <c r="AH311" s="80" t="str">
        <f>IF(AI311="","",AI311*AJ311*AK311/1000/1000/1000)</f>
        <v/>
      </c>
      <c r="AI311" s="80"/>
      <c r="AJ311" s="80"/>
      <c r="AK311" s="80"/>
    </row>
    <row r="312" spans="1:37" ht="20.100000000000001" customHeight="1">
      <c r="A312" s="83"/>
      <c r="B312" s="84"/>
      <c r="C312" s="85"/>
      <c r="D312" s="86"/>
      <c r="E312" s="87"/>
      <c r="F312" s="86"/>
      <c r="G312" s="86"/>
      <c r="H312" s="87"/>
      <c r="I312" s="89"/>
      <c r="J312" s="89"/>
      <c r="K312" s="90" t="str">
        <f>IF(SUM(M312:N312)=0,"",SUM(M312:N312))</f>
        <v/>
      </c>
      <c r="L312" s="90"/>
      <c r="M312" s="90"/>
      <c r="N312" s="91"/>
      <c r="O312" s="92"/>
      <c r="P312" s="44"/>
      <c r="Q312" s="88"/>
      <c r="R312" s="88"/>
      <c r="S312" s="88"/>
      <c r="T312" s="88"/>
      <c r="U312" s="92"/>
      <c r="V312" s="92"/>
      <c r="W312" s="93"/>
      <c r="X312" s="88"/>
      <c r="Y312" s="88"/>
      <c r="Z312" s="88"/>
      <c r="AA312" s="92"/>
      <c r="AB312" s="92"/>
      <c r="AC312" s="94"/>
      <c r="AE312" s="80"/>
      <c r="AF312" s="80"/>
      <c r="AG312" s="80"/>
      <c r="AH312" s="80" t="str">
        <f>IF(AI312="","",AI312*AJ312*AK312/1000/1000/1000)</f>
        <v/>
      </c>
      <c r="AI312" s="80"/>
      <c r="AJ312" s="80"/>
      <c r="AK312" s="80"/>
    </row>
    <row r="313" spans="1:37" ht="20.100000000000001" customHeight="1">
      <c r="A313" s="83"/>
      <c r="B313" s="84"/>
      <c r="C313" s="85"/>
      <c r="D313" s="86"/>
      <c r="E313" s="87"/>
      <c r="F313" s="86"/>
      <c r="G313" s="86"/>
      <c r="H313" s="87"/>
      <c r="I313" s="87"/>
      <c r="J313" s="89"/>
      <c r="K313" s="90" t="str">
        <f>IF(SUM(M313:N313)=0,"",SUM(M313:N313))</f>
        <v/>
      </c>
      <c r="L313" s="90"/>
      <c r="M313" s="90"/>
      <c r="N313" s="91"/>
      <c r="O313" s="92"/>
      <c r="P313" s="44"/>
      <c r="Q313" s="88"/>
      <c r="R313" s="88"/>
      <c r="S313" s="88"/>
      <c r="T313" s="88"/>
      <c r="U313" s="92"/>
      <c r="V313" s="92"/>
      <c r="W313" s="93"/>
      <c r="X313" s="88"/>
      <c r="Y313" s="88"/>
      <c r="Z313" s="88"/>
      <c r="AA313" s="92"/>
      <c r="AB313" s="92"/>
      <c r="AC313" s="94"/>
      <c r="AE313" s="80"/>
      <c r="AF313" s="80"/>
      <c r="AG313" s="80"/>
      <c r="AH313" s="80" t="str">
        <f>IF(AI313="","",AI313*AJ313*AK313/1000/1000/1000)</f>
        <v/>
      </c>
      <c r="AI313" s="80"/>
      <c r="AJ313" s="80"/>
      <c r="AK313" s="80"/>
    </row>
    <row r="314" spans="1:37" ht="20.100000000000001" customHeight="1">
      <c r="A314" s="83"/>
      <c r="B314" s="84"/>
      <c r="C314" s="85"/>
      <c r="D314" s="86"/>
      <c r="E314" s="87"/>
      <c r="F314" s="86"/>
      <c r="G314" s="86"/>
      <c r="H314" s="87"/>
      <c r="I314" s="89"/>
      <c r="J314" s="89"/>
      <c r="K314" s="90"/>
      <c r="L314" s="90"/>
      <c r="M314" s="90"/>
      <c r="N314" s="91"/>
      <c r="O314" s="92"/>
      <c r="P314" s="44"/>
      <c r="Q314" s="88"/>
      <c r="R314" s="88"/>
      <c r="S314" s="88"/>
      <c r="T314" s="88"/>
      <c r="U314" s="92"/>
      <c r="V314" s="92"/>
      <c r="W314" s="93"/>
      <c r="X314" s="88"/>
      <c r="Y314" s="88"/>
      <c r="Z314" s="88"/>
      <c r="AA314" s="92"/>
      <c r="AB314" s="92"/>
      <c r="AC314" s="94"/>
      <c r="AE314" s="80"/>
      <c r="AF314" s="80"/>
      <c r="AG314" s="80"/>
      <c r="AH314" s="80"/>
      <c r="AI314" s="80"/>
      <c r="AJ314" s="80"/>
      <c r="AK314" s="80"/>
    </row>
    <row r="315" spans="1:37" ht="20.100000000000001" customHeight="1">
      <c r="A315" s="83"/>
      <c r="B315" s="84"/>
      <c r="C315" s="85"/>
      <c r="D315" s="86"/>
      <c r="E315" s="87"/>
      <c r="F315" s="86"/>
      <c r="G315" s="86"/>
      <c r="H315" s="87"/>
      <c r="I315" s="89"/>
      <c r="J315" s="89"/>
      <c r="K315" s="90" t="str">
        <f>IF(SUM(M315:N315)=0,"",SUM(M315:N315))</f>
        <v/>
      </c>
      <c r="L315" s="90"/>
      <c r="M315" s="90"/>
      <c r="N315" s="91"/>
      <c r="O315" s="92"/>
      <c r="P315" s="44"/>
      <c r="Q315" s="88"/>
      <c r="R315" s="88"/>
      <c r="S315" s="88"/>
      <c r="T315" s="88"/>
      <c r="U315" s="92"/>
      <c r="V315" s="92"/>
      <c r="W315" s="93"/>
      <c r="X315" s="88"/>
      <c r="Y315" s="88"/>
      <c r="Z315" s="88"/>
      <c r="AA315" s="92"/>
      <c r="AB315" s="92"/>
      <c r="AC315" s="94"/>
      <c r="AE315" s="80"/>
      <c r="AF315" s="80"/>
      <c r="AG315" s="80"/>
      <c r="AH315" s="80" t="str">
        <f>IF(AI315="","",AI315*AJ315*AK315/1000/1000/1000)</f>
        <v/>
      </c>
      <c r="AI315" s="80"/>
      <c r="AJ315" s="80"/>
      <c r="AK315" s="80"/>
    </row>
    <row r="316" spans="1:37" ht="20.100000000000001" customHeight="1">
      <c r="A316" s="83"/>
      <c r="B316" s="84"/>
      <c r="C316" s="85"/>
      <c r="D316" s="86"/>
      <c r="E316" s="87"/>
      <c r="F316" s="86"/>
      <c r="G316" s="86"/>
      <c r="H316" s="87"/>
      <c r="I316" s="89"/>
      <c r="J316" s="89"/>
      <c r="K316" s="90" t="str">
        <f>IF(SUM(M316:N316)=0,"",SUM(M316:N316))</f>
        <v/>
      </c>
      <c r="L316" s="90"/>
      <c r="M316" s="90"/>
      <c r="N316" s="91"/>
      <c r="O316" s="92"/>
      <c r="P316" s="44"/>
      <c r="Q316" s="88"/>
      <c r="R316" s="88"/>
      <c r="S316" s="88"/>
      <c r="T316" s="88"/>
      <c r="U316" s="92"/>
      <c r="V316" s="92"/>
      <c r="W316" s="93"/>
      <c r="X316" s="88"/>
      <c r="Y316" s="88"/>
      <c r="Z316" s="88"/>
      <c r="AA316" s="92"/>
      <c r="AB316" s="92"/>
      <c r="AC316" s="94"/>
      <c r="AE316" s="80"/>
      <c r="AF316" s="80"/>
      <c r="AG316" s="80"/>
      <c r="AH316" s="80" t="str">
        <f>IF(AI316="","",AI316*AJ316*AK316/1000/1000/1000)</f>
        <v/>
      </c>
      <c r="AI316" s="80"/>
      <c r="AJ316" s="80"/>
      <c r="AK316" s="80"/>
    </row>
    <row r="317" spans="1:37" ht="20.100000000000001" customHeight="1">
      <c r="A317" s="83"/>
      <c r="B317" s="84"/>
      <c r="C317" s="85"/>
      <c r="D317" s="86"/>
      <c r="E317" s="87"/>
      <c r="F317" s="86"/>
      <c r="G317" s="86"/>
      <c r="H317" s="87"/>
      <c r="I317" s="24"/>
      <c r="J317" s="89"/>
      <c r="K317" s="90" t="str">
        <f>IF(SUM(M317:N317)=0,"",SUM(M317:N317))</f>
        <v/>
      </c>
      <c r="L317" s="90"/>
      <c r="M317" s="90"/>
      <c r="N317" s="91"/>
      <c r="O317" s="92"/>
      <c r="P317" s="44"/>
      <c r="Q317" s="88"/>
      <c r="R317" s="88"/>
      <c r="S317" s="88"/>
      <c r="T317" s="88"/>
      <c r="U317" s="92"/>
      <c r="V317" s="92"/>
      <c r="W317" s="93"/>
      <c r="X317" s="88"/>
      <c r="Y317" s="88"/>
      <c r="Z317" s="88"/>
      <c r="AA317" s="92"/>
      <c r="AB317" s="92"/>
      <c r="AC317" s="94"/>
      <c r="AE317" s="80"/>
      <c r="AF317" s="80"/>
      <c r="AG317" s="80"/>
      <c r="AH317" s="80" t="str">
        <f>IF(AI317="","",AI317*AJ317*AK317/1000/1000/1000)</f>
        <v/>
      </c>
      <c r="AI317" s="80"/>
      <c r="AJ317" s="80"/>
      <c r="AK317" s="80"/>
    </row>
    <row r="318" spans="1:37" ht="20.100000000000001" customHeight="1">
      <c r="A318" s="83"/>
      <c r="B318" s="84"/>
      <c r="C318" s="85"/>
      <c r="D318" s="86"/>
      <c r="E318" s="87"/>
      <c r="F318" s="86"/>
      <c r="G318" s="86"/>
      <c r="H318" s="87"/>
      <c r="I318" s="89"/>
      <c r="J318" s="89"/>
      <c r="K318" s="90" t="str">
        <f>IF(SUM(M318:N318)=0,"",SUM(M318:N318))</f>
        <v/>
      </c>
      <c r="L318" s="90"/>
      <c r="M318" s="90"/>
      <c r="N318" s="91"/>
      <c r="O318" s="92"/>
      <c r="P318" s="44"/>
      <c r="Q318" s="88"/>
      <c r="R318" s="88"/>
      <c r="S318" s="88"/>
      <c r="T318" s="88"/>
      <c r="U318" s="92"/>
      <c r="V318" s="92"/>
      <c r="W318" s="93"/>
      <c r="X318" s="88"/>
      <c r="Y318" s="88"/>
      <c r="Z318" s="88"/>
      <c r="AA318" s="92"/>
      <c r="AB318" s="92"/>
      <c r="AC318" s="94"/>
      <c r="AE318" s="80"/>
      <c r="AF318" s="80"/>
      <c r="AG318" s="80"/>
      <c r="AH318" s="80" t="str">
        <f>IF(AI318="","",AI318*AJ318*AK318/1000/1000/1000)</f>
        <v/>
      </c>
      <c r="AI318" s="80"/>
      <c r="AJ318" s="80"/>
      <c r="AK318" s="80"/>
    </row>
    <row r="319" spans="1:37" ht="20.100000000000001" customHeight="1">
      <c r="A319" s="83"/>
      <c r="B319" s="84"/>
      <c r="C319" s="85"/>
      <c r="D319" s="86"/>
      <c r="E319" s="87"/>
      <c r="F319" s="86"/>
      <c r="G319" s="86"/>
      <c r="H319" s="87"/>
      <c r="I319" s="89"/>
      <c r="J319" s="89"/>
      <c r="K319" s="90" t="str">
        <f>IF(SUM(M319:N319)=0,"",SUM(M319:N319))</f>
        <v/>
      </c>
      <c r="L319" s="90"/>
      <c r="M319" s="90"/>
      <c r="N319" s="91"/>
      <c r="O319" s="92"/>
      <c r="P319" s="44"/>
      <c r="Q319" s="88"/>
      <c r="R319" s="88"/>
      <c r="S319" s="88"/>
      <c r="T319" s="88"/>
      <c r="U319" s="92"/>
      <c r="V319" s="92"/>
      <c r="W319" s="93"/>
      <c r="X319" s="88"/>
      <c r="Y319" s="88"/>
      <c r="Z319" s="88"/>
      <c r="AA319" s="92"/>
      <c r="AB319" s="92"/>
      <c r="AC319" s="94"/>
      <c r="AE319" s="80"/>
      <c r="AF319" s="80"/>
      <c r="AG319" s="80"/>
      <c r="AH319" s="80" t="str">
        <f>IF(AI319="","",AI319*AJ319*AK319/1000/1000/1000)</f>
        <v/>
      </c>
      <c r="AI319" s="80"/>
      <c r="AJ319" s="80"/>
      <c r="AK319" s="80"/>
    </row>
    <row r="320" spans="1:37" ht="20.100000000000001" customHeight="1">
      <c r="A320" s="83"/>
      <c r="B320" s="84"/>
      <c r="C320" s="85"/>
      <c r="D320" s="86"/>
      <c r="E320" s="87"/>
      <c r="F320" s="86"/>
      <c r="G320" s="86"/>
      <c r="H320" s="87"/>
      <c r="I320" s="89"/>
      <c r="J320" s="89"/>
      <c r="K320" s="90" t="str">
        <f>IF(SUM(M320:N320)=0,"",SUM(M320:N320))</f>
        <v/>
      </c>
      <c r="L320" s="90"/>
      <c r="M320" s="90"/>
      <c r="N320" s="91"/>
      <c r="O320" s="92"/>
      <c r="P320" s="44"/>
      <c r="Q320" s="88"/>
      <c r="R320" s="88"/>
      <c r="S320" s="88"/>
      <c r="T320" s="88"/>
      <c r="U320" s="92"/>
      <c r="V320" s="92"/>
      <c r="W320" s="93"/>
      <c r="X320" s="88"/>
      <c r="Y320" s="88"/>
      <c r="Z320" s="88"/>
      <c r="AA320" s="92"/>
      <c r="AB320" s="92"/>
      <c r="AC320" s="94"/>
      <c r="AE320" s="80"/>
      <c r="AF320" s="80"/>
      <c r="AG320" s="80"/>
      <c r="AH320" s="80" t="str">
        <f>IF(AI320="","",AI320*AJ320*AK320/1000/1000/1000)</f>
        <v/>
      </c>
      <c r="AI320" s="80"/>
      <c r="AJ320" s="80"/>
      <c r="AK320" s="80"/>
    </row>
    <row r="321" spans="1:37" ht="20.100000000000001" customHeight="1">
      <c r="A321" s="83"/>
      <c r="B321" s="84"/>
      <c r="C321" s="85"/>
      <c r="D321" s="86"/>
      <c r="E321" s="87"/>
      <c r="F321" s="86"/>
      <c r="G321" s="86"/>
      <c r="H321" s="87"/>
      <c r="I321" s="89"/>
      <c r="J321" s="89"/>
      <c r="K321" s="90" t="str">
        <f>IF(SUM(M321:N321)=0,"",SUM(M321:N321))</f>
        <v/>
      </c>
      <c r="L321" s="90"/>
      <c r="M321" s="90"/>
      <c r="N321" s="91"/>
      <c r="O321" s="92"/>
      <c r="P321" s="44"/>
      <c r="Q321" s="88"/>
      <c r="R321" s="88"/>
      <c r="S321" s="88"/>
      <c r="T321" s="88"/>
      <c r="U321" s="92"/>
      <c r="V321" s="92"/>
      <c r="W321" s="93"/>
      <c r="X321" s="88"/>
      <c r="Y321" s="88"/>
      <c r="Z321" s="88"/>
      <c r="AA321" s="92"/>
      <c r="AB321" s="92"/>
      <c r="AC321" s="94"/>
      <c r="AE321" s="80"/>
      <c r="AF321" s="80"/>
      <c r="AG321" s="80"/>
      <c r="AH321" s="80" t="str">
        <f>IF(AI321="","",AI321*AJ321*AK321/1000/1000/1000)</f>
        <v/>
      </c>
      <c r="AI321" s="80"/>
      <c r="AJ321" s="80"/>
      <c r="AK321" s="80"/>
    </row>
    <row r="322" spans="1:37" ht="20.100000000000001" customHeight="1">
      <c r="A322" s="83"/>
      <c r="B322" s="84"/>
      <c r="C322" s="85"/>
      <c r="D322" s="86"/>
      <c r="E322" s="87"/>
      <c r="F322" s="86"/>
      <c r="G322" s="86"/>
      <c r="H322" s="87"/>
      <c r="I322" s="89"/>
      <c r="J322" s="89"/>
      <c r="K322" s="90" t="str">
        <f>IF(SUM(M322:N322)=0,"",SUM(M322:N322))</f>
        <v/>
      </c>
      <c r="L322" s="90"/>
      <c r="M322" s="90"/>
      <c r="N322" s="91"/>
      <c r="O322" s="92"/>
      <c r="P322" s="44"/>
      <c r="Q322" s="88"/>
      <c r="R322" s="88"/>
      <c r="S322" s="88"/>
      <c r="T322" s="88"/>
      <c r="U322" s="92"/>
      <c r="V322" s="92"/>
      <c r="W322" s="93"/>
      <c r="X322" s="88"/>
      <c r="Y322" s="88"/>
      <c r="Z322" s="88"/>
      <c r="AA322" s="92"/>
      <c r="AB322" s="92"/>
      <c r="AC322" s="94"/>
      <c r="AE322" s="80"/>
      <c r="AF322" s="80"/>
      <c r="AG322" s="80"/>
      <c r="AH322" s="80" t="str">
        <f>IF(AI322="","",AI322*AJ322*AK322/1000/1000/1000)</f>
        <v/>
      </c>
      <c r="AI322" s="80"/>
      <c r="AJ322" s="80"/>
      <c r="AK322" s="80"/>
    </row>
    <row r="323" spans="1:37" ht="20.100000000000001" customHeight="1">
      <c r="A323" s="83"/>
      <c r="B323" s="84"/>
      <c r="C323" s="85"/>
      <c r="D323" s="86"/>
      <c r="E323" s="87"/>
      <c r="F323" s="86"/>
      <c r="G323" s="86"/>
      <c r="H323" s="87"/>
      <c r="I323" s="89"/>
      <c r="J323" s="89"/>
      <c r="K323" s="90"/>
      <c r="L323" s="90"/>
      <c r="M323" s="90"/>
      <c r="N323" s="91"/>
      <c r="O323" s="92"/>
      <c r="P323" s="44"/>
      <c r="Q323" s="88"/>
      <c r="R323" s="88"/>
      <c r="S323" s="88"/>
      <c r="T323" s="88"/>
      <c r="U323" s="92"/>
      <c r="V323" s="92"/>
      <c r="W323" s="93"/>
      <c r="X323" s="88"/>
      <c r="Y323" s="88"/>
      <c r="Z323" s="88"/>
      <c r="AA323" s="92"/>
      <c r="AB323" s="92"/>
      <c r="AC323" s="94"/>
      <c r="AE323" s="80"/>
      <c r="AF323" s="80"/>
      <c r="AG323" s="80"/>
      <c r="AH323" s="80"/>
      <c r="AI323" s="80"/>
      <c r="AJ323" s="80"/>
      <c r="AK323" s="80"/>
    </row>
    <row r="324" spans="1:37" ht="20.100000000000001" customHeight="1">
      <c r="A324" s="83"/>
      <c r="B324" s="84"/>
      <c r="C324" s="85"/>
      <c r="D324" s="86"/>
      <c r="E324" s="87"/>
      <c r="F324" s="86"/>
      <c r="G324" s="86"/>
      <c r="H324" s="87"/>
      <c r="I324" s="89"/>
      <c r="J324" s="89"/>
      <c r="K324" s="90" t="str">
        <f>IF(SUM(M324:N324)=0,"",SUM(M324:N324))</f>
        <v/>
      </c>
      <c r="L324" s="90"/>
      <c r="M324" s="90"/>
      <c r="N324" s="91"/>
      <c r="O324" s="92"/>
      <c r="P324" s="44"/>
      <c r="Q324" s="88"/>
      <c r="R324" s="88"/>
      <c r="S324" s="88"/>
      <c r="T324" s="88"/>
      <c r="U324" s="92"/>
      <c r="V324" s="92"/>
      <c r="W324" s="93"/>
      <c r="X324" s="88"/>
      <c r="Y324" s="88"/>
      <c r="Z324" s="88"/>
      <c r="AA324" s="92"/>
      <c r="AB324" s="92"/>
      <c r="AC324" s="94"/>
      <c r="AE324" s="80"/>
      <c r="AF324" s="80"/>
      <c r="AG324" s="80"/>
      <c r="AH324" s="80" t="str">
        <f>IF(AI324="","",AI324*AJ324*AK324/1000/1000/1000)</f>
        <v/>
      </c>
      <c r="AI324" s="80"/>
      <c r="AJ324" s="80"/>
      <c r="AK324" s="80"/>
    </row>
    <row r="325" spans="1:37" ht="20.100000000000001" customHeight="1">
      <c r="A325" s="83"/>
      <c r="B325" s="84"/>
      <c r="C325" s="89"/>
      <c r="D325" s="86"/>
      <c r="E325" s="87"/>
      <c r="F325" s="86"/>
      <c r="G325" s="86"/>
      <c r="H325" s="87"/>
      <c r="I325" s="89"/>
      <c r="J325" s="89"/>
      <c r="K325" s="90"/>
      <c r="L325" s="90"/>
      <c r="M325" s="90"/>
      <c r="N325" s="91"/>
      <c r="O325" s="92"/>
      <c r="P325" s="44"/>
      <c r="Q325" s="88"/>
      <c r="R325" s="88"/>
      <c r="S325" s="88"/>
      <c r="T325" s="88"/>
      <c r="U325" s="92"/>
      <c r="V325" s="92"/>
      <c r="W325" s="93"/>
      <c r="X325" s="88"/>
      <c r="Y325" s="88"/>
      <c r="Z325" s="88"/>
      <c r="AA325" s="92"/>
      <c r="AB325" s="92"/>
      <c r="AC325" s="94"/>
      <c r="AE325" s="80"/>
      <c r="AF325" s="80"/>
      <c r="AG325" s="80"/>
      <c r="AH325" s="80"/>
      <c r="AI325" s="80"/>
      <c r="AJ325" s="80"/>
      <c r="AK325" s="80"/>
    </row>
    <row r="326" spans="1:37" ht="20.100000000000001" customHeight="1">
      <c r="A326" s="83"/>
      <c r="B326" s="84"/>
      <c r="C326" s="89"/>
      <c r="D326" s="86"/>
      <c r="E326" s="87"/>
      <c r="F326" s="86"/>
      <c r="G326" s="86"/>
      <c r="H326" s="87"/>
      <c r="I326" s="89"/>
      <c r="J326" s="89"/>
      <c r="K326" s="90"/>
      <c r="L326" s="90"/>
      <c r="M326" s="90"/>
      <c r="N326" s="91"/>
      <c r="O326" s="92"/>
      <c r="P326" s="44"/>
      <c r="Q326" s="88"/>
      <c r="R326" s="88"/>
      <c r="S326" s="88"/>
      <c r="T326" s="88"/>
      <c r="U326" s="92"/>
      <c r="V326" s="92"/>
      <c r="W326" s="93"/>
      <c r="X326" s="88"/>
      <c r="Y326" s="88"/>
      <c r="Z326" s="88"/>
      <c r="AA326" s="92"/>
      <c r="AB326" s="92"/>
      <c r="AC326" s="94"/>
      <c r="AE326" s="80"/>
      <c r="AF326" s="80"/>
      <c r="AG326" s="80"/>
      <c r="AH326" s="80"/>
      <c r="AI326" s="80"/>
      <c r="AJ326" s="80"/>
      <c r="AK326" s="80"/>
    </row>
    <row r="327" spans="1:37" ht="20.100000000000001" customHeight="1">
      <c r="A327" s="83"/>
      <c r="B327" s="84"/>
      <c r="C327" s="85"/>
      <c r="D327" s="86"/>
      <c r="E327" s="87"/>
      <c r="F327" s="86"/>
      <c r="G327" s="86"/>
      <c r="H327" s="87"/>
      <c r="I327" s="89"/>
      <c r="J327" s="89"/>
      <c r="K327" s="90"/>
      <c r="L327" s="90"/>
      <c r="M327" s="90"/>
      <c r="N327" s="91"/>
      <c r="O327" s="92"/>
      <c r="P327" s="44"/>
      <c r="Q327" s="88"/>
      <c r="R327" s="88"/>
      <c r="S327" s="88"/>
      <c r="T327" s="88"/>
      <c r="U327" s="92"/>
      <c r="V327" s="92"/>
      <c r="W327" s="93"/>
      <c r="X327" s="88"/>
      <c r="Y327" s="88"/>
      <c r="Z327" s="88"/>
      <c r="AA327" s="92"/>
      <c r="AB327" s="92"/>
      <c r="AC327" s="94"/>
      <c r="AE327" s="80"/>
      <c r="AF327" s="80"/>
      <c r="AG327" s="80"/>
      <c r="AH327" s="80"/>
      <c r="AI327" s="80"/>
      <c r="AJ327" s="80"/>
      <c r="AK327" s="80"/>
    </row>
    <row r="328" spans="1:37" ht="20.100000000000001" customHeight="1">
      <c r="A328" s="83"/>
      <c r="B328" s="84"/>
      <c r="C328" s="89"/>
      <c r="D328" s="86"/>
      <c r="E328" s="87"/>
      <c r="F328" s="86"/>
      <c r="G328" s="86"/>
      <c r="H328" s="87"/>
      <c r="I328" s="89"/>
      <c r="J328" s="89"/>
      <c r="K328" s="90"/>
      <c r="L328" s="90"/>
      <c r="M328" s="90"/>
      <c r="N328" s="91"/>
      <c r="O328" s="92"/>
      <c r="P328" s="44"/>
      <c r="Q328" s="88"/>
      <c r="R328" s="88"/>
      <c r="S328" s="88"/>
      <c r="T328" s="88"/>
      <c r="U328" s="92"/>
      <c r="V328" s="92"/>
      <c r="W328" s="93"/>
      <c r="X328" s="88"/>
      <c r="Y328" s="88"/>
      <c r="Z328" s="88"/>
      <c r="AA328" s="92"/>
      <c r="AB328" s="92"/>
      <c r="AC328" s="94"/>
      <c r="AE328" s="80"/>
      <c r="AF328" s="80"/>
      <c r="AG328" s="80"/>
      <c r="AH328" s="80"/>
      <c r="AI328" s="80"/>
      <c r="AJ328" s="80"/>
      <c r="AK328" s="80"/>
    </row>
    <row r="329" spans="1:37" ht="20.100000000000001" customHeight="1">
      <c r="A329" s="83"/>
      <c r="B329" s="84"/>
      <c r="C329" s="85"/>
      <c r="D329" s="86"/>
      <c r="E329" s="87"/>
      <c r="F329" s="86"/>
      <c r="G329" s="86"/>
      <c r="H329" s="87"/>
      <c r="I329" s="89"/>
      <c r="J329" s="89"/>
      <c r="K329" s="90"/>
      <c r="L329" s="90"/>
      <c r="M329" s="90"/>
      <c r="N329" s="91"/>
      <c r="O329" s="92"/>
      <c r="P329" s="44"/>
      <c r="Q329" s="88"/>
      <c r="R329" s="88"/>
      <c r="S329" s="88"/>
      <c r="T329" s="88"/>
      <c r="U329" s="92"/>
      <c r="V329" s="92"/>
      <c r="W329" s="93"/>
      <c r="X329" s="88"/>
      <c r="Y329" s="88"/>
      <c r="Z329" s="88"/>
      <c r="AA329" s="92"/>
      <c r="AB329" s="92"/>
      <c r="AC329" s="94"/>
      <c r="AE329" s="80"/>
      <c r="AF329" s="80"/>
      <c r="AG329" s="80"/>
      <c r="AH329" s="80"/>
      <c r="AI329" s="80"/>
      <c r="AJ329" s="80"/>
      <c r="AK329" s="80"/>
    </row>
    <row r="330" spans="1:37" ht="20.100000000000001" customHeight="1">
      <c r="A330" s="83"/>
      <c r="B330" s="84"/>
      <c r="C330" s="85"/>
      <c r="D330" s="86"/>
      <c r="E330" s="87"/>
      <c r="F330" s="86"/>
      <c r="G330" s="86"/>
      <c r="H330" s="87"/>
      <c r="I330" s="89"/>
      <c r="J330" s="89"/>
      <c r="K330" s="90"/>
      <c r="L330" s="90"/>
      <c r="M330" s="90"/>
      <c r="N330" s="91"/>
      <c r="O330" s="92"/>
      <c r="P330" s="44"/>
      <c r="Q330" s="88"/>
      <c r="R330" s="88"/>
      <c r="S330" s="88"/>
      <c r="T330" s="88"/>
      <c r="U330" s="92"/>
      <c r="V330" s="92"/>
      <c r="W330" s="93"/>
      <c r="X330" s="88"/>
      <c r="Y330" s="88"/>
      <c r="Z330" s="88"/>
      <c r="AA330" s="92"/>
      <c r="AB330" s="92"/>
      <c r="AC330" s="94"/>
      <c r="AE330" s="80"/>
      <c r="AF330" s="80"/>
      <c r="AG330" s="80"/>
      <c r="AH330" s="80"/>
      <c r="AI330" s="80"/>
      <c r="AJ330" s="80"/>
      <c r="AK330" s="80"/>
    </row>
    <row r="331" spans="1:37" ht="20.100000000000001" customHeight="1">
      <c r="A331" s="33"/>
      <c r="B331" s="62"/>
      <c r="C331" s="63"/>
      <c r="D331" s="59"/>
      <c r="E331" s="60"/>
      <c r="F331" s="59"/>
      <c r="G331" s="59"/>
      <c r="H331" s="60"/>
      <c r="I331" s="24"/>
      <c r="J331" s="43"/>
      <c r="K331" s="44"/>
      <c r="L331" s="64"/>
      <c r="M331" s="44"/>
      <c r="N331" s="54"/>
      <c r="O331" s="25"/>
      <c r="P331" s="44"/>
      <c r="Q331" s="24"/>
      <c r="R331" s="24"/>
      <c r="S331" s="24"/>
      <c r="T331" s="24"/>
      <c r="U331" s="25"/>
      <c r="V331" s="25"/>
      <c r="W331" s="35"/>
      <c r="X331" s="26"/>
      <c r="Y331" s="26"/>
      <c r="Z331" s="26"/>
      <c r="AA331" s="27"/>
      <c r="AB331" s="27"/>
      <c r="AC331" s="46"/>
      <c r="AE331" s="80"/>
      <c r="AF331" s="80"/>
      <c r="AG331" s="80"/>
      <c r="AH331" s="80"/>
      <c r="AI331" s="80"/>
      <c r="AJ331" s="80"/>
      <c r="AK331" s="80"/>
    </row>
    <row r="332" spans="1:37" ht="20.100000000000001" customHeight="1">
      <c r="A332" s="33"/>
      <c r="B332" s="62"/>
      <c r="C332" s="63"/>
      <c r="D332" s="59"/>
      <c r="E332" s="60"/>
      <c r="F332" s="59"/>
      <c r="G332" s="59"/>
      <c r="H332" s="60"/>
      <c r="I332" s="24"/>
      <c r="J332" s="43"/>
      <c r="K332" s="44"/>
      <c r="L332" s="64"/>
      <c r="M332" s="44"/>
      <c r="N332" s="54"/>
      <c r="O332" s="25"/>
      <c r="P332" s="44"/>
      <c r="Q332" s="24"/>
      <c r="R332" s="24"/>
      <c r="S332" s="24"/>
      <c r="T332" s="24"/>
      <c r="U332" s="25"/>
      <c r="V332" s="25"/>
      <c r="W332" s="35"/>
      <c r="X332" s="26"/>
      <c r="Y332" s="26"/>
      <c r="Z332" s="26"/>
      <c r="AA332" s="27"/>
      <c r="AB332" s="27"/>
      <c r="AC332" s="46"/>
      <c r="AE332" s="80"/>
      <c r="AF332" s="80"/>
      <c r="AG332" s="80"/>
      <c r="AH332" s="80"/>
      <c r="AI332" s="80"/>
      <c r="AJ332" s="80"/>
      <c r="AK332" s="80"/>
    </row>
    <row r="333" spans="1:37" ht="20.100000000000001" customHeight="1">
      <c r="A333" s="33"/>
      <c r="B333" s="62"/>
      <c r="C333" s="63"/>
      <c r="D333" s="59"/>
      <c r="E333" s="60"/>
      <c r="F333" s="59"/>
      <c r="G333" s="59"/>
      <c r="H333" s="60"/>
      <c r="I333" s="24"/>
      <c r="J333" s="43"/>
      <c r="K333" s="44"/>
      <c r="L333" s="64"/>
      <c r="M333" s="44"/>
      <c r="N333" s="54"/>
      <c r="O333" s="25"/>
      <c r="P333" s="44"/>
      <c r="Q333" s="24"/>
      <c r="R333" s="24"/>
      <c r="S333" s="24"/>
      <c r="T333" s="24"/>
      <c r="U333" s="25"/>
      <c r="V333" s="25"/>
      <c r="W333" s="35"/>
      <c r="X333" s="26"/>
      <c r="Y333" s="26"/>
      <c r="Z333" s="26"/>
      <c r="AA333" s="27"/>
      <c r="AB333" s="27"/>
      <c r="AC333" s="46"/>
      <c r="AE333" s="80"/>
      <c r="AF333" s="80"/>
      <c r="AG333" s="80"/>
      <c r="AH333" s="80"/>
      <c r="AI333" s="80"/>
      <c r="AJ333" s="80"/>
      <c r="AK333" s="80"/>
    </row>
    <row r="334" spans="1:37" ht="20.100000000000001" customHeight="1">
      <c r="A334" s="83"/>
      <c r="B334" s="84"/>
      <c r="C334" s="85"/>
      <c r="D334" s="86"/>
      <c r="E334" s="87"/>
      <c r="F334" s="86"/>
      <c r="G334" s="86"/>
      <c r="H334" s="87"/>
      <c r="I334" s="89"/>
      <c r="J334" s="89"/>
      <c r="K334" s="90" t="str">
        <f>IF(SUM(M334:N334)=0,"",SUM(M334:N334))</f>
        <v/>
      </c>
      <c r="L334" s="90"/>
      <c r="M334" s="90"/>
      <c r="N334" s="91"/>
      <c r="O334" s="92"/>
      <c r="P334" s="44"/>
      <c r="Q334" s="88"/>
      <c r="R334" s="88"/>
      <c r="S334" s="88"/>
      <c r="T334" s="88"/>
      <c r="U334" s="92"/>
      <c r="V334" s="92"/>
      <c r="W334" s="93"/>
      <c r="X334" s="88"/>
      <c r="Y334" s="88"/>
      <c r="Z334" s="88"/>
      <c r="AA334" s="92"/>
      <c r="AB334" s="92"/>
      <c r="AC334" s="94"/>
      <c r="AE334" s="80"/>
      <c r="AF334" s="80"/>
      <c r="AG334" s="80"/>
      <c r="AH334" s="80" t="str">
        <f>IF(AI334="","",AI334*AJ334*AK334/1000/1000/1000)</f>
        <v/>
      </c>
      <c r="AI334" s="80"/>
      <c r="AJ334" s="80"/>
      <c r="AK334" s="80"/>
    </row>
    <row r="335" spans="1:37" ht="20.100000000000001" customHeight="1">
      <c r="A335" s="33"/>
      <c r="B335" s="23"/>
      <c r="C335" s="42"/>
      <c r="D335" s="64"/>
      <c r="E335" s="60"/>
      <c r="F335" s="59"/>
      <c r="G335" s="64"/>
      <c r="H335" s="64"/>
      <c r="I335" s="24"/>
      <c r="J335" s="43"/>
      <c r="K335" s="44"/>
      <c r="L335" s="44"/>
      <c r="M335" s="44"/>
      <c r="N335" s="54"/>
      <c r="O335" s="25"/>
      <c r="P335" s="44"/>
      <c r="Q335" s="24"/>
      <c r="R335" s="24"/>
      <c r="S335" s="24"/>
      <c r="T335" s="24"/>
      <c r="U335" s="25"/>
      <c r="V335" s="25"/>
      <c r="W335" s="35"/>
      <c r="X335" s="26"/>
      <c r="Y335" s="26"/>
      <c r="Z335" s="26"/>
      <c r="AA335" s="27"/>
      <c r="AB335" s="27"/>
      <c r="AC335" s="46"/>
      <c r="AE335" s="80"/>
      <c r="AF335" s="80"/>
      <c r="AG335" s="80"/>
      <c r="AH335" s="80"/>
      <c r="AI335" s="80"/>
      <c r="AJ335" s="80"/>
      <c r="AK335" s="80"/>
    </row>
    <row r="336" spans="1:37" ht="20.100000000000001" customHeight="1">
      <c r="A336" s="33"/>
      <c r="B336" s="23"/>
      <c r="C336" s="42"/>
      <c r="D336" s="64"/>
      <c r="E336" s="60"/>
      <c r="F336" s="59"/>
      <c r="G336" s="64"/>
      <c r="H336" s="64"/>
      <c r="I336" s="24"/>
      <c r="J336" s="43"/>
      <c r="K336" s="44"/>
      <c r="L336" s="44"/>
      <c r="M336" s="44"/>
      <c r="N336" s="54"/>
      <c r="O336" s="25"/>
      <c r="P336" s="44"/>
      <c r="Q336" s="24"/>
      <c r="R336" s="24"/>
      <c r="S336" s="24"/>
      <c r="T336" s="24"/>
      <c r="U336" s="25"/>
      <c r="V336" s="25"/>
      <c r="W336" s="35"/>
      <c r="X336" s="26"/>
      <c r="Y336" s="26"/>
      <c r="Z336" s="26"/>
      <c r="AA336" s="27"/>
      <c r="AB336" s="27"/>
      <c r="AC336" s="46"/>
      <c r="AE336" s="80"/>
      <c r="AF336" s="80"/>
      <c r="AG336" s="80"/>
      <c r="AH336" s="80"/>
      <c r="AI336" s="80"/>
      <c r="AJ336" s="80"/>
      <c r="AK336" s="80"/>
    </row>
    <row r="337" spans="1:37" ht="20.100000000000001" customHeight="1">
      <c r="A337" s="33"/>
      <c r="B337" s="23"/>
      <c r="C337" s="42"/>
      <c r="D337" s="64"/>
      <c r="E337" s="60"/>
      <c r="F337" s="59"/>
      <c r="G337" s="64"/>
      <c r="H337" s="64"/>
      <c r="I337" s="24"/>
      <c r="J337" s="43"/>
      <c r="K337" s="44"/>
      <c r="L337" s="44"/>
      <c r="M337" s="44"/>
      <c r="N337" s="54"/>
      <c r="O337" s="25"/>
      <c r="P337" s="44"/>
      <c r="Q337" s="24"/>
      <c r="R337" s="24"/>
      <c r="S337" s="24"/>
      <c r="T337" s="24"/>
      <c r="U337" s="25"/>
      <c r="V337" s="25"/>
      <c r="W337" s="35"/>
      <c r="X337" s="26"/>
      <c r="Y337" s="26"/>
      <c r="Z337" s="26"/>
      <c r="AA337" s="27"/>
      <c r="AB337" s="27"/>
      <c r="AC337" s="46"/>
      <c r="AE337" s="80"/>
      <c r="AF337" s="80"/>
      <c r="AG337" s="80"/>
      <c r="AH337" s="80"/>
      <c r="AI337" s="80"/>
      <c r="AJ337" s="80"/>
      <c r="AK337" s="80"/>
    </row>
    <row r="338" spans="1:37" ht="20.100000000000001" customHeight="1">
      <c r="A338" s="33"/>
      <c r="B338" s="23"/>
      <c r="C338" s="42"/>
      <c r="D338" s="64"/>
      <c r="E338" s="60"/>
      <c r="F338" s="59"/>
      <c r="G338" s="64"/>
      <c r="H338" s="64"/>
      <c r="I338" s="24"/>
      <c r="J338" s="43"/>
      <c r="K338" s="44"/>
      <c r="L338" s="44"/>
      <c r="M338" s="44"/>
      <c r="N338" s="54"/>
      <c r="O338" s="25"/>
      <c r="P338" s="44"/>
      <c r="Q338" s="24"/>
      <c r="R338" s="24"/>
      <c r="S338" s="24"/>
      <c r="T338" s="24"/>
      <c r="U338" s="25"/>
      <c r="V338" s="25"/>
      <c r="W338" s="35"/>
      <c r="X338" s="26"/>
      <c r="Y338" s="26"/>
      <c r="Z338" s="26"/>
      <c r="AA338" s="27"/>
      <c r="AB338" s="27"/>
      <c r="AC338" s="46"/>
      <c r="AE338" s="80"/>
      <c r="AF338" s="80"/>
      <c r="AG338" s="80"/>
      <c r="AH338" s="80"/>
      <c r="AI338" s="80"/>
      <c r="AJ338" s="80"/>
      <c r="AK338" s="80"/>
    </row>
    <row r="339" spans="1:37" ht="20.100000000000001" customHeight="1">
      <c r="A339" s="33"/>
      <c r="B339" s="23"/>
      <c r="C339" s="42"/>
      <c r="D339" s="64"/>
      <c r="E339" s="60"/>
      <c r="F339" s="59"/>
      <c r="G339" s="64"/>
      <c r="H339" s="64"/>
      <c r="I339" s="24"/>
      <c r="J339" s="43"/>
      <c r="K339" s="44"/>
      <c r="L339" s="44"/>
      <c r="M339" s="44"/>
      <c r="N339" s="54"/>
      <c r="O339" s="25"/>
      <c r="P339" s="44"/>
      <c r="Q339" s="24"/>
      <c r="R339" s="24"/>
      <c r="S339" s="24"/>
      <c r="T339" s="24"/>
      <c r="U339" s="25"/>
      <c r="V339" s="25"/>
      <c r="W339" s="35"/>
      <c r="X339" s="26"/>
      <c r="Y339" s="26"/>
      <c r="Z339" s="26"/>
      <c r="AA339" s="27"/>
      <c r="AB339" s="27"/>
      <c r="AC339" s="46"/>
      <c r="AE339" s="80"/>
      <c r="AF339" s="80"/>
      <c r="AG339" s="80"/>
      <c r="AH339" s="80"/>
      <c r="AI339" s="80"/>
      <c r="AJ339" s="80"/>
      <c r="AK339" s="80"/>
    </row>
    <row r="340" spans="1:37" ht="20.100000000000001" customHeight="1">
      <c r="A340" s="83"/>
      <c r="B340" s="84"/>
      <c r="C340" s="85"/>
      <c r="D340" s="86"/>
      <c r="E340" s="87"/>
      <c r="F340" s="86"/>
      <c r="G340" s="86"/>
      <c r="H340" s="87"/>
      <c r="I340" s="89"/>
      <c r="J340" s="89"/>
      <c r="K340" s="90" t="str">
        <f>IF(SUM(M340:N340)=0,"",SUM(M340:N340))</f>
        <v/>
      </c>
      <c r="L340" s="90"/>
      <c r="M340" s="90"/>
      <c r="N340" s="91"/>
      <c r="O340" s="92"/>
      <c r="P340" s="44"/>
      <c r="Q340" s="88"/>
      <c r="R340" s="88"/>
      <c r="S340" s="88"/>
      <c r="T340" s="88"/>
      <c r="U340" s="92"/>
      <c r="V340" s="92"/>
      <c r="W340" s="93"/>
      <c r="X340" s="88"/>
      <c r="Y340" s="88"/>
      <c r="Z340" s="88"/>
      <c r="AA340" s="92"/>
      <c r="AB340" s="92"/>
      <c r="AC340" s="94"/>
      <c r="AE340" s="80"/>
      <c r="AF340" s="80"/>
      <c r="AG340" s="80"/>
      <c r="AH340" s="80" t="str">
        <f>IF(AI340="","",AI340*AJ340*AK340/1000/1000/1000)</f>
        <v/>
      </c>
      <c r="AI340" s="80"/>
      <c r="AJ340" s="80"/>
      <c r="AK340" s="80"/>
    </row>
    <row r="341" spans="1:37" ht="20.100000000000001" customHeight="1">
      <c r="A341" s="83"/>
      <c r="B341" s="84"/>
      <c r="C341" s="85"/>
      <c r="D341" s="86"/>
      <c r="E341" s="87"/>
      <c r="F341" s="86"/>
      <c r="G341" s="86"/>
      <c r="H341" s="87"/>
      <c r="I341" s="89"/>
      <c r="J341" s="89"/>
      <c r="K341" s="90" t="str">
        <f>IF(SUM(M341:N341)=0,"",SUM(M341:N341))</f>
        <v/>
      </c>
      <c r="L341" s="90"/>
      <c r="M341" s="90"/>
      <c r="N341" s="91"/>
      <c r="O341" s="92"/>
      <c r="P341" s="44"/>
      <c r="Q341" s="88"/>
      <c r="R341" s="88"/>
      <c r="S341" s="88"/>
      <c r="T341" s="88"/>
      <c r="U341" s="92"/>
      <c r="V341" s="92"/>
      <c r="W341" s="93"/>
      <c r="X341" s="88"/>
      <c r="Y341" s="88"/>
      <c r="Z341" s="88"/>
      <c r="AA341" s="92"/>
      <c r="AB341" s="92"/>
      <c r="AC341" s="94"/>
      <c r="AE341" s="80"/>
      <c r="AF341" s="80"/>
      <c r="AG341" s="80"/>
      <c r="AH341" s="80" t="str">
        <f>IF(AI341="","",AI341*AJ341*AK341/1000/1000/1000)</f>
        <v/>
      </c>
      <c r="AI341" s="80"/>
      <c r="AJ341" s="80"/>
      <c r="AK341" s="80"/>
    </row>
    <row r="342" spans="1:37" ht="20.100000000000001" customHeight="1">
      <c r="A342" s="83"/>
      <c r="B342" s="84"/>
      <c r="C342" s="85"/>
      <c r="D342" s="86"/>
      <c r="E342" s="87"/>
      <c r="F342" s="86"/>
      <c r="G342" s="86"/>
      <c r="H342" s="87"/>
      <c r="I342" s="89"/>
      <c r="J342" s="89"/>
      <c r="K342" s="90"/>
      <c r="L342" s="90"/>
      <c r="M342" s="90"/>
      <c r="N342" s="91"/>
      <c r="O342" s="92"/>
      <c r="P342" s="44"/>
      <c r="Q342" s="88"/>
      <c r="R342" s="88"/>
      <c r="S342" s="88"/>
      <c r="T342" s="88"/>
      <c r="U342" s="92"/>
      <c r="V342" s="92"/>
      <c r="W342" s="93"/>
      <c r="X342" s="88"/>
      <c r="Y342" s="88"/>
      <c r="Z342" s="88"/>
      <c r="AA342" s="92"/>
      <c r="AB342" s="92"/>
      <c r="AC342" s="94"/>
      <c r="AE342" s="80"/>
      <c r="AF342" s="80"/>
      <c r="AG342" s="80"/>
      <c r="AH342" s="80"/>
      <c r="AI342" s="80"/>
      <c r="AJ342" s="80"/>
      <c r="AK342" s="80"/>
    </row>
    <row r="343" spans="1:37" ht="20.100000000000001" customHeight="1">
      <c r="A343" s="83"/>
      <c r="B343" s="84"/>
      <c r="C343" s="85"/>
      <c r="D343" s="86"/>
      <c r="E343" s="87"/>
      <c r="F343" s="86"/>
      <c r="G343" s="86"/>
      <c r="H343" s="87"/>
      <c r="I343" s="89"/>
      <c r="J343" s="89"/>
      <c r="K343" s="90" t="str">
        <f>IF(SUM(M343:N343)=0,"",SUM(M343:N343))</f>
        <v/>
      </c>
      <c r="L343" s="90"/>
      <c r="M343" s="90"/>
      <c r="N343" s="91"/>
      <c r="O343" s="92"/>
      <c r="P343" s="44"/>
      <c r="Q343" s="88"/>
      <c r="R343" s="88"/>
      <c r="S343" s="88"/>
      <c r="T343" s="88"/>
      <c r="U343" s="92"/>
      <c r="V343" s="92"/>
      <c r="W343" s="93"/>
      <c r="X343" s="88"/>
      <c r="Y343" s="88"/>
      <c r="Z343" s="88"/>
      <c r="AA343" s="92"/>
      <c r="AB343" s="92"/>
      <c r="AC343" s="94"/>
      <c r="AE343" s="80"/>
      <c r="AF343" s="80"/>
      <c r="AG343" s="80"/>
      <c r="AH343" s="80" t="str">
        <f>IF(AI343="","",AI343*AJ343*AK343/1000/1000/1000)</f>
        <v/>
      </c>
      <c r="AI343" s="80"/>
      <c r="AJ343" s="80"/>
      <c r="AK343" s="80"/>
    </row>
    <row r="344" spans="1:37" ht="28.35" customHeight="1">
      <c r="J344" s="10" t="s">
        <v>6436</v>
      </c>
      <c r="K344" s="22">
        <f ca="1">SUMIF(J3:J343,"Subtotal:",K3:K343)</f>
        <v>0</v>
      </c>
      <c r="L344" s="22">
        <f ca="1">SUMIF(J3:J343,"Subtotal:",L3:L343)</f>
        <v>0</v>
      </c>
      <c r="M344" s="51"/>
      <c r="T344" s="2" t="str" cm="1">
        <f t="array" aca="1" ref="T344" ca="1">IF(K344="Subtotal:",INDIRECT("P"&amp;ROW()-1),"")</f>
        <v/>
      </c>
      <c r="V344" s="10" t="s">
        <v>6440</v>
      </c>
      <c r="W344" s="22">
        <f ca="1">MAX(W4:W343)</f>
        <v>0</v>
      </c>
    </row>
    <row r="345" spans="1:37" ht="20.100000000000001" customHeight="1"/>
    <row r="346" spans="1:37" ht="20.100000000000001" customHeight="1">
      <c r="A346" s="76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p3zzEFnSDfyv8UgR3Wo28LoaY+smXQbXM62jTuP6DrhMCwOnwpO1KyjynzbHwQv+djP3KTeGV+FpOE9RuMqPrg==" saltValue="MyQi40EJfhFAx3VEO14OqQ==" spinCount="100000" sqref="AC3 W3:AA3 D3:U3" name="Range1"/>
    <protectedRange algorithmName="SHA-512" hashValue="p3zzEFnSDfyv8UgR3Wo28LoaY+smXQbXM62jTuP6DrhMCwOnwpO1KyjynzbHwQv+djP3KTeGV+FpOE9RuMqPrg==" saltValue="MyQi40EJfhFAx3VEO14OqQ==" spinCount="100000" sqref="AA4:AA343" name="Range1_1"/>
    <protectedRange algorithmName="SHA-512" hashValue="p3zzEFnSDfyv8UgR3Wo28LoaY+smXQbXM62jTuP6DrhMCwOnwpO1KyjynzbHwQv+djP3KTeGV+FpOE9RuMqPrg==" saltValue="MyQi40EJfhFAx3VEO14OqQ==" spinCount="100000" sqref="E4:E343 W4:Z343 AC4:AC343 G4:U343 F307:F343 F4:F246 D6:D343" name="Range1_2_2"/>
    <protectedRange algorithmName="SHA-512" hashValue="p3zzEFnSDfyv8UgR3Wo28LoaY+smXQbXM62jTuP6DrhMCwOnwpO1KyjynzbHwQv+djP3KTeGV+FpOE9RuMqPrg==" saltValue="MyQi40EJfhFAx3VEO14OqQ==" spinCount="100000" sqref="D4:D5" name="Range1_2_1_1"/>
  </protectedRanges>
  <autoFilter ref="A2:AG343" xr:uid="{FB46B9D3-E353-42DA-8557-FF0B0016EA33}"/>
  <phoneticPr fontId="1" type="noConversion"/>
  <conditionalFormatting sqref="I1 AE3 AE345:AE1048576">
    <cfRule type="cellIs" dxfId="529" priority="919" operator="equal">
      <formula>"AES"</formula>
    </cfRule>
    <cfRule type="beginsWith" dxfId="528" priority="920" operator="beginsWith" text="Durr">
      <formula>LEFT(I1,LEN("Durr"))="Durr"</formula>
    </cfRule>
  </conditionalFormatting>
  <conditionalFormatting sqref="J1 AF3 AF345:AF1048576">
    <cfRule type="cellIs" dxfId="527" priority="917" operator="equal">
      <formula>"CNF"</formula>
    </cfRule>
    <cfRule type="cellIs" dxfId="526" priority="918" operator="equal">
      <formula>"FOB"</formula>
    </cfRule>
  </conditionalFormatting>
  <conditionalFormatting sqref="K1">
    <cfRule type="cellIs" dxfId="525" priority="911" operator="equal">
      <formula>"AES"</formula>
    </cfRule>
    <cfRule type="beginsWith" dxfId="524" priority="912" operator="beginsWith" text="Durr">
      <formula>LEFT(K1,LEN("Durr"))="Durr"</formula>
    </cfRule>
  </conditionalFormatting>
  <conditionalFormatting sqref="L1">
    <cfRule type="cellIs" dxfId="523" priority="909" operator="equal">
      <formula>"CNF"</formula>
    </cfRule>
    <cfRule type="cellIs" dxfId="522" priority="910" operator="equal">
      <formula>"FOB"</formula>
    </cfRule>
  </conditionalFormatting>
  <conditionalFormatting sqref="AG1 AG3 AG345:AG1048576">
    <cfRule type="cellIs" dxfId="521" priority="913" operator="equal">
      <formula>"F"</formula>
    </cfRule>
    <cfRule type="cellIs" dxfId="520" priority="914" operator="equal">
      <formula>"FR"</formula>
    </cfRule>
    <cfRule type="cellIs" dxfId="519" priority="915" operator="equal">
      <formula>"NR"</formula>
    </cfRule>
    <cfRule type="cellIs" dxfId="518" priority="916" operator="equal">
      <formula>"F+N"</formula>
    </cfRule>
  </conditionalFormatting>
  <conditionalFormatting sqref="AE4:AE9 AE11:AE18 AE20:AE32 AE34:AE47 AE49:AE67 AE69:AE79 AE81:AE96 AE98:AE121 AE123:AE146 AE148:AE153 AE155:AE170 AE172:AE191 AE193:AE202 AE204:AE209 AE211:AE212 AE214:AE215 AE217:AE220 AE222:AE343">
    <cfRule type="cellIs" dxfId="517" priority="425" operator="equal">
      <formula>"AES"</formula>
    </cfRule>
    <cfRule type="beginsWith" dxfId="516" priority="426" operator="beginsWith" text="Durr">
      <formula>LEFT(AE4,LEN("Durr"))="Durr"</formula>
    </cfRule>
  </conditionalFormatting>
  <conditionalFormatting sqref="AF4:AF9 AF11:AF18 AF20:AF32 AF34:AF47 AF49:AF67 AF69:AF79 AF81:AF96 AF98:AF121 AF123:AF146 AF148:AF153 AF155:AF170 AF172:AF191 AF193:AF202 AF204:AF209 AF211:AF212 AF214:AF215 AF217:AF220 AF222:AF343">
    <cfRule type="cellIs" dxfId="515" priority="423" operator="equal">
      <formula>"CNF"</formula>
    </cfRule>
    <cfRule type="cellIs" dxfId="514" priority="424" operator="equal">
      <formula>"FOB"</formula>
    </cfRule>
  </conditionalFormatting>
  <conditionalFormatting sqref="P4:P220 P222:P343">
    <cfRule type="expression" dxfId="513" priority="427">
      <formula>AND(P4&lt;&gt;"",COUNTIFS($A:$A,$A4,$P:$P,"&lt;&gt;"&amp;P4)&gt;1)</formula>
    </cfRule>
  </conditionalFormatting>
  <conditionalFormatting sqref="V4:V9 AB4:AB9 AB11:AB18 V11:V18 V20:V32 AB20:AB32 AB34:AB47 V34:V47 V49:V67 AB49:AB67 AB69:AB79 V69:V79 V81:V96 AB81:AB96 AB98:AB121 V98:V121 V123:V146 AB123:AB146 AB148:AB153 V148:V153 V155:V170 AB155:AB170 AB172:AB191 V172:V191 V193:V202 AB193:AB202 AB204:AB209 V204:V209 V211:V212 AB211:AB212 AB214:AB215 V214:V215 V217:V220 AB217:AB220 AB222:AB343 V222:V343">
    <cfRule type="expression" dxfId="512" priority="428">
      <formula>V4&lt;&gt;""</formula>
    </cfRule>
  </conditionalFormatting>
  <conditionalFormatting sqref="AG4:AG9 AG11:AG18 AG20:AG32 AG34:AG47 AG49:AG67 AG69:AG79 AG81:AG96 AG98:AG121 AG123:AG146 AG148:AG153 AG155:AG170 AG172:AG191 AG193:AG202 AG204:AG209 AG211:AG212 AG214:AG215 AG217:AG220 AG222:AG343">
    <cfRule type="cellIs" dxfId="511" priority="419" operator="equal">
      <formula>"F"</formula>
    </cfRule>
    <cfRule type="cellIs" dxfId="510" priority="420" operator="equal">
      <formula>"FR"</formula>
    </cfRule>
    <cfRule type="cellIs" dxfId="509" priority="421" operator="equal">
      <formula>"NR"</formula>
    </cfRule>
    <cfRule type="cellIs" dxfId="508" priority="422" operator="equal">
      <formula>"F+N"</formula>
    </cfRule>
  </conditionalFormatting>
  <conditionalFormatting sqref="AE10">
    <cfRule type="cellIs" dxfId="427" priority="335" operator="equal">
      <formula>"AES"</formula>
    </cfRule>
    <cfRule type="beginsWith" dxfId="426" priority="336" operator="beginsWith" text="Durr">
      <formula>LEFT(AE10,LEN("Durr"))="Durr"</formula>
    </cfRule>
  </conditionalFormatting>
  <conditionalFormatting sqref="AF10">
    <cfRule type="cellIs" dxfId="425" priority="333" operator="equal">
      <formula>"CNF"</formula>
    </cfRule>
    <cfRule type="cellIs" dxfId="424" priority="334" operator="equal">
      <formula>"FOB"</formula>
    </cfRule>
  </conditionalFormatting>
  <conditionalFormatting sqref="V10 AB10">
    <cfRule type="expression" dxfId="423" priority="338">
      <formula>V10&lt;&gt;""</formula>
    </cfRule>
  </conditionalFormatting>
  <conditionalFormatting sqref="AG10">
    <cfRule type="cellIs" dxfId="422" priority="329" operator="equal">
      <formula>"F"</formula>
    </cfRule>
    <cfRule type="cellIs" dxfId="421" priority="330" operator="equal">
      <formula>"FR"</formula>
    </cfRule>
    <cfRule type="cellIs" dxfId="420" priority="331" operator="equal">
      <formula>"NR"</formula>
    </cfRule>
    <cfRule type="cellIs" dxfId="419" priority="332" operator="equal">
      <formula>"F+N"</formula>
    </cfRule>
  </conditionalFormatting>
  <conditionalFormatting sqref="AE19">
    <cfRule type="cellIs" dxfId="418" priority="325" operator="equal">
      <formula>"AES"</formula>
    </cfRule>
    <cfRule type="beginsWith" dxfId="417" priority="326" operator="beginsWith" text="Durr">
      <formula>LEFT(AE19,LEN("Durr"))="Durr"</formula>
    </cfRule>
  </conditionalFormatting>
  <conditionalFormatting sqref="AF19">
    <cfRule type="cellIs" dxfId="416" priority="323" operator="equal">
      <formula>"CNF"</formula>
    </cfRule>
    <cfRule type="cellIs" dxfId="415" priority="324" operator="equal">
      <formula>"FOB"</formula>
    </cfRule>
  </conditionalFormatting>
  <conditionalFormatting sqref="V19 AB19">
    <cfRule type="expression" dxfId="414" priority="328">
      <formula>V19&lt;&gt;""</formula>
    </cfRule>
  </conditionalFormatting>
  <conditionalFormatting sqref="AG19">
    <cfRule type="cellIs" dxfId="413" priority="319" operator="equal">
      <formula>"F"</formula>
    </cfRule>
    <cfRule type="cellIs" dxfId="412" priority="320" operator="equal">
      <formula>"FR"</formula>
    </cfRule>
    <cfRule type="cellIs" dxfId="411" priority="321" operator="equal">
      <formula>"NR"</formula>
    </cfRule>
    <cfRule type="cellIs" dxfId="410" priority="322" operator="equal">
      <formula>"F+N"</formula>
    </cfRule>
  </conditionalFormatting>
  <conditionalFormatting sqref="AE33">
    <cfRule type="cellIs" dxfId="409" priority="315" operator="equal">
      <formula>"AES"</formula>
    </cfRule>
    <cfRule type="beginsWith" dxfId="408" priority="316" operator="beginsWith" text="Durr">
      <formula>LEFT(AE33,LEN("Durr"))="Durr"</formula>
    </cfRule>
  </conditionalFormatting>
  <conditionalFormatting sqref="AF33">
    <cfRule type="cellIs" dxfId="407" priority="313" operator="equal">
      <formula>"CNF"</formula>
    </cfRule>
    <cfRule type="cellIs" dxfId="406" priority="314" operator="equal">
      <formula>"FOB"</formula>
    </cfRule>
  </conditionalFormatting>
  <conditionalFormatting sqref="V33 AB33">
    <cfRule type="expression" dxfId="405" priority="318">
      <formula>V33&lt;&gt;""</formula>
    </cfRule>
  </conditionalFormatting>
  <conditionalFormatting sqref="AG33">
    <cfRule type="cellIs" dxfId="404" priority="309" operator="equal">
      <formula>"F"</formula>
    </cfRule>
    <cfRule type="cellIs" dxfId="403" priority="310" operator="equal">
      <formula>"FR"</formula>
    </cfRule>
    <cfRule type="cellIs" dxfId="402" priority="311" operator="equal">
      <formula>"NR"</formula>
    </cfRule>
    <cfRule type="cellIs" dxfId="401" priority="312" operator="equal">
      <formula>"F+N"</formula>
    </cfRule>
  </conditionalFormatting>
  <conditionalFormatting sqref="AE48">
    <cfRule type="cellIs" dxfId="400" priority="305" operator="equal">
      <formula>"AES"</formula>
    </cfRule>
    <cfRule type="beginsWith" dxfId="399" priority="306" operator="beginsWith" text="Durr">
      <formula>LEFT(AE48,LEN("Durr"))="Durr"</formula>
    </cfRule>
  </conditionalFormatting>
  <conditionalFormatting sqref="AF48">
    <cfRule type="cellIs" dxfId="398" priority="303" operator="equal">
      <formula>"CNF"</formula>
    </cfRule>
    <cfRule type="cellIs" dxfId="397" priority="304" operator="equal">
      <formula>"FOB"</formula>
    </cfRule>
  </conditionalFormatting>
  <conditionalFormatting sqref="V48 AB48">
    <cfRule type="expression" dxfId="396" priority="308">
      <formula>V48&lt;&gt;""</formula>
    </cfRule>
  </conditionalFormatting>
  <conditionalFormatting sqref="AG48">
    <cfRule type="cellIs" dxfId="395" priority="299" operator="equal">
      <formula>"F"</formula>
    </cfRule>
    <cfRule type="cellIs" dxfId="394" priority="300" operator="equal">
      <formula>"FR"</formula>
    </cfRule>
    <cfRule type="cellIs" dxfId="393" priority="301" operator="equal">
      <formula>"NR"</formula>
    </cfRule>
    <cfRule type="cellIs" dxfId="392" priority="302" operator="equal">
      <formula>"F+N"</formula>
    </cfRule>
  </conditionalFormatting>
  <conditionalFormatting sqref="AE68">
    <cfRule type="cellIs" dxfId="391" priority="295" operator="equal">
      <formula>"AES"</formula>
    </cfRule>
    <cfRule type="beginsWith" dxfId="390" priority="296" operator="beginsWith" text="Durr">
      <formula>LEFT(AE68,LEN("Durr"))="Durr"</formula>
    </cfRule>
  </conditionalFormatting>
  <conditionalFormatting sqref="AF68">
    <cfRule type="cellIs" dxfId="389" priority="293" operator="equal">
      <formula>"CNF"</formula>
    </cfRule>
    <cfRule type="cellIs" dxfId="388" priority="294" operator="equal">
      <formula>"FOB"</formula>
    </cfRule>
  </conditionalFormatting>
  <conditionalFormatting sqref="V68 AB68">
    <cfRule type="expression" dxfId="387" priority="298">
      <formula>V68&lt;&gt;""</formula>
    </cfRule>
  </conditionalFormatting>
  <conditionalFormatting sqref="AG68">
    <cfRule type="cellIs" dxfId="386" priority="289" operator="equal">
      <formula>"F"</formula>
    </cfRule>
    <cfRule type="cellIs" dxfId="385" priority="290" operator="equal">
      <formula>"FR"</formula>
    </cfRule>
    <cfRule type="cellIs" dxfId="384" priority="291" operator="equal">
      <formula>"NR"</formula>
    </cfRule>
    <cfRule type="cellIs" dxfId="383" priority="292" operator="equal">
      <formula>"F+N"</formula>
    </cfRule>
  </conditionalFormatting>
  <conditionalFormatting sqref="AE80">
    <cfRule type="cellIs" dxfId="382" priority="285" operator="equal">
      <formula>"AES"</formula>
    </cfRule>
    <cfRule type="beginsWith" dxfId="381" priority="286" operator="beginsWith" text="Durr">
      <formula>LEFT(AE80,LEN("Durr"))="Durr"</formula>
    </cfRule>
  </conditionalFormatting>
  <conditionalFormatting sqref="AF80">
    <cfRule type="cellIs" dxfId="380" priority="283" operator="equal">
      <formula>"CNF"</formula>
    </cfRule>
    <cfRule type="cellIs" dxfId="379" priority="284" operator="equal">
      <formula>"FOB"</formula>
    </cfRule>
  </conditionalFormatting>
  <conditionalFormatting sqref="V80 AB80">
    <cfRule type="expression" dxfId="378" priority="288">
      <formula>V80&lt;&gt;""</formula>
    </cfRule>
  </conditionalFormatting>
  <conditionalFormatting sqref="AG80">
    <cfRule type="cellIs" dxfId="377" priority="279" operator="equal">
      <formula>"F"</formula>
    </cfRule>
    <cfRule type="cellIs" dxfId="376" priority="280" operator="equal">
      <formula>"FR"</formula>
    </cfRule>
    <cfRule type="cellIs" dxfId="375" priority="281" operator="equal">
      <formula>"NR"</formula>
    </cfRule>
    <cfRule type="cellIs" dxfId="374" priority="282" operator="equal">
      <formula>"F+N"</formula>
    </cfRule>
  </conditionalFormatting>
  <conditionalFormatting sqref="AE97">
    <cfRule type="cellIs" dxfId="373" priority="275" operator="equal">
      <formula>"AES"</formula>
    </cfRule>
    <cfRule type="beginsWith" dxfId="372" priority="276" operator="beginsWith" text="Durr">
      <formula>LEFT(AE97,LEN("Durr"))="Durr"</formula>
    </cfRule>
  </conditionalFormatting>
  <conditionalFormatting sqref="AF97">
    <cfRule type="cellIs" dxfId="371" priority="273" operator="equal">
      <formula>"CNF"</formula>
    </cfRule>
    <cfRule type="cellIs" dxfId="370" priority="274" operator="equal">
      <formula>"FOB"</formula>
    </cfRule>
  </conditionalFormatting>
  <conditionalFormatting sqref="V97 AB97">
    <cfRule type="expression" dxfId="369" priority="278">
      <formula>V97&lt;&gt;""</formula>
    </cfRule>
  </conditionalFormatting>
  <conditionalFormatting sqref="AG97">
    <cfRule type="cellIs" dxfId="368" priority="269" operator="equal">
      <formula>"F"</formula>
    </cfRule>
    <cfRule type="cellIs" dxfId="367" priority="270" operator="equal">
      <formula>"FR"</formula>
    </cfRule>
    <cfRule type="cellIs" dxfId="366" priority="271" operator="equal">
      <formula>"NR"</formula>
    </cfRule>
    <cfRule type="cellIs" dxfId="365" priority="272" operator="equal">
      <formula>"F+N"</formula>
    </cfRule>
  </conditionalFormatting>
  <conditionalFormatting sqref="AE122">
    <cfRule type="cellIs" dxfId="364" priority="265" operator="equal">
      <formula>"AES"</formula>
    </cfRule>
    <cfRule type="beginsWith" dxfId="363" priority="266" operator="beginsWith" text="Durr">
      <formula>LEFT(AE122,LEN("Durr"))="Durr"</formula>
    </cfRule>
  </conditionalFormatting>
  <conditionalFormatting sqref="AF122">
    <cfRule type="cellIs" dxfId="362" priority="263" operator="equal">
      <formula>"CNF"</formula>
    </cfRule>
    <cfRule type="cellIs" dxfId="361" priority="264" operator="equal">
      <formula>"FOB"</formula>
    </cfRule>
  </conditionalFormatting>
  <conditionalFormatting sqref="V122 AB122">
    <cfRule type="expression" dxfId="360" priority="268">
      <formula>V122&lt;&gt;""</formula>
    </cfRule>
  </conditionalFormatting>
  <conditionalFormatting sqref="AG122">
    <cfRule type="cellIs" dxfId="359" priority="259" operator="equal">
      <formula>"F"</formula>
    </cfRule>
    <cfRule type="cellIs" dxfId="358" priority="260" operator="equal">
      <formula>"FR"</formula>
    </cfRule>
    <cfRule type="cellIs" dxfId="357" priority="261" operator="equal">
      <formula>"NR"</formula>
    </cfRule>
    <cfRule type="cellIs" dxfId="356" priority="262" operator="equal">
      <formula>"F+N"</formula>
    </cfRule>
  </conditionalFormatting>
  <conditionalFormatting sqref="AE147">
    <cfRule type="cellIs" dxfId="355" priority="255" operator="equal">
      <formula>"AES"</formula>
    </cfRule>
    <cfRule type="beginsWith" dxfId="354" priority="256" operator="beginsWith" text="Durr">
      <formula>LEFT(AE147,LEN("Durr"))="Durr"</formula>
    </cfRule>
  </conditionalFormatting>
  <conditionalFormatting sqref="AF147">
    <cfRule type="cellIs" dxfId="353" priority="253" operator="equal">
      <formula>"CNF"</formula>
    </cfRule>
    <cfRule type="cellIs" dxfId="352" priority="254" operator="equal">
      <formula>"FOB"</formula>
    </cfRule>
  </conditionalFormatting>
  <conditionalFormatting sqref="V147 AB147">
    <cfRule type="expression" dxfId="351" priority="258">
      <formula>V147&lt;&gt;""</formula>
    </cfRule>
  </conditionalFormatting>
  <conditionalFormatting sqref="AG147">
    <cfRule type="cellIs" dxfId="350" priority="249" operator="equal">
      <formula>"F"</formula>
    </cfRule>
    <cfRule type="cellIs" dxfId="349" priority="250" operator="equal">
      <formula>"FR"</formula>
    </cfRule>
    <cfRule type="cellIs" dxfId="348" priority="251" operator="equal">
      <formula>"NR"</formula>
    </cfRule>
    <cfRule type="cellIs" dxfId="347" priority="252" operator="equal">
      <formula>"F+N"</formula>
    </cfRule>
  </conditionalFormatting>
  <conditionalFormatting sqref="AE154">
    <cfRule type="cellIs" dxfId="346" priority="245" operator="equal">
      <formula>"AES"</formula>
    </cfRule>
    <cfRule type="beginsWith" dxfId="345" priority="246" operator="beginsWith" text="Durr">
      <formula>LEFT(AE154,LEN("Durr"))="Durr"</formula>
    </cfRule>
  </conditionalFormatting>
  <conditionalFormatting sqref="AF154">
    <cfRule type="cellIs" dxfId="344" priority="243" operator="equal">
      <formula>"CNF"</formula>
    </cfRule>
    <cfRule type="cellIs" dxfId="343" priority="244" operator="equal">
      <formula>"FOB"</formula>
    </cfRule>
  </conditionalFormatting>
  <conditionalFormatting sqref="V154 AB154">
    <cfRule type="expression" dxfId="342" priority="248">
      <formula>V154&lt;&gt;""</formula>
    </cfRule>
  </conditionalFormatting>
  <conditionalFormatting sqref="AG154">
    <cfRule type="cellIs" dxfId="341" priority="239" operator="equal">
      <formula>"F"</formula>
    </cfRule>
    <cfRule type="cellIs" dxfId="340" priority="240" operator="equal">
      <formula>"FR"</formula>
    </cfRule>
    <cfRule type="cellIs" dxfId="339" priority="241" operator="equal">
      <formula>"NR"</formula>
    </cfRule>
    <cfRule type="cellIs" dxfId="338" priority="242" operator="equal">
      <formula>"F+N"</formula>
    </cfRule>
  </conditionalFormatting>
  <conditionalFormatting sqref="AE171">
    <cfRule type="cellIs" dxfId="337" priority="235" operator="equal">
      <formula>"AES"</formula>
    </cfRule>
    <cfRule type="beginsWith" dxfId="336" priority="236" operator="beginsWith" text="Durr">
      <formula>LEFT(AE171,LEN("Durr"))="Durr"</formula>
    </cfRule>
  </conditionalFormatting>
  <conditionalFormatting sqref="AF171">
    <cfRule type="cellIs" dxfId="335" priority="233" operator="equal">
      <formula>"CNF"</formula>
    </cfRule>
    <cfRule type="cellIs" dxfId="334" priority="234" operator="equal">
      <formula>"FOB"</formula>
    </cfRule>
  </conditionalFormatting>
  <conditionalFormatting sqref="V171 AB171">
    <cfRule type="expression" dxfId="333" priority="238">
      <formula>V171&lt;&gt;""</formula>
    </cfRule>
  </conditionalFormatting>
  <conditionalFormatting sqref="AG171">
    <cfRule type="cellIs" dxfId="332" priority="229" operator="equal">
      <formula>"F"</formula>
    </cfRule>
    <cfRule type="cellIs" dxfId="331" priority="230" operator="equal">
      <formula>"FR"</formula>
    </cfRule>
    <cfRule type="cellIs" dxfId="330" priority="231" operator="equal">
      <formula>"NR"</formula>
    </cfRule>
    <cfRule type="cellIs" dxfId="329" priority="232" operator="equal">
      <formula>"F+N"</formula>
    </cfRule>
  </conditionalFormatting>
  <conditionalFormatting sqref="AE192">
    <cfRule type="cellIs" dxfId="328" priority="225" operator="equal">
      <formula>"AES"</formula>
    </cfRule>
    <cfRule type="beginsWith" dxfId="327" priority="226" operator="beginsWith" text="Durr">
      <formula>LEFT(AE192,LEN("Durr"))="Durr"</formula>
    </cfRule>
  </conditionalFormatting>
  <conditionalFormatting sqref="AF192">
    <cfRule type="cellIs" dxfId="326" priority="223" operator="equal">
      <formula>"CNF"</formula>
    </cfRule>
    <cfRule type="cellIs" dxfId="325" priority="224" operator="equal">
      <formula>"FOB"</formula>
    </cfRule>
  </conditionalFormatting>
  <conditionalFormatting sqref="V192 AB192">
    <cfRule type="expression" dxfId="324" priority="228">
      <formula>V192&lt;&gt;""</formula>
    </cfRule>
  </conditionalFormatting>
  <conditionalFormatting sqref="AG192">
    <cfRule type="cellIs" dxfId="323" priority="219" operator="equal">
      <formula>"F"</formula>
    </cfRule>
    <cfRule type="cellIs" dxfId="322" priority="220" operator="equal">
      <formula>"FR"</formula>
    </cfRule>
    <cfRule type="cellIs" dxfId="321" priority="221" operator="equal">
      <formula>"NR"</formula>
    </cfRule>
    <cfRule type="cellIs" dxfId="320" priority="222" operator="equal">
      <formula>"F+N"</formula>
    </cfRule>
  </conditionalFormatting>
  <conditionalFormatting sqref="AE203">
    <cfRule type="cellIs" dxfId="319" priority="215" operator="equal">
      <formula>"AES"</formula>
    </cfRule>
    <cfRule type="beginsWith" dxfId="318" priority="216" operator="beginsWith" text="Durr">
      <formula>LEFT(AE203,LEN("Durr"))="Durr"</formula>
    </cfRule>
  </conditionalFormatting>
  <conditionalFormatting sqref="AF203">
    <cfRule type="cellIs" dxfId="317" priority="213" operator="equal">
      <formula>"CNF"</formula>
    </cfRule>
    <cfRule type="cellIs" dxfId="316" priority="214" operator="equal">
      <formula>"FOB"</formula>
    </cfRule>
  </conditionalFormatting>
  <conditionalFormatting sqref="V203 AB203">
    <cfRule type="expression" dxfId="315" priority="218">
      <formula>V203&lt;&gt;""</formula>
    </cfRule>
  </conditionalFormatting>
  <conditionalFormatting sqref="AG203">
    <cfRule type="cellIs" dxfId="314" priority="209" operator="equal">
      <formula>"F"</formula>
    </cfRule>
    <cfRule type="cellIs" dxfId="313" priority="210" operator="equal">
      <formula>"FR"</formula>
    </cfRule>
    <cfRule type="cellIs" dxfId="312" priority="211" operator="equal">
      <formula>"NR"</formula>
    </cfRule>
    <cfRule type="cellIs" dxfId="311" priority="212" operator="equal">
      <formula>"F+N"</formula>
    </cfRule>
  </conditionalFormatting>
  <conditionalFormatting sqref="AE210">
    <cfRule type="cellIs" dxfId="310" priority="205" operator="equal">
      <formula>"AES"</formula>
    </cfRule>
    <cfRule type="beginsWith" dxfId="309" priority="206" operator="beginsWith" text="Durr">
      <formula>LEFT(AE210,LEN("Durr"))="Durr"</formula>
    </cfRule>
  </conditionalFormatting>
  <conditionalFormatting sqref="AF210">
    <cfRule type="cellIs" dxfId="308" priority="203" operator="equal">
      <formula>"CNF"</formula>
    </cfRule>
    <cfRule type="cellIs" dxfId="307" priority="204" operator="equal">
      <formula>"FOB"</formula>
    </cfRule>
  </conditionalFormatting>
  <conditionalFormatting sqref="V210 AB210">
    <cfRule type="expression" dxfId="306" priority="208">
      <formula>V210&lt;&gt;""</formula>
    </cfRule>
  </conditionalFormatting>
  <conditionalFormatting sqref="AG210">
    <cfRule type="cellIs" dxfId="305" priority="199" operator="equal">
      <formula>"F"</formula>
    </cfRule>
    <cfRule type="cellIs" dxfId="304" priority="200" operator="equal">
      <formula>"FR"</formula>
    </cfRule>
    <cfRule type="cellIs" dxfId="303" priority="201" operator="equal">
      <formula>"NR"</formula>
    </cfRule>
    <cfRule type="cellIs" dxfId="302" priority="202" operator="equal">
      <formula>"F+N"</formula>
    </cfRule>
  </conditionalFormatting>
  <conditionalFormatting sqref="AE213">
    <cfRule type="cellIs" dxfId="301" priority="195" operator="equal">
      <formula>"AES"</formula>
    </cfRule>
    <cfRule type="beginsWith" dxfId="300" priority="196" operator="beginsWith" text="Durr">
      <formula>LEFT(AE213,LEN("Durr"))="Durr"</formula>
    </cfRule>
  </conditionalFormatting>
  <conditionalFormatting sqref="AF213">
    <cfRule type="cellIs" dxfId="299" priority="193" operator="equal">
      <formula>"CNF"</formula>
    </cfRule>
    <cfRule type="cellIs" dxfId="298" priority="194" operator="equal">
      <formula>"FOB"</formula>
    </cfRule>
  </conditionalFormatting>
  <conditionalFormatting sqref="V213 AB213">
    <cfRule type="expression" dxfId="297" priority="198">
      <formula>V213&lt;&gt;""</formula>
    </cfRule>
  </conditionalFormatting>
  <conditionalFormatting sqref="AG213">
    <cfRule type="cellIs" dxfId="296" priority="189" operator="equal">
      <formula>"F"</formula>
    </cfRule>
    <cfRule type="cellIs" dxfId="295" priority="190" operator="equal">
      <formula>"FR"</formula>
    </cfRule>
    <cfRule type="cellIs" dxfId="294" priority="191" operator="equal">
      <formula>"NR"</formula>
    </cfRule>
    <cfRule type="cellIs" dxfId="293" priority="192" operator="equal">
      <formula>"F+N"</formula>
    </cfRule>
  </conditionalFormatting>
  <conditionalFormatting sqref="AE216">
    <cfRule type="cellIs" dxfId="292" priority="185" operator="equal">
      <formula>"AES"</formula>
    </cfRule>
    <cfRule type="beginsWith" dxfId="291" priority="186" operator="beginsWith" text="Durr">
      <formula>LEFT(AE216,LEN("Durr"))="Durr"</formula>
    </cfRule>
  </conditionalFormatting>
  <conditionalFormatting sqref="AF216">
    <cfRule type="cellIs" dxfId="290" priority="183" operator="equal">
      <formula>"CNF"</formula>
    </cfRule>
    <cfRule type="cellIs" dxfId="289" priority="184" operator="equal">
      <formula>"FOB"</formula>
    </cfRule>
  </conditionalFormatting>
  <conditionalFormatting sqref="V216 AB216">
    <cfRule type="expression" dxfId="288" priority="188">
      <formula>V216&lt;&gt;""</formula>
    </cfRule>
  </conditionalFormatting>
  <conditionalFormatting sqref="AG216">
    <cfRule type="cellIs" dxfId="287" priority="179" operator="equal">
      <formula>"F"</formula>
    </cfRule>
    <cfRule type="cellIs" dxfId="286" priority="180" operator="equal">
      <formula>"FR"</formula>
    </cfRule>
    <cfRule type="cellIs" dxfId="285" priority="181" operator="equal">
      <formula>"NR"</formula>
    </cfRule>
    <cfRule type="cellIs" dxfId="284" priority="182" operator="equal">
      <formula>"F+N"</formula>
    </cfRule>
  </conditionalFormatting>
  <conditionalFormatting sqref="AE221">
    <cfRule type="cellIs" dxfId="265" priority="175" operator="equal">
      <formula>"AES"</formula>
    </cfRule>
    <cfRule type="beginsWith" dxfId="264" priority="176" operator="beginsWith" text="Durr">
      <formula>LEFT(AE221,LEN("Durr"))="Durr"</formula>
    </cfRule>
  </conditionalFormatting>
  <conditionalFormatting sqref="AF221">
    <cfRule type="cellIs" dxfId="263" priority="173" operator="equal">
      <formula>"CNF"</formula>
    </cfRule>
    <cfRule type="cellIs" dxfId="262" priority="174" operator="equal">
      <formula>"FOB"</formula>
    </cfRule>
  </conditionalFormatting>
  <conditionalFormatting sqref="P221">
    <cfRule type="expression" dxfId="261" priority="177">
      <formula>AND(P221&lt;&gt;"",COUNTIFS($A:$A,$A221,$P:$P,"&lt;&gt;"&amp;P221)&gt;1)</formula>
    </cfRule>
  </conditionalFormatting>
  <conditionalFormatting sqref="V221 AB221">
    <cfRule type="expression" dxfId="260" priority="178">
      <formula>V221&lt;&gt;""</formula>
    </cfRule>
  </conditionalFormatting>
  <conditionalFormatting sqref="AG221">
    <cfRule type="cellIs" dxfId="259" priority="169" operator="equal">
      <formula>"F"</formula>
    </cfRule>
    <cfRule type="cellIs" dxfId="258" priority="170" operator="equal">
      <formula>"FR"</formula>
    </cfRule>
    <cfRule type="cellIs" dxfId="257" priority="171" operator="equal">
      <formula>"NR"</formula>
    </cfRule>
    <cfRule type="cellIs" dxfId="256" priority="172" operator="equal">
      <formula>"F+N"</formula>
    </cfRule>
  </conditionalFormatting>
  <conditionalFormatting sqref="AE344">
    <cfRule type="cellIs" dxfId="255" priority="167" operator="equal">
      <formula>"AES"</formula>
    </cfRule>
    <cfRule type="beginsWith" dxfId="254" priority="168" operator="beginsWith" text="Durr">
      <formula>LEFT(AE344,LEN("Durr"))="Durr"</formula>
    </cfRule>
  </conditionalFormatting>
  <conditionalFormatting sqref="AF344">
    <cfRule type="cellIs" dxfId="253" priority="165" operator="equal">
      <formula>"CNF"</formula>
    </cfRule>
    <cfRule type="cellIs" dxfId="252" priority="166" operator="equal">
      <formula>"FOB"</formula>
    </cfRule>
  </conditionalFormatting>
  <conditionalFormatting sqref="AG344">
    <cfRule type="cellIs" dxfId="251" priority="161" operator="equal">
      <formula>"F"</formula>
    </cfRule>
    <cfRule type="cellIs" dxfId="250" priority="162" operator="equal">
      <formula>"FR"</formula>
    </cfRule>
    <cfRule type="cellIs" dxfId="249" priority="163" operator="equal">
      <formula>"NR"</formula>
    </cfRule>
    <cfRule type="cellIs" dxfId="248" priority="164" operator="equal">
      <formula>"F+N"</formula>
    </cfRule>
  </conditionalFormatting>
  <conditionalFormatting sqref="P222">
    <cfRule type="expression" dxfId="167" priority="921">
      <formula>"V21_BATCH_CHECK"="V21_BATCH_CHECK"</formula>
    </cfRule>
  </conditionalFormatting>
  <conditionalFormatting sqref="P223">
    <cfRule type="expression" dxfId="166" priority="922">
      <formula>"V21_BATCH_CHECK"="V21_BATCH_CHECK"</formula>
    </cfRule>
  </conditionalFormatting>
  <conditionalFormatting sqref="P224">
    <cfRule type="expression" dxfId="165" priority="923">
      <formula>"V21_BATCH_CHECK"="V21_BATCH_CHECK"</formula>
    </cfRule>
  </conditionalFormatting>
  <conditionalFormatting sqref="P225">
    <cfRule type="expression" dxfId="164" priority="924">
      <formula>"V21_BATCH_CHECK"="V21_BATCH_CHECK"</formula>
    </cfRule>
  </conditionalFormatting>
  <conditionalFormatting sqref="P226">
    <cfRule type="expression" dxfId="163" priority="925">
      <formula>"V21_BATCH_CHECK"="V21_BATCH_CHECK"</formula>
    </cfRule>
  </conditionalFormatting>
  <conditionalFormatting sqref="P227">
    <cfRule type="expression" dxfId="162" priority="926">
      <formula>"V21_BATCH_CHECK"="V21_BATCH_CHECK"</formula>
    </cfRule>
  </conditionalFormatting>
  <conditionalFormatting sqref="P228">
    <cfRule type="expression" dxfId="161" priority="927">
      <formula>"V21_BATCH_CHECK"="V21_BATCH_CHECK"</formula>
    </cfRule>
  </conditionalFormatting>
  <conditionalFormatting sqref="P229">
    <cfRule type="expression" dxfId="160" priority="928">
      <formula>"V21_BATCH_CHECK"="V21_BATCH_CHECK"</formula>
    </cfRule>
  </conditionalFormatting>
  <conditionalFormatting sqref="P230">
    <cfRule type="expression" dxfId="159" priority="929">
      <formula>"V21_BATCH_CHECK"="V21_BATCH_CHECK"</formula>
    </cfRule>
  </conditionalFormatting>
  <conditionalFormatting sqref="P231">
    <cfRule type="expression" dxfId="158" priority="930">
      <formula>"V21_BATCH_CHECK"="V21_BATCH_CHECK"</formula>
    </cfRule>
  </conditionalFormatting>
  <conditionalFormatting sqref="P232">
    <cfRule type="expression" dxfId="157" priority="931">
      <formula>"V21_BATCH_CHECK"="V21_BATCH_CHECK"</formula>
    </cfRule>
  </conditionalFormatting>
  <conditionalFormatting sqref="P233">
    <cfRule type="expression" dxfId="156" priority="932">
      <formula>"V21_BATCH_CHECK"="V21_BATCH_CHECK"</formula>
    </cfRule>
  </conditionalFormatting>
  <conditionalFormatting sqref="P234">
    <cfRule type="expression" dxfId="155" priority="933">
      <formula>"V21_BATCH_CHECK"="V21_BATCH_CHECK"</formula>
    </cfRule>
  </conditionalFormatting>
  <conditionalFormatting sqref="P235">
    <cfRule type="expression" dxfId="154" priority="934">
      <formula>"V21_BATCH_CHECK"="V21_BATCH_CHECK"</formula>
    </cfRule>
  </conditionalFormatting>
  <conditionalFormatting sqref="P236">
    <cfRule type="expression" dxfId="153" priority="935">
      <formula>"V21_BATCH_CHECK"="V21_BATCH_CHECK"</formula>
    </cfRule>
  </conditionalFormatting>
  <conditionalFormatting sqref="P237">
    <cfRule type="expression" dxfId="152" priority="936">
      <formula>"V21_BATCH_CHECK"="V21_BATCH_CHECK"</formula>
    </cfRule>
  </conditionalFormatting>
  <conditionalFormatting sqref="P238">
    <cfRule type="expression" dxfId="151" priority="937">
      <formula>"V21_BATCH_CHECK"="V21_BATCH_CHECK"</formula>
    </cfRule>
  </conditionalFormatting>
  <conditionalFormatting sqref="P239">
    <cfRule type="expression" dxfId="150" priority="938">
      <formula>"V21_BATCH_CHECK"="V21_BATCH_CHECK"</formula>
    </cfRule>
  </conditionalFormatting>
  <conditionalFormatting sqref="P240">
    <cfRule type="expression" dxfId="149" priority="939">
      <formula>"V21_BATCH_CHECK"="V21_BATCH_CHECK"</formula>
    </cfRule>
  </conditionalFormatting>
  <conditionalFormatting sqref="P241">
    <cfRule type="expression" dxfId="148" priority="940">
      <formula>"V21_BATCH_CHECK"="V21_BATCH_CHECK"</formula>
    </cfRule>
  </conditionalFormatting>
  <conditionalFormatting sqref="P242">
    <cfRule type="expression" dxfId="147" priority="941">
      <formula>"V21_BATCH_CHECK"="V21_BATCH_CHECK"</formula>
    </cfRule>
  </conditionalFormatting>
  <conditionalFormatting sqref="P243">
    <cfRule type="expression" dxfId="146" priority="942">
      <formula>"V21_BATCH_CHECK"="V21_BATCH_CHECK"</formula>
    </cfRule>
  </conditionalFormatting>
  <conditionalFormatting sqref="P244">
    <cfRule type="expression" dxfId="145" priority="943">
      <formula>"V21_BATCH_CHECK"="V21_BATCH_CHECK"</formula>
    </cfRule>
  </conditionalFormatting>
  <conditionalFormatting sqref="P245">
    <cfRule type="expression" dxfId="144" priority="944">
      <formula>"V21_BATCH_CHECK"="V21_BATCH_CHECK"</formula>
    </cfRule>
  </conditionalFormatting>
  <conditionalFormatting sqref="P246">
    <cfRule type="expression" dxfId="143" priority="945">
      <formula>"V21_BATCH_CHECK"="V21_BATCH_CHECK"</formula>
    </cfRule>
  </conditionalFormatting>
  <conditionalFormatting sqref="P247">
    <cfRule type="expression" dxfId="142" priority="946">
      <formula>"V21_BATCH_CHECK"="V21_BATCH_CHECK"</formula>
    </cfRule>
  </conditionalFormatting>
  <conditionalFormatting sqref="P248">
    <cfRule type="expression" dxfId="141" priority="947">
      <formula>"V21_BATCH_CHECK"="V21_BATCH_CHECK"</formula>
    </cfRule>
  </conditionalFormatting>
  <conditionalFormatting sqref="P249">
    <cfRule type="expression" dxfId="140" priority="948">
      <formula>"V21_BATCH_CHECK"="V21_BATCH_CHECK"</formula>
    </cfRule>
  </conditionalFormatting>
  <conditionalFormatting sqref="P250">
    <cfRule type="expression" dxfId="139" priority="949">
      <formula>"V21_BATCH_CHECK"="V21_BATCH_CHECK"</formula>
    </cfRule>
  </conditionalFormatting>
  <conditionalFormatting sqref="P251">
    <cfRule type="expression" dxfId="138" priority="950">
      <formula>"V21_BATCH_CHECK"="V21_BATCH_CHECK"</formula>
    </cfRule>
  </conditionalFormatting>
  <conditionalFormatting sqref="P252">
    <cfRule type="expression" dxfId="137" priority="951">
      <formula>"V21_BATCH_CHECK"="V21_BATCH_CHECK"</formula>
    </cfRule>
  </conditionalFormatting>
  <conditionalFormatting sqref="P253">
    <cfRule type="expression" dxfId="136" priority="952">
      <formula>"V21_BATCH_CHECK"="V21_BATCH_CHECK"</formula>
    </cfRule>
  </conditionalFormatting>
  <conditionalFormatting sqref="P254">
    <cfRule type="expression" dxfId="135" priority="953">
      <formula>"V21_BATCH_CHECK"="V21_BATCH_CHECK"</formula>
    </cfRule>
  </conditionalFormatting>
  <conditionalFormatting sqref="P255">
    <cfRule type="expression" dxfId="134" priority="954">
      <formula>"V21_BATCH_CHECK"="V21_BATCH_CHECK"</formula>
    </cfRule>
  </conditionalFormatting>
  <conditionalFormatting sqref="P256">
    <cfRule type="expression" dxfId="133" priority="955">
      <formula>"V21_BATCH_CHECK"="V21_BATCH_CHECK"</formula>
    </cfRule>
  </conditionalFormatting>
  <conditionalFormatting sqref="P257">
    <cfRule type="expression" dxfId="132" priority="956">
      <formula>"V21_BATCH_CHECK"="V21_BATCH_CHECK"</formula>
    </cfRule>
  </conditionalFormatting>
  <conditionalFormatting sqref="P258">
    <cfRule type="expression" dxfId="131" priority="957">
      <formula>"V21_BATCH_CHECK"="V21_BATCH_CHECK"</formula>
    </cfRule>
  </conditionalFormatting>
  <conditionalFormatting sqref="P259">
    <cfRule type="expression" dxfId="130" priority="958">
      <formula>"V21_BATCH_CHECK"="V21_BATCH_CHECK"</formula>
    </cfRule>
  </conditionalFormatting>
  <conditionalFormatting sqref="P260">
    <cfRule type="expression" dxfId="129" priority="959">
      <formula>"V21_BATCH_CHECK"="V21_BATCH_CHECK"</formula>
    </cfRule>
  </conditionalFormatting>
  <conditionalFormatting sqref="P261">
    <cfRule type="expression" dxfId="128" priority="960">
      <formula>"V21_BATCH_CHECK"="V21_BATCH_CHECK"</formula>
    </cfRule>
  </conditionalFormatting>
  <conditionalFormatting sqref="P262">
    <cfRule type="expression" dxfId="127" priority="961">
      <formula>"V21_BATCH_CHECK"="V21_BATCH_CHECK"</formula>
    </cfRule>
  </conditionalFormatting>
  <conditionalFormatting sqref="P263">
    <cfRule type="expression" dxfId="126" priority="962">
      <formula>"V21_BATCH_CHECK"="V21_BATCH_CHECK"</formula>
    </cfRule>
  </conditionalFormatting>
  <conditionalFormatting sqref="P264">
    <cfRule type="expression" dxfId="125" priority="963">
      <formula>"V21_BATCH_CHECK"="V21_BATCH_CHECK"</formula>
    </cfRule>
  </conditionalFormatting>
  <conditionalFormatting sqref="P265">
    <cfRule type="expression" dxfId="124" priority="964">
      <formula>"V21_BATCH_CHECK"="V21_BATCH_CHECK"</formula>
    </cfRule>
  </conditionalFormatting>
  <conditionalFormatting sqref="P266">
    <cfRule type="expression" dxfId="123" priority="965">
      <formula>"V21_BATCH_CHECK"="V21_BATCH_CHECK"</formula>
    </cfRule>
  </conditionalFormatting>
  <conditionalFormatting sqref="P267">
    <cfRule type="expression" dxfId="122" priority="966">
      <formula>"V21_BATCH_CHECK"="V21_BATCH_CHECK"</formula>
    </cfRule>
  </conditionalFormatting>
  <conditionalFormatting sqref="P268">
    <cfRule type="expression" dxfId="121" priority="967">
      <formula>"V21_BATCH_CHECK"="V21_BATCH_CHECK"</formula>
    </cfRule>
  </conditionalFormatting>
  <conditionalFormatting sqref="P269">
    <cfRule type="expression" dxfId="120" priority="968">
      <formula>"V21_BATCH_CHECK"="V21_BATCH_CHECK"</formula>
    </cfRule>
  </conditionalFormatting>
  <conditionalFormatting sqref="P270">
    <cfRule type="expression" dxfId="119" priority="969">
      <formula>"V21_BATCH_CHECK"="V21_BATCH_CHECK"</formula>
    </cfRule>
  </conditionalFormatting>
  <conditionalFormatting sqref="P271">
    <cfRule type="expression" dxfId="118" priority="970">
      <formula>"V21_BATCH_CHECK"="V21_BATCH_CHECK"</formula>
    </cfRule>
  </conditionalFormatting>
  <conditionalFormatting sqref="P272">
    <cfRule type="expression" dxfId="117" priority="971">
      <formula>"V21_BATCH_CHECK"="V21_BATCH_CHECK"</formula>
    </cfRule>
  </conditionalFormatting>
  <conditionalFormatting sqref="P273">
    <cfRule type="expression" dxfId="116" priority="972">
      <formula>"V21_BATCH_CHECK"="V21_BATCH_CHECK"</formula>
    </cfRule>
  </conditionalFormatting>
  <conditionalFormatting sqref="P274">
    <cfRule type="expression" dxfId="115" priority="973">
      <formula>"V21_BATCH_CHECK"="V21_BATCH_CHECK"</formula>
    </cfRule>
  </conditionalFormatting>
  <conditionalFormatting sqref="P275">
    <cfRule type="expression" dxfId="114" priority="974">
      <formula>"V21_BATCH_CHECK"="V21_BATCH_CHECK"</formula>
    </cfRule>
  </conditionalFormatting>
  <conditionalFormatting sqref="P276">
    <cfRule type="expression" dxfId="113" priority="975">
      <formula>"V21_BATCH_CHECK"="V21_BATCH_CHECK"</formula>
    </cfRule>
  </conditionalFormatting>
  <conditionalFormatting sqref="P277">
    <cfRule type="expression" dxfId="112" priority="976">
      <formula>"V21_BATCH_CHECK"="V21_BATCH_CHECK"</formula>
    </cfRule>
  </conditionalFormatting>
  <conditionalFormatting sqref="P278">
    <cfRule type="expression" dxfId="111" priority="977">
      <formula>"V21_BATCH_CHECK"="V21_BATCH_CHECK"</formula>
    </cfRule>
  </conditionalFormatting>
  <conditionalFormatting sqref="P279">
    <cfRule type="expression" dxfId="110" priority="978">
      <formula>"V21_BATCH_CHECK"="V21_BATCH_CHECK"</formula>
    </cfRule>
  </conditionalFormatting>
  <conditionalFormatting sqref="P280">
    <cfRule type="expression" dxfId="109" priority="979">
      <formula>"V21_BATCH_CHECK"="V21_BATCH_CHECK"</formula>
    </cfRule>
  </conditionalFormatting>
  <conditionalFormatting sqref="P281">
    <cfRule type="expression" dxfId="108" priority="980">
      <formula>"V21_BATCH_CHECK"="V21_BATCH_CHECK"</formula>
    </cfRule>
  </conditionalFormatting>
  <conditionalFormatting sqref="P282">
    <cfRule type="expression" dxfId="107" priority="981">
      <formula>"V21_BATCH_CHECK"="V21_BATCH_CHECK"</formula>
    </cfRule>
  </conditionalFormatting>
  <conditionalFormatting sqref="P283">
    <cfRule type="expression" dxfId="106" priority="982">
      <formula>"V21_BATCH_CHECK"="V21_BATCH_CHECK"</formula>
    </cfRule>
  </conditionalFormatting>
  <conditionalFormatting sqref="P284">
    <cfRule type="expression" dxfId="105" priority="983">
      <formula>"V21_BATCH_CHECK"="V21_BATCH_CHECK"</formula>
    </cfRule>
  </conditionalFormatting>
  <conditionalFormatting sqref="P285">
    <cfRule type="expression" dxfId="104" priority="984">
      <formula>"V21_BATCH_CHECK"="V21_BATCH_CHECK"</formula>
    </cfRule>
  </conditionalFormatting>
  <conditionalFormatting sqref="P286">
    <cfRule type="expression" dxfId="103" priority="985">
      <formula>"V21_BATCH_CHECK"="V21_BATCH_CHECK"</formula>
    </cfRule>
  </conditionalFormatting>
  <conditionalFormatting sqref="P287">
    <cfRule type="expression" dxfId="102" priority="986">
      <formula>"V21_BATCH_CHECK"="V21_BATCH_CHECK"</formula>
    </cfRule>
  </conditionalFormatting>
  <conditionalFormatting sqref="P288">
    <cfRule type="expression" dxfId="101" priority="987">
      <formula>"V21_BATCH_CHECK"="V21_BATCH_CHECK"</formula>
    </cfRule>
  </conditionalFormatting>
  <conditionalFormatting sqref="P289">
    <cfRule type="expression" dxfId="100" priority="988">
      <formula>"V21_BATCH_CHECK"="V21_BATCH_CHECK"</formula>
    </cfRule>
  </conditionalFormatting>
  <conditionalFormatting sqref="P290">
    <cfRule type="expression" dxfId="99" priority="989">
      <formula>"V21_BATCH_CHECK"="V21_BATCH_CHECK"</formula>
    </cfRule>
  </conditionalFormatting>
  <conditionalFormatting sqref="P291">
    <cfRule type="expression" dxfId="98" priority="990">
      <formula>"V21_BATCH_CHECK"="V21_BATCH_CHECK"</formula>
    </cfRule>
  </conditionalFormatting>
  <conditionalFormatting sqref="P292">
    <cfRule type="expression" dxfId="97" priority="991">
      <formula>"V21_BATCH_CHECK"="V21_BATCH_CHECK"</formula>
    </cfRule>
  </conditionalFormatting>
  <conditionalFormatting sqref="P293">
    <cfRule type="expression" dxfId="96" priority="992">
      <formula>"V21_BATCH_CHECK"="V21_BATCH_CHECK"</formula>
    </cfRule>
  </conditionalFormatting>
  <conditionalFormatting sqref="P294">
    <cfRule type="expression" dxfId="95" priority="993">
      <formula>"V21_BATCH_CHECK"="V21_BATCH_CHECK"</formula>
    </cfRule>
  </conditionalFormatting>
  <conditionalFormatting sqref="P295">
    <cfRule type="expression" dxfId="94" priority="994">
      <formula>"V21_BATCH_CHECK"="V21_BATCH_CHECK"</formula>
    </cfRule>
  </conditionalFormatting>
  <conditionalFormatting sqref="P296">
    <cfRule type="expression" dxfId="93" priority="995">
      <formula>"V21_BATCH_CHECK"="V21_BATCH_CHECK"</formula>
    </cfRule>
  </conditionalFormatting>
  <conditionalFormatting sqref="P297">
    <cfRule type="expression" dxfId="92" priority="996">
      <formula>"V21_BATCH_CHECK"="V21_BATCH_CHECK"</formula>
    </cfRule>
  </conditionalFormatting>
  <conditionalFormatting sqref="P298">
    <cfRule type="expression" dxfId="91" priority="997">
      <formula>"V21_BATCH_CHECK"="V21_BATCH_CHECK"</formula>
    </cfRule>
  </conditionalFormatting>
  <conditionalFormatting sqref="P299">
    <cfRule type="expression" dxfId="90" priority="998">
      <formula>"V21_BATCH_CHECK"="V21_BATCH_CHECK"</formula>
    </cfRule>
  </conditionalFormatting>
  <conditionalFormatting sqref="P300">
    <cfRule type="expression" dxfId="89" priority="999">
      <formula>"V21_BATCH_CHECK"="V21_BATCH_CHECK"</formula>
    </cfRule>
  </conditionalFormatting>
  <conditionalFormatting sqref="P301">
    <cfRule type="expression" dxfId="88" priority="1000">
      <formula>"V21_BATCH_CHECK"="V21_BATCH_CHECK"</formula>
    </cfRule>
  </conditionalFormatting>
  <conditionalFormatting sqref="P302">
    <cfRule type="expression" dxfId="87" priority="1001">
      <formula>"V21_BATCH_CHECK"="V21_BATCH_CHECK"</formula>
    </cfRule>
  </conditionalFormatting>
  <conditionalFormatting sqref="P303">
    <cfRule type="expression" dxfId="86" priority="1002">
      <formula>"V21_BATCH_CHECK"="V21_BATCH_CHECK"</formula>
    </cfRule>
  </conditionalFormatting>
  <conditionalFormatting sqref="P304">
    <cfRule type="expression" dxfId="85" priority="1003">
      <formula>"V21_BATCH_CHECK"="V21_BATCH_CHECK"</formula>
    </cfRule>
  </conditionalFormatting>
  <conditionalFormatting sqref="P305">
    <cfRule type="expression" dxfId="84" priority="1004">
      <formula>"V21_BATCH_CHECK"="V21_BATCH_CHECK"</formula>
    </cfRule>
  </conditionalFormatting>
  <conditionalFormatting sqref="P306">
    <cfRule type="expression" dxfId="83" priority="1005">
      <formula>"V21_BATCH_CHECK"="V21_BATCH_CHECK"</formula>
    </cfRule>
  </conditionalFormatting>
  <conditionalFormatting sqref="P307">
    <cfRule type="expression" dxfId="82" priority="1006">
      <formula>"V21_BATCH_CHECK"="V21_BATCH_CHECK"</formula>
    </cfRule>
  </conditionalFormatting>
  <conditionalFormatting sqref="P308">
    <cfRule type="expression" dxfId="81" priority="1007">
      <formula>"V21_BATCH_CHECK"="V21_BATCH_CHECK"</formula>
    </cfRule>
  </conditionalFormatting>
  <conditionalFormatting sqref="P309">
    <cfRule type="expression" dxfId="80" priority="1008">
      <formula>"V21_BATCH_CHECK"="V21_BATCH_CHECK"</formula>
    </cfRule>
  </conditionalFormatting>
  <conditionalFormatting sqref="J222">
    <cfRule type="expression" dxfId="79" priority="80">
      <formula>"V10_INSTALL_FLAG"="V10_INSTALL_FLAG"</formula>
    </cfRule>
  </conditionalFormatting>
  <conditionalFormatting sqref="J228">
    <cfRule type="expression" dxfId="78" priority="79">
      <formula>"V10_INSTALL_FLAG"="V10_INSTALL_FLAG"</formula>
    </cfRule>
  </conditionalFormatting>
  <conditionalFormatting sqref="J229">
    <cfRule type="expression" dxfId="77" priority="78">
      <formula>"V10_INSTALL_FLAG"="V10_INSTALL_FLAG"</formula>
    </cfRule>
  </conditionalFormatting>
  <conditionalFormatting sqref="J230">
    <cfRule type="expression" dxfId="76" priority="77">
      <formula>"V10_INSTALL_FLAG"="V10_INSTALL_FLAG"</formula>
    </cfRule>
  </conditionalFormatting>
  <conditionalFormatting sqref="J231">
    <cfRule type="expression" dxfId="75" priority="76">
      <formula>"V10_INSTALL_FLAG"="V10_INSTALL_FLAG"</formula>
    </cfRule>
  </conditionalFormatting>
  <conditionalFormatting sqref="J232">
    <cfRule type="expression" dxfId="74" priority="75">
      <formula>"V10_INSTALL_FLAG"="V10_INSTALL_FLAG"</formula>
    </cfRule>
  </conditionalFormatting>
  <conditionalFormatting sqref="J233">
    <cfRule type="expression" dxfId="73" priority="74">
      <formula>"V10_INSTALL_FLAG"="V10_INSTALL_FLAG"</formula>
    </cfRule>
  </conditionalFormatting>
  <conditionalFormatting sqref="J234">
    <cfRule type="expression" dxfId="72" priority="73">
      <formula>"V10_INSTALL_FLAG"="V10_INSTALL_FLAG"</formula>
    </cfRule>
  </conditionalFormatting>
  <conditionalFormatting sqref="J235">
    <cfRule type="expression" dxfId="71" priority="72">
      <formula>"V10_INSTALL_FLAG"="V10_INSTALL_FLAG"</formula>
    </cfRule>
  </conditionalFormatting>
  <conditionalFormatting sqref="J236">
    <cfRule type="expression" dxfId="70" priority="71">
      <formula>"V10_INSTALL_FLAG"="V10_INSTALL_FLAG"</formula>
    </cfRule>
  </conditionalFormatting>
  <conditionalFormatting sqref="J237">
    <cfRule type="expression" dxfId="69" priority="70">
      <formula>"V10_INSTALL_FLAG"="V10_INSTALL_FLAG"</formula>
    </cfRule>
  </conditionalFormatting>
  <conditionalFormatting sqref="J238">
    <cfRule type="expression" dxfId="68" priority="69">
      <formula>"V10_INSTALL_FLAG"="V10_INSTALL_FLAG"</formula>
    </cfRule>
  </conditionalFormatting>
  <conditionalFormatting sqref="J239">
    <cfRule type="expression" dxfId="67" priority="68">
      <formula>"V10_INSTALL_FLAG"="V10_INSTALL_FLAG"</formula>
    </cfRule>
  </conditionalFormatting>
  <conditionalFormatting sqref="J240">
    <cfRule type="expression" dxfId="66" priority="67">
      <formula>"V10_INSTALL_FLAG"="V10_INSTALL_FLAG"</formula>
    </cfRule>
  </conditionalFormatting>
  <conditionalFormatting sqref="J241">
    <cfRule type="expression" dxfId="65" priority="66">
      <formula>"V10_INSTALL_FLAG"="V10_INSTALL_FLAG"</formula>
    </cfRule>
  </conditionalFormatting>
  <conditionalFormatting sqref="J242">
    <cfRule type="expression" dxfId="64" priority="65">
      <formula>"V10_INSTALL_FLAG"="V10_INSTALL_FLAG"</formula>
    </cfRule>
  </conditionalFormatting>
  <conditionalFormatting sqref="J243">
    <cfRule type="expression" dxfId="63" priority="64">
      <formula>"V10_INSTALL_FLAG"="V10_INSTALL_FLAG"</formula>
    </cfRule>
  </conditionalFormatting>
  <conditionalFormatting sqref="J244">
    <cfRule type="expression" dxfId="62" priority="63">
      <formula>"V10_INSTALL_FLAG"="V10_INSTALL_FLAG"</formula>
    </cfRule>
  </conditionalFormatting>
  <conditionalFormatting sqref="J245">
    <cfRule type="expression" dxfId="61" priority="62">
      <formula>"V10_INSTALL_FLAG"="V10_INSTALL_FLAG"</formula>
    </cfRule>
  </conditionalFormatting>
  <conditionalFormatting sqref="J246">
    <cfRule type="expression" dxfId="60" priority="61">
      <formula>"V10_INSTALL_FLAG"="V10_INSTALL_FLAG"</formula>
    </cfRule>
  </conditionalFormatting>
  <conditionalFormatting sqref="J248">
    <cfRule type="expression" dxfId="59" priority="60">
      <formula>"V10_INSTALL_FLAG"="V10_INSTALL_FLAG"</formula>
    </cfRule>
  </conditionalFormatting>
  <conditionalFormatting sqref="J249">
    <cfRule type="expression" dxfId="58" priority="59">
      <formula>"V10_INSTALL_FLAG"="V10_INSTALL_FLAG"</formula>
    </cfRule>
  </conditionalFormatting>
  <conditionalFormatting sqref="J250">
    <cfRule type="expression" dxfId="57" priority="58">
      <formula>"V10_INSTALL_FLAG"="V10_INSTALL_FLAG"</formula>
    </cfRule>
  </conditionalFormatting>
  <conditionalFormatting sqref="J251">
    <cfRule type="expression" dxfId="56" priority="57">
      <formula>"V10_INSTALL_FLAG"="V10_INSTALL_FLAG"</formula>
    </cfRule>
  </conditionalFormatting>
  <conditionalFormatting sqref="J252">
    <cfRule type="expression" dxfId="55" priority="56">
      <formula>"V10_INSTALL_FLAG"="V10_INSTALL_FLAG"</formula>
    </cfRule>
  </conditionalFormatting>
  <conditionalFormatting sqref="J253">
    <cfRule type="expression" dxfId="54" priority="55">
      <formula>"V10_INSTALL_FLAG"="V10_INSTALL_FLAG"</formula>
    </cfRule>
  </conditionalFormatting>
  <conditionalFormatting sqref="J255">
    <cfRule type="expression" dxfId="53" priority="54">
      <formula>"V10_INSTALL_FLAG"="V10_INSTALL_FLAG"</formula>
    </cfRule>
  </conditionalFormatting>
  <conditionalFormatting sqref="J256">
    <cfRule type="expression" dxfId="52" priority="53">
      <formula>"V10_INSTALL_FLAG"="V10_INSTALL_FLAG"</formula>
    </cfRule>
  </conditionalFormatting>
  <conditionalFormatting sqref="J257">
    <cfRule type="expression" dxfId="51" priority="52">
      <formula>"V10_INSTALL_FLAG"="V10_INSTALL_FLAG"</formula>
    </cfRule>
  </conditionalFormatting>
  <conditionalFormatting sqref="J258">
    <cfRule type="expression" dxfId="50" priority="51">
      <formula>"V10_INSTALL_FLAG"="V10_INSTALL_FLAG"</formula>
    </cfRule>
  </conditionalFormatting>
  <conditionalFormatting sqref="J259">
    <cfRule type="expression" dxfId="49" priority="50">
      <formula>"V10_INSTALL_FLAG"="V10_INSTALL_FLAG"</formula>
    </cfRule>
  </conditionalFormatting>
  <conditionalFormatting sqref="J260">
    <cfRule type="expression" dxfId="48" priority="49">
      <formula>"V10_INSTALL_FLAG"="V10_INSTALL_FLAG"</formula>
    </cfRule>
  </conditionalFormatting>
  <conditionalFormatting sqref="J261">
    <cfRule type="expression" dxfId="47" priority="48">
      <formula>"V10_INSTALL_FLAG"="V10_INSTALL_FLAG"</formula>
    </cfRule>
  </conditionalFormatting>
  <conditionalFormatting sqref="J262">
    <cfRule type="expression" dxfId="46" priority="47">
      <formula>"V10_INSTALL_FLAG"="V10_INSTALL_FLAG"</formula>
    </cfRule>
  </conditionalFormatting>
  <conditionalFormatting sqref="J263">
    <cfRule type="expression" dxfId="45" priority="46">
      <formula>"V10_INSTALL_FLAG"="V10_INSTALL_FLAG"</formula>
    </cfRule>
  </conditionalFormatting>
  <conditionalFormatting sqref="J264">
    <cfRule type="expression" dxfId="44" priority="45">
      <formula>"V10_INSTALL_FLAG"="V10_INSTALL_FLAG"</formula>
    </cfRule>
  </conditionalFormatting>
  <conditionalFormatting sqref="J265">
    <cfRule type="expression" dxfId="43" priority="44">
      <formula>"V10_INSTALL_FLAG"="V10_INSTALL_FLAG"</formula>
    </cfRule>
  </conditionalFormatting>
  <conditionalFormatting sqref="J266">
    <cfRule type="expression" dxfId="42" priority="43">
      <formula>"V10_INSTALL_FLAG"="V10_INSTALL_FLAG"</formula>
    </cfRule>
  </conditionalFormatting>
  <conditionalFormatting sqref="J267">
    <cfRule type="expression" dxfId="41" priority="42">
      <formula>"V10_INSTALL_FLAG"="V10_INSTALL_FLAG"</formula>
    </cfRule>
  </conditionalFormatting>
  <conditionalFormatting sqref="J268">
    <cfRule type="expression" dxfId="40" priority="41">
      <formula>"V10_INSTALL_FLAG"="V10_INSTALL_FLAG"</formula>
    </cfRule>
  </conditionalFormatting>
  <conditionalFormatting sqref="J269">
    <cfRule type="expression" dxfId="39" priority="40">
      <formula>"V10_INSTALL_FLAG"="V10_INSTALL_FLAG"</formula>
    </cfRule>
  </conditionalFormatting>
  <conditionalFormatting sqref="J270">
    <cfRule type="expression" dxfId="38" priority="39">
      <formula>"V10_INSTALL_FLAG"="V10_INSTALL_FLAG"</formula>
    </cfRule>
  </conditionalFormatting>
  <conditionalFormatting sqref="J271">
    <cfRule type="expression" dxfId="37" priority="38">
      <formula>"V10_INSTALL_FLAG"="V10_INSTALL_FLAG"</formula>
    </cfRule>
  </conditionalFormatting>
  <conditionalFormatting sqref="J272">
    <cfRule type="expression" dxfId="36" priority="37">
      <formula>"V10_INSTALL_FLAG"="V10_INSTALL_FLAG"</formula>
    </cfRule>
  </conditionalFormatting>
  <conditionalFormatting sqref="J273">
    <cfRule type="expression" dxfId="35" priority="36">
      <formula>"V10_INSTALL_FLAG"="V10_INSTALL_FLAG"</formula>
    </cfRule>
  </conditionalFormatting>
  <conditionalFormatting sqref="J274">
    <cfRule type="expression" dxfId="34" priority="35">
      <formula>"V10_INSTALL_FLAG"="V10_INSTALL_FLAG"</formula>
    </cfRule>
  </conditionalFormatting>
  <conditionalFormatting sqref="J275">
    <cfRule type="expression" dxfId="33" priority="34">
      <formula>"V10_INSTALL_FLAG"="V10_INSTALL_FLAG"</formula>
    </cfRule>
  </conditionalFormatting>
  <conditionalFormatting sqref="J276">
    <cfRule type="expression" dxfId="32" priority="33">
      <formula>"V10_INSTALL_FLAG"="V10_INSTALL_FLAG"</formula>
    </cfRule>
  </conditionalFormatting>
  <conditionalFormatting sqref="J277">
    <cfRule type="expression" dxfId="31" priority="32">
      <formula>"V10_INSTALL_FLAG"="V10_INSTALL_FLAG"</formula>
    </cfRule>
  </conditionalFormatting>
  <conditionalFormatting sqref="J278">
    <cfRule type="expression" dxfId="30" priority="31">
      <formula>"V10_INSTALL_FLAG"="V10_INSTALL_FLAG"</formula>
    </cfRule>
  </conditionalFormatting>
  <conditionalFormatting sqref="J279">
    <cfRule type="expression" dxfId="29" priority="30">
      <formula>"V10_INSTALL_FLAG"="V10_INSTALL_FLAG"</formula>
    </cfRule>
  </conditionalFormatting>
  <conditionalFormatting sqref="J280">
    <cfRule type="expression" dxfId="28" priority="29">
      <formula>"V10_INSTALL_FLAG"="V10_INSTALL_FLAG"</formula>
    </cfRule>
  </conditionalFormatting>
  <conditionalFormatting sqref="J281">
    <cfRule type="expression" dxfId="27" priority="28">
      <formula>"V10_INSTALL_FLAG"="V10_INSTALL_FLAG"</formula>
    </cfRule>
  </conditionalFormatting>
  <conditionalFormatting sqref="J283">
    <cfRule type="expression" dxfId="26" priority="27">
      <formula>"V10_INSTALL_FLAG"="V10_INSTALL_FLAG"</formula>
    </cfRule>
  </conditionalFormatting>
  <conditionalFormatting sqref="J284">
    <cfRule type="expression" dxfId="25" priority="26">
      <formula>"V10_INSTALL_FLAG"="V10_INSTALL_FLAG"</formula>
    </cfRule>
  </conditionalFormatting>
  <conditionalFormatting sqref="J285">
    <cfRule type="expression" dxfId="24" priority="25">
      <formula>"V10_INSTALL_FLAG"="V10_INSTALL_FLAG"</formula>
    </cfRule>
  </conditionalFormatting>
  <conditionalFormatting sqref="J286">
    <cfRule type="expression" dxfId="23" priority="24">
      <formula>"V10_INSTALL_FLAG"="V10_INSTALL_FLAG"</formula>
    </cfRule>
  </conditionalFormatting>
  <conditionalFormatting sqref="J287">
    <cfRule type="expression" dxfId="22" priority="23">
      <formula>"V10_INSTALL_FLAG"="V10_INSTALL_FLAG"</formula>
    </cfRule>
  </conditionalFormatting>
  <conditionalFormatting sqref="J288">
    <cfRule type="expression" dxfId="21" priority="22">
      <formula>"V10_INSTALL_FLAG"="V10_INSTALL_FLAG"</formula>
    </cfRule>
  </conditionalFormatting>
  <conditionalFormatting sqref="J289">
    <cfRule type="expression" dxfId="20" priority="21">
      <formula>"V10_INSTALL_FLAG"="V10_INSTALL_FLAG"</formula>
    </cfRule>
  </conditionalFormatting>
  <conditionalFormatting sqref="J290">
    <cfRule type="expression" dxfId="19" priority="20">
      <formula>"V10_INSTALL_FLAG"="V10_INSTALL_FLAG"</formula>
    </cfRule>
  </conditionalFormatting>
  <conditionalFormatting sqref="J291">
    <cfRule type="expression" dxfId="18" priority="19">
      <formula>"V10_INSTALL_FLAG"="V10_INSTALL_FLAG"</formula>
    </cfRule>
  </conditionalFormatting>
  <conditionalFormatting sqref="J292">
    <cfRule type="expression" dxfId="17" priority="18">
      <formula>"V10_INSTALL_FLAG"="V10_INSTALL_FLAG"</formula>
    </cfRule>
  </conditionalFormatting>
  <conditionalFormatting sqref="J293">
    <cfRule type="expression" dxfId="16" priority="17">
      <formula>"V10_INSTALL_FLAG"="V10_INSTALL_FLAG"</formula>
    </cfRule>
  </conditionalFormatting>
  <conditionalFormatting sqref="J294">
    <cfRule type="expression" dxfId="15" priority="16">
      <formula>"V10_INSTALL_FLAG"="V10_INSTALL_FLAG"</formula>
    </cfRule>
  </conditionalFormatting>
  <conditionalFormatting sqref="J295">
    <cfRule type="expression" dxfId="14" priority="15">
      <formula>"V10_INSTALL_FLAG"="V10_INSTALL_FLAG"</formula>
    </cfRule>
  </conditionalFormatting>
  <conditionalFormatting sqref="J296">
    <cfRule type="expression" dxfId="13" priority="14">
      <formula>"V10_INSTALL_FLAG"="V10_INSTALL_FLAG"</formula>
    </cfRule>
  </conditionalFormatting>
  <conditionalFormatting sqref="J297">
    <cfRule type="expression" dxfId="12" priority="13">
      <formula>"V10_INSTALL_FLAG"="V10_INSTALL_FLAG"</formula>
    </cfRule>
  </conditionalFormatting>
  <conditionalFormatting sqref="J298">
    <cfRule type="expression" dxfId="11" priority="12">
      <formula>"V10_INSTALL_FLAG"="V10_INSTALL_FLAG"</formula>
    </cfRule>
  </conditionalFormatting>
  <conditionalFormatting sqref="J299">
    <cfRule type="expression" dxfId="10" priority="11">
      <formula>"V10_INSTALL_FLAG"="V10_INSTALL_FLAG"</formula>
    </cfRule>
  </conditionalFormatting>
  <conditionalFormatting sqref="J300">
    <cfRule type="expression" dxfId="9" priority="10">
      <formula>"V10_INSTALL_FLAG"="V10_INSTALL_FLAG"</formula>
    </cfRule>
  </conditionalFormatting>
  <conditionalFormatting sqref="J301">
    <cfRule type="expression" dxfId="8" priority="9">
      <formula>"V10_INSTALL_FLAG"="V10_INSTALL_FLAG"</formula>
    </cfRule>
  </conditionalFormatting>
  <conditionalFormatting sqref="J302">
    <cfRule type="expression" dxfId="7" priority="8">
      <formula>"V10_INSTALL_FLAG"="V10_INSTALL_FLAG"</formula>
    </cfRule>
  </conditionalFormatting>
  <conditionalFormatting sqref="J303">
    <cfRule type="expression" dxfId="6" priority="7">
      <formula>"V10_INSTALL_FLAG"="V10_INSTALL_FLAG"</formula>
    </cfRule>
  </conditionalFormatting>
  <conditionalFormatting sqref="J304">
    <cfRule type="expression" dxfId="5" priority="6">
      <formula>"V10_INSTALL_FLAG"="V10_INSTALL_FLAG"</formula>
    </cfRule>
  </conditionalFormatting>
  <conditionalFormatting sqref="J305">
    <cfRule type="expression" dxfId="4" priority="5">
      <formula>"V10_INSTALL_FLAG"="V10_INSTALL_FLAG"</formula>
    </cfRule>
  </conditionalFormatting>
  <conditionalFormatting sqref="J306">
    <cfRule type="expression" dxfId="3" priority="4">
      <formula>"V10_INSTALL_FLAG"="V10_INSTALL_FLAG"</formula>
    </cfRule>
  </conditionalFormatting>
  <conditionalFormatting sqref="J307">
    <cfRule type="expression" dxfId="2" priority="3">
      <formula>"V10_INSTALL_FLAG"="V10_INSTALL_FLAG"</formula>
    </cfRule>
  </conditionalFormatting>
  <conditionalFormatting sqref="J308">
    <cfRule type="expression" dxfId="1" priority="2">
      <formula>"V10_INSTALL_FLAG"="V10_INSTALL_FLAG"</formula>
    </cfRule>
  </conditionalFormatting>
  <conditionalFormatting sqref="J309">
    <cfRule type="expression" dxfId="0" priority="1">
      <formula>"V10_INSTALL_FLAG"="V10_INSTALL_FLAG"</formula>
    </cfRule>
  </conditionalFormatting>
  <dataValidations count="5">
    <dataValidation type="custom" allowBlank="1" showInputMessage="1" showErrorMessage="1" sqref="X222:AB343 Q222:V343 O222:O343 O4:O9 Q4:V9 X4:AB9 B4:B9 B11:B18 O11:O18 Q11:V18 X11:AB18 X20:AB32 B20:B32 O20:O32 Q20:V32 Q34:V47 X34:AB47 B34:B47 O34:O47 O49:O67 Q49:V67 X49:AB67 B49:B67 B69:B79 O69:O79 Q69:V79 X69:AB79 X81:AB96 B81:B96 O81:O96 Q81:V96 Q98:V121 X98:AB121 B98:B121 O98:O121 O123:O146 Q123:V146 X123:AB146 B123:B146 B148:B153 O148:O153 Q148:V153 X148:AB153 X155:AB170 B155:B170 O155:O170 Q155:V170 Q172:V191 X172:AB191 B172:B191 O172:O191 O193:O202 Q193:V202 X193:AB202 B193:B202 B204:B209 O204:O209 Q204:V209 X204:AB209 X211:AB212 B211:B212 O211:O212 Q211:V212 Q214:V215 X214:AB215 B214:B215 O214:O215 O217:O220 Q217:V220 X217:AB220 B217:B220 B222:B343" xr:uid="{CA247CF1-3858-4063-9D7C-EC4EEF9F4FCD}">
      <formula1>FALSE()</formula1>
    </dataValidation>
    <dataValidation type="list" allowBlank="1" showInputMessage="1" showErrorMessage="1" sqref="AG4:AG9 AG11:AG18 AG20:AG32 AG34:AG47 AG49:AG67 AG69:AG79 AG81:AG96 AG98:AG121 AG123:AG146 AG148:AG153 AG155:AG170 AG172:AG191 AG193:AG202 AG204:AG209 AG211:AG212 AG214:AG215 AG217:AG220 AG222:AG343" xr:uid="{B39883D0-A10F-4848-AA52-3A9031DD7B05}">
      <formula1>"F+N,NR,F"</formula1>
    </dataValidation>
    <dataValidation type="list" allowBlank="1" showInputMessage="1" showErrorMessage="1" sqref="AE4:AE9 AE11:AE18 AE20:AE32 AE34:AE47 AE49:AE67 AE69:AE79 AE81:AE96 AE98:AE121 AE123:AE146 AE148:AE153 AE155:AE170 AE172:AE191 AE193:AE202 AE204:AE209 AE211:AE212 AE214:AE215 AE217:AE220 AE222:AE343" xr:uid="{19547BE6-7CA6-47BF-BD1A-F4A02DCD90C2}">
      <formula1>"Durr, AES"</formula1>
    </dataValidation>
    <dataValidation type="list" allowBlank="1" showInputMessage="1" showErrorMessage="1" sqref="AF4:AF9 AF11:AF18 AF20:AF32 AF34:AF47 AF49:AF67 AF69:AF79 AF81:AF96 AF98:AF121 AF123:AF146 AF148:AF153 AF155:AF170 AF172:AF191 AF193:AF202 AF204:AF209 AF211:AF212 AF214:AF215 AF217:AF220 AF222:AF343" xr:uid="{9E3CC3E9-3557-4E56-9AD3-60CA4E5EC853}">
      <formula1>"FOB,CNF"</formula1>
    </dataValidation>
    <dataValidation type="list" allowBlank="1" showInputMessage="1" showErrorMessage="1" sqref="F4:F9 F11:F18 F20:F32 F34:F47 F49:F67 F69:F79 F81:F96 F98:F121 F123:F146 F148:F153 F155:F170 F172:F191 F193:F202 F204:F209 F211:F212 F214:F215 F217:F220 F222:F1048576" xr:uid="{4FB09499-98AA-42AE-B681-ED6CD98409EC}">
      <formula1>PlantList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E647-50C2-4A39-A743-1B2992131B8E}">
  <sheetPr codeName="Sheet11"/>
  <dimension ref="A1:H293"/>
  <sheetViews>
    <sheetView showGridLines="0" zoomScale="70" zoomScaleNormal="70" workbookViewId="0">
      <selection sqref="A1:H1"/>
    </sheetView>
  </sheetViews>
  <sheetFormatPr defaultRowHeight="15"/>
  <cols>
    <col min="1" max="1" width="25.77734375" style="108" customWidth="1"/>
    <col min="2" max="2" width="30.77734375" style="108" customWidth="1"/>
    <col min="3" max="3" width="14.77734375" style="108" customWidth="1"/>
    <col min="4" max="4" width="28.77734375" style="108" customWidth="1"/>
    <col min="5" max="5" width="18.77734375" style="108" customWidth="1"/>
    <col min="6" max="6" width="12.77734375" style="108" customWidth="1"/>
    <col min="7" max="7" width="65.77734375" style="108" customWidth="1"/>
    <col min="8" max="8" width="12.77734375" style="108" customWidth="1"/>
    <col min="9" max="16384" width="8.88671875" style="108"/>
  </cols>
  <sheetData>
    <row r="1" spans="1:8" ht="30" customHeight="1">
      <c r="A1" s="148" t="s">
        <v>9063</v>
      </c>
      <c r="B1" s="148"/>
      <c r="C1" s="148"/>
      <c r="D1" s="148"/>
      <c r="E1" s="148"/>
      <c r="F1" s="148"/>
      <c r="G1" s="148"/>
      <c r="H1" s="148"/>
    </row>
    <row r="2" spans="1:8" ht="37.950000000000003" customHeight="1">
      <c r="A2" s="148" t="s">
        <v>6422</v>
      </c>
      <c r="B2" s="148"/>
      <c r="C2" s="148"/>
      <c r="D2" s="148"/>
      <c r="E2" s="148"/>
      <c r="F2" s="148"/>
      <c r="G2" s="148"/>
      <c r="H2" s="148"/>
    </row>
    <row r="4" spans="1:8" ht="28.05" customHeight="1">
      <c r="A4" s="109" t="s">
        <v>324</v>
      </c>
      <c r="B4" s="109" t="s">
        <v>6155</v>
      </c>
      <c r="C4" s="109" t="s">
        <v>6156</v>
      </c>
      <c r="D4" s="109" t="s">
        <v>6157</v>
      </c>
      <c r="E4" s="109" t="s">
        <v>6158</v>
      </c>
      <c r="F4" s="109" t="s">
        <v>6159</v>
      </c>
      <c r="G4" s="109" t="s">
        <v>6160</v>
      </c>
      <c r="H4" s="109" t="s">
        <v>137</v>
      </c>
    </row>
    <row r="5" spans="1:8">
      <c r="A5" s="110" t="s">
        <v>179</v>
      </c>
      <c r="B5" s="110" t="s">
        <v>3912</v>
      </c>
      <c r="C5" s="110" t="s">
        <v>606</v>
      </c>
      <c r="D5" s="110" t="s">
        <v>9064</v>
      </c>
      <c r="E5" s="110" t="s">
        <v>603</v>
      </c>
      <c r="F5" s="110" t="s">
        <v>6167</v>
      </c>
      <c r="G5" s="110" t="s">
        <v>6168</v>
      </c>
      <c r="H5" s="110" t="s">
        <v>139</v>
      </c>
    </row>
    <row r="6" spans="1:8">
      <c r="A6" s="110" t="s">
        <v>178</v>
      </c>
      <c r="B6" s="110" t="s">
        <v>3905</v>
      </c>
      <c r="C6" s="110" t="s">
        <v>607</v>
      </c>
      <c r="D6" s="110" t="s">
        <v>9065</v>
      </c>
      <c r="E6" s="110" t="s">
        <v>603</v>
      </c>
      <c r="F6" s="110" t="s">
        <v>6167</v>
      </c>
      <c r="G6" s="110" t="s">
        <v>6168</v>
      </c>
      <c r="H6" s="110" t="s">
        <v>139</v>
      </c>
    </row>
    <row r="7" spans="1:8">
      <c r="A7" s="110" t="s">
        <v>179</v>
      </c>
      <c r="B7" s="110" t="s">
        <v>528</v>
      </c>
      <c r="C7" s="110" t="s">
        <v>608</v>
      </c>
      <c r="D7" s="110" t="s">
        <v>9066</v>
      </c>
      <c r="E7" s="110" t="s">
        <v>603</v>
      </c>
      <c r="F7" s="110" t="s">
        <v>6167</v>
      </c>
      <c r="G7" s="110" t="s">
        <v>6168</v>
      </c>
      <c r="H7" s="110" t="s">
        <v>139</v>
      </c>
    </row>
    <row r="8" spans="1:8">
      <c r="A8" s="110" t="s">
        <v>178</v>
      </c>
      <c r="B8" s="110" t="s">
        <v>528</v>
      </c>
      <c r="C8" s="110" t="s">
        <v>609</v>
      </c>
      <c r="D8" s="110" t="s">
        <v>9067</v>
      </c>
      <c r="E8" s="110" t="s">
        <v>603</v>
      </c>
      <c r="F8" s="110" t="s">
        <v>6167</v>
      </c>
      <c r="G8" s="110" t="s">
        <v>6168</v>
      </c>
      <c r="H8" s="110" t="s">
        <v>139</v>
      </c>
    </row>
    <row r="9" spans="1:8">
      <c r="A9" s="110" t="s">
        <v>154</v>
      </c>
      <c r="B9" s="110" t="s">
        <v>451</v>
      </c>
      <c r="C9" s="110" t="s">
        <v>610</v>
      </c>
      <c r="D9" s="110" t="s">
        <v>9068</v>
      </c>
      <c r="E9" s="110" t="s">
        <v>603</v>
      </c>
      <c r="F9" s="110" t="s">
        <v>6167</v>
      </c>
      <c r="G9" s="110" t="s">
        <v>6168</v>
      </c>
      <c r="H9" s="110" t="s">
        <v>144</v>
      </c>
    </row>
    <row r="10" spans="1:8" ht="30">
      <c r="A10" s="110" t="s">
        <v>224</v>
      </c>
      <c r="B10" s="110" t="s">
        <v>363</v>
      </c>
      <c r="C10" s="110" t="s">
        <v>611</v>
      </c>
      <c r="D10" s="110" t="s">
        <v>9069</v>
      </c>
      <c r="E10" s="110" t="s">
        <v>603</v>
      </c>
      <c r="F10" s="110" t="s">
        <v>6167</v>
      </c>
      <c r="G10" s="110" t="s">
        <v>6168</v>
      </c>
      <c r="H10" s="110" t="s">
        <v>142</v>
      </c>
    </row>
    <row r="11" spans="1:8">
      <c r="A11" s="110" t="s">
        <v>179</v>
      </c>
      <c r="B11" s="110" t="s">
        <v>3911</v>
      </c>
      <c r="C11" s="110" t="s">
        <v>613</v>
      </c>
      <c r="D11" s="110" t="s">
        <v>9070</v>
      </c>
      <c r="E11" s="110" t="s">
        <v>604</v>
      </c>
      <c r="F11" s="110" t="s">
        <v>6167</v>
      </c>
      <c r="G11" s="110" t="s">
        <v>6168</v>
      </c>
      <c r="H11" s="110" t="s">
        <v>139</v>
      </c>
    </row>
    <row r="12" spans="1:8">
      <c r="A12" s="110" t="s">
        <v>178</v>
      </c>
      <c r="B12" s="110" t="s">
        <v>3906</v>
      </c>
      <c r="C12" s="110" t="s">
        <v>614</v>
      </c>
      <c r="D12" s="110" t="s">
        <v>9071</v>
      </c>
      <c r="E12" s="110" t="s">
        <v>604</v>
      </c>
      <c r="F12" s="110" t="s">
        <v>6167</v>
      </c>
      <c r="G12" s="110" t="s">
        <v>6168</v>
      </c>
      <c r="H12" s="110" t="s">
        <v>139</v>
      </c>
    </row>
    <row r="13" spans="1:8" ht="30">
      <c r="A13" s="110" t="s">
        <v>209</v>
      </c>
      <c r="B13" s="110" t="s">
        <v>405</v>
      </c>
      <c r="C13" s="110" t="s">
        <v>615</v>
      </c>
      <c r="D13" s="110" t="s">
        <v>9072</v>
      </c>
      <c r="E13" s="110" t="s">
        <v>604</v>
      </c>
      <c r="F13" s="110" t="s">
        <v>6167</v>
      </c>
      <c r="G13" s="110" t="s">
        <v>6168</v>
      </c>
      <c r="H13" s="110" t="s">
        <v>141</v>
      </c>
    </row>
    <row r="14" spans="1:8">
      <c r="A14" s="110" t="s">
        <v>209</v>
      </c>
      <c r="B14" s="110" t="s">
        <v>216</v>
      </c>
      <c r="C14" s="110" t="s">
        <v>616</v>
      </c>
      <c r="D14" s="110" t="s">
        <v>9073</v>
      </c>
      <c r="E14" s="110" t="s">
        <v>604</v>
      </c>
      <c r="F14" s="110" t="s">
        <v>6167</v>
      </c>
      <c r="G14" s="110" t="s">
        <v>6168</v>
      </c>
      <c r="H14" s="110" t="s">
        <v>141</v>
      </c>
    </row>
    <row r="15" spans="1:8">
      <c r="A15" s="110" t="s">
        <v>209</v>
      </c>
      <c r="B15" s="110" t="s">
        <v>397</v>
      </c>
      <c r="C15" s="110" t="s">
        <v>617</v>
      </c>
      <c r="D15" s="110" t="s">
        <v>9074</v>
      </c>
      <c r="E15" s="110" t="s">
        <v>604</v>
      </c>
      <c r="F15" s="110" t="s">
        <v>6167</v>
      </c>
      <c r="G15" s="110" t="s">
        <v>6168</v>
      </c>
      <c r="H15" s="110" t="s">
        <v>141</v>
      </c>
    </row>
    <row r="16" spans="1:8">
      <c r="A16" s="110" t="s">
        <v>154</v>
      </c>
      <c r="B16" s="110" t="s">
        <v>467</v>
      </c>
      <c r="C16" s="110" t="s">
        <v>618</v>
      </c>
      <c r="D16" s="110" t="s">
        <v>6170</v>
      </c>
      <c r="E16" s="110" t="s">
        <v>604</v>
      </c>
      <c r="F16" s="110" t="s">
        <v>6167</v>
      </c>
      <c r="G16" s="110" t="s">
        <v>6168</v>
      </c>
      <c r="H16" s="110" t="s">
        <v>144</v>
      </c>
    </row>
    <row r="17" spans="1:8">
      <c r="A17" s="110" t="s">
        <v>178</v>
      </c>
      <c r="B17" s="110" t="s">
        <v>3907</v>
      </c>
      <c r="C17" s="110" t="s">
        <v>619</v>
      </c>
      <c r="D17" s="110" t="s">
        <v>9075</v>
      </c>
      <c r="E17" s="110" t="s">
        <v>604</v>
      </c>
      <c r="F17" s="110" t="s">
        <v>6167</v>
      </c>
      <c r="G17" s="110" t="s">
        <v>6168</v>
      </c>
      <c r="H17" s="110" t="s">
        <v>139</v>
      </c>
    </row>
    <row r="18" spans="1:8" ht="30">
      <c r="A18" s="110" t="s">
        <v>224</v>
      </c>
      <c r="B18" s="110" t="s">
        <v>367</v>
      </c>
      <c r="C18" s="110" t="s">
        <v>620</v>
      </c>
      <c r="D18" s="110" t="s">
        <v>9076</v>
      </c>
      <c r="E18" s="110" t="s">
        <v>604</v>
      </c>
      <c r="F18" s="110" t="s">
        <v>6167</v>
      </c>
      <c r="G18" s="110" t="s">
        <v>6168</v>
      </c>
      <c r="H18" s="110" t="s">
        <v>142</v>
      </c>
    </row>
    <row r="19" spans="1:8">
      <c r="A19" s="110" t="s">
        <v>154</v>
      </c>
      <c r="B19" s="110" t="s">
        <v>454</v>
      </c>
      <c r="C19" s="110" t="s">
        <v>622</v>
      </c>
      <c r="D19" s="110" t="s">
        <v>9077</v>
      </c>
      <c r="E19" s="110" t="s">
        <v>605</v>
      </c>
      <c r="F19" s="110" t="s">
        <v>6167</v>
      </c>
      <c r="G19" s="110" t="s">
        <v>6168</v>
      </c>
      <c r="H19" s="110" t="s">
        <v>144</v>
      </c>
    </row>
    <row r="20" spans="1:8">
      <c r="A20" s="110" t="s">
        <v>179</v>
      </c>
      <c r="B20" s="110" t="s">
        <v>3909</v>
      </c>
      <c r="C20" s="110" t="s">
        <v>623</v>
      </c>
      <c r="D20" s="110" t="s">
        <v>9078</v>
      </c>
      <c r="E20" s="110" t="s">
        <v>605</v>
      </c>
      <c r="F20" s="110" t="s">
        <v>6167</v>
      </c>
      <c r="G20" s="110" t="s">
        <v>6168</v>
      </c>
      <c r="H20" s="110" t="s">
        <v>139</v>
      </c>
    </row>
    <row r="21" spans="1:8">
      <c r="A21" s="110" t="s">
        <v>179</v>
      </c>
      <c r="B21" s="110" t="s">
        <v>3910</v>
      </c>
      <c r="C21" s="110" t="s">
        <v>624</v>
      </c>
      <c r="D21" s="110" t="s">
        <v>9079</v>
      </c>
      <c r="E21" s="110" t="s">
        <v>605</v>
      </c>
      <c r="F21" s="110" t="s">
        <v>6167</v>
      </c>
      <c r="G21" s="110" t="s">
        <v>6168</v>
      </c>
      <c r="H21" s="110" t="s">
        <v>139</v>
      </c>
    </row>
    <row r="22" spans="1:8">
      <c r="A22" s="110" t="s">
        <v>179</v>
      </c>
      <c r="B22" s="110" t="s">
        <v>3905</v>
      </c>
      <c r="C22" s="110" t="s">
        <v>625</v>
      </c>
      <c r="D22" s="110" t="s">
        <v>9080</v>
      </c>
      <c r="E22" s="110" t="s">
        <v>605</v>
      </c>
      <c r="F22" s="110" t="s">
        <v>6214</v>
      </c>
      <c r="G22" s="110" t="s">
        <v>9081</v>
      </c>
      <c r="H22" s="110" t="s">
        <v>139</v>
      </c>
    </row>
    <row r="23" spans="1:8">
      <c r="A23" s="110" t="s">
        <v>209</v>
      </c>
      <c r="B23" s="110" t="s">
        <v>403</v>
      </c>
      <c r="C23" s="110" t="s">
        <v>626</v>
      </c>
      <c r="D23" s="110" t="s">
        <v>9082</v>
      </c>
      <c r="E23" s="110" t="s">
        <v>605</v>
      </c>
      <c r="F23" s="110" t="s">
        <v>6167</v>
      </c>
      <c r="G23" s="110" t="s">
        <v>6168</v>
      </c>
      <c r="H23" s="110" t="s">
        <v>141</v>
      </c>
    </row>
    <row r="24" spans="1:8" ht="30">
      <c r="A24" s="110" t="s">
        <v>209</v>
      </c>
      <c r="B24" s="110" t="s">
        <v>416</v>
      </c>
      <c r="C24" s="110" t="s">
        <v>627</v>
      </c>
      <c r="D24" s="110" t="s">
        <v>9083</v>
      </c>
      <c r="E24" s="110" t="s">
        <v>605</v>
      </c>
      <c r="F24" s="110" t="s">
        <v>6167</v>
      </c>
      <c r="G24" s="110" t="s">
        <v>6168</v>
      </c>
      <c r="H24" s="110" t="s">
        <v>141</v>
      </c>
    </row>
    <row r="25" spans="1:8">
      <c r="A25" s="110" t="s">
        <v>175</v>
      </c>
      <c r="B25" s="110" t="s">
        <v>419</v>
      </c>
      <c r="C25" s="110" t="s">
        <v>628</v>
      </c>
      <c r="D25" s="110" t="s">
        <v>9080</v>
      </c>
      <c r="E25" s="110" t="s">
        <v>605</v>
      </c>
      <c r="F25" s="110" t="s">
        <v>6214</v>
      </c>
      <c r="G25" s="110" t="s">
        <v>9084</v>
      </c>
      <c r="H25" s="110" t="s">
        <v>138</v>
      </c>
    </row>
    <row r="26" spans="1:8">
      <c r="A26" s="110" t="s">
        <v>175</v>
      </c>
      <c r="B26" s="110" t="s">
        <v>367</v>
      </c>
      <c r="C26" s="110" t="s">
        <v>629</v>
      </c>
      <c r="D26" s="110" t="s">
        <v>9080</v>
      </c>
      <c r="E26" s="110" t="s">
        <v>605</v>
      </c>
      <c r="F26" s="110" t="s">
        <v>6214</v>
      </c>
      <c r="G26" s="110" t="s">
        <v>9085</v>
      </c>
      <c r="H26" s="110" t="s">
        <v>138</v>
      </c>
    </row>
    <row r="27" spans="1:8">
      <c r="A27" s="110" t="s">
        <v>177</v>
      </c>
      <c r="B27" s="110" t="s">
        <v>448</v>
      </c>
      <c r="C27" s="110" t="s">
        <v>630</v>
      </c>
      <c r="D27" s="110" t="s">
        <v>9086</v>
      </c>
      <c r="E27" s="110" t="s">
        <v>605</v>
      </c>
      <c r="F27" s="110" t="s">
        <v>6167</v>
      </c>
      <c r="G27" s="110" t="s">
        <v>6168</v>
      </c>
      <c r="H27" s="110" t="s">
        <v>138</v>
      </c>
    </row>
    <row r="28" spans="1:8">
      <c r="A28" s="110" t="s">
        <v>154</v>
      </c>
      <c r="B28" s="110" t="s">
        <v>457</v>
      </c>
      <c r="C28" s="110" t="s">
        <v>631</v>
      </c>
      <c r="D28" s="110" t="s">
        <v>9087</v>
      </c>
      <c r="E28" s="110" t="s">
        <v>605</v>
      </c>
      <c r="F28" s="110" t="s">
        <v>6167</v>
      </c>
      <c r="G28" s="110" t="s">
        <v>6168</v>
      </c>
      <c r="H28" s="110" t="s">
        <v>144</v>
      </c>
    </row>
    <row r="29" spans="1:8">
      <c r="A29" s="110" t="s">
        <v>154</v>
      </c>
      <c r="B29" s="110" t="s">
        <v>462</v>
      </c>
      <c r="C29" s="110" t="s">
        <v>632</v>
      </c>
      <c r="D29" s="110" t="s">
        <v>9088</v>
      </c>
      <c r="E29" s="110" t="s">
        <v>605</v>
      </c>
      <c r="F29" s="110" t="s">
        <v>6167</v>
      </c>
      <c r="G29" s="110" t="s">
        <v>6168</v>
      </c>
      <c r="H29" s="110" t="s">
        <v>144</v>
      </c>
    </row>
    <row r="30" spans="1:8" ht="30">
      <c r="A30" s="110" t="s">
        <v>224</v>
      </c>
      <c r="B30" s="110" t="s">
        <v>368</v>
      </c>
      <c r="C30" s="110" t="s">
        <v>633</v>
      </c>
      <c r="D30" s="110" t="s">
        <v>9089</v>
      </c>
      <c r="E30" s="110" t="s">
        <v>605</v>
      </c>
      <c r="F30" s="110" t="s">
        <v>6167</v>
      </c>
      <c r="G30" s="110" t="s">
        <v>6168</v>
      </c>
      <c r="H30" s="110" t="s">
        <v>142</v>
      </c>
    </row>
    <row r="31" spans="1:8" ht="45">
      <c r="A31" s="110" t="s">
        <v>247</v>
      </c>
      <c r="B31" s="110" t="s">
        <v>565</v>
      </c>
      <c r="C31" s="110" t="s">
        <v>634</v>
      </c>
      <c r="D31" s="110" t="s">
        <v>9090</v>
      </c>
      <c r="E31" s="110" t="s">
        <v>605</v>
      </c>
      <c r="F31" s="110" t="s">
        <v>6167</v>
      </c>
      <c r="G31" s="110" t="s">
        <v>6168</v>
      </c>
      <c r="H31" s="110" t="s">
        <v>145</v>
      </c>
    </row>
    <row r="32" spans="1:8">
      <c r="A32" s="110" t="s">
        <v>179</v>
      </c>
      <c r="B32" s="110" t="s">
        <v>542</v>
      </c>
      <c r="C32" s="110" t="s">
        <v>636</v>
      </c>
      <c r="D32" s="110" t="s">
        <v>9091</v>
      </c>
      <c r="E32" s="110" t="s">
        <v>606</v>
      </c>
      <c r="F32" s="110" t="s">
        <v>6167</v>
      </c>
      <c r="G32" s="110" t="s">
        <v>6168</v>
      </c>
      <c r="H32" s="110" t="s">
        <v>139</v>
      </c>
    </row>
    <row r="33" spans="1:8">
      <c r="A33" s="110" t="s">
        <v>178</v>
      </c>
      <c r="B33" s="110" t="s">
        <v>560</v>
      </c>
      <c r="C33" s="110" t="s">
        <v>637</v>
      </c>
      <c r="D33" s="110" t="s">
        <v>9092</v>
      </c>
      <c r="E33" s="110" t="s">
        <v>606</v>
      </c>
      <c r="F33" s="110" t="s">
        <v>6167</v>
      </c>
      <c r="G33" s="110" t="s">
        <v>6168</v>
      </c>
      <c r="H33" s="110" t="s">
        <v>139</v>
      </c>
    </row>
    <row r="34" spans="1:8">
      <c r="A34" s="110" t="s">
        <v>209</v>
      </c>
      <c r="B34" s="110" t="s">
        <v>414</v>
      </c>
      <c r="C34" s="110" t="s">
        <v>638</v>
      </c>
      <c r="D34" s="110" t="s">
        <v>9093</v>
      </c>
      <c r="E34" s="110" t="s">
        <v>606</v>
      </c>
      <c r="F34" s="110" t="s">
        <v>6167</v>
      </c>
      <c r="G34" s="110" t="s">
        <v>6168</v>
      </c>
      <c r="H34" s="110" t="s">
        <v>141</v>
      </c>
    </row>
    <row r="35" spans="1:8">
      <c r="A35" s="110" t="s">
        <v>209</v>
      </c>
      <c r="B35" s="110" t="s">
        <v>393</v>
      </c>
      <c r="C35" s="110" t="s">
        <v>6171</v>
      </c>
      <c r="D35" s="110" t="s">
        <v>9094</v>
      </c>
      <c r="E35" s="110" t="s">
        <v>606</v>
      </c>
      <c r="F35" s="110" t="s">
        <v>6167</v>
      </c>
      <c r="G35" s="110" t="s">
        <v>6168</v>
      </c>
      <c r="H35" s="110" t="s">
        <v>141</v>
      </c>
    </row>
    <row r="36" spans="1:8">
      <c r="A36" s="110" t="s">
        <v>209</v>
      </c>
      <c r="B36" s="110" t="s">
        <v>651</v>
      </c>
      <c r="C36" s="110" t="s">
        <v>6172</v>
      </c>
      <c r="D36" s="110" t="s">
        <v>9095</v>
      </c>
      <c r="E36" s="110" t="s">
        <v>606</v>
      </c>
      <c r="F36" s="110" t="s">
        <v>6167</v>
      </c>
      <c r="G36" s="110" t="s">
        <v>6168</v>
      </c>
      <c r="H36" s="110" t="s">
        <v>141</v>
      </c>
    </row>
    <row r="37" spans="1:8">
      <c r="A37" s="110" t="s">
        <v>175</v>
      </c>
      <c r="B37" s="110" t="s">
        <v>654</v>
      </c>
      <c r="C37" s="110" t="s">
        <v>6173</v>
      </c>
      <c r="D37" s="110" t="s">
        <v>9096</v>
      </c>
      <c r="E37" s="110" t="s">
        <v>606</v>
      </c>
      <c r="F37" s="110" t="s">
        <v>6167</v>
      </c>
      <c r="G37" s="110" t="s">
        <v>6168</v>
      </c>
      <c r="H37" s="110" t="s">
        <v>138</v>
      </c>
    </row>
    <row r="38" spans="1:8">
      <c r="A38" s="110" t="s">
        <v>175</v>
      </c>
      <c r="B38" s="110" t="s">
        <v>388</v>
      </c>
      <c r="C38" s="110" t="s">
        <v>9097</v>
      </c>
      <c r="D38" s="110" t="s">
        <v>9098</v>
      </c>
      <c r="E38" s="110" t="s">
        <v>606</v>
      </c>
      <c r="F38" s="110" t="s">
        <v>6167</v>
      </c>
      <c r="G38" s="110" t="s">
        <v>6168</v>
      </c>
      <c r="H38" s="110" t="s">
        <v>138</v>
      </c>
    </row>
    <row r="39" spans="1:8">
      <c r="A39" s="110" t="s">
        <v>175</v>
      </c>
      <c r="B39" s="110" t="s">
        <v>389</v>
      </c>
      <c r="C39" s="110" t="s">
        <v>6174</v>
      </c>
      <c r="D39" s="110" t="s">
        <v>9099</v>
      </c>
      <c r="E39" s="110" t="s">
        <v>606</v>
      </c>
      <c r="F39" s="110" t="s">
        <v>6167</v>
      </c>
      <c r="G39" s="110" t="s">
        <v>6168</v>
      </c>
      <c r="H39" s="110" t="s">
        <v>138</v>
      </c>
    </row>
    <row r="40" spans="1:8">
      <c r="A40" s="110" t="s">
        <v>154</v>
      </c>
      <c r="B40" s="110" t="s">
        <v>452</v>
      </c>
      <c r="C40" s="110" t="s">
        <v>6175</v>
      </c>
      <c r="D40" s="110" t="s">
        <v>9100</v>
      </c>
      <c r="E40" s="110" t="s">
        <v>606</v>
      </c>
      <c r="F40" s="110" t="s">
        <v>6167</v>
      </c>
      <c r="G40" s="110" t="s">
        <v>6168</v>
      </c>
      <c r="H40" s="110" t="s">
        <v>144</v>
      </c>
    </row>
    <row r="41" spans="1:8">
      <c r="A41" s="110" t="s">
        <v>297</v>
      </c>
      <c r="B41" s="110" t="s">
        <v>490</v>
      </c>
      <c r="C41" s="110" t="s">
        <v>6176</v>
      </c>
      <c r="D41" s="110" t="s">
        <v>9101</v>
      </c>
      <c r="E41" s="110" t="s">
        <v>606</v>
      </c>
      <c r="F41" s="110" t="s">
        <v>6167</v>
      </c>
      <c r="G41" s="110" t="s">
        <v>6168</v>
      </c>
      <c r="H41" s="110" t="s">
        <v>146</v>
      </c>
    </row>
    <row r="42" spans="1:8">
      <c r="A42" s="110" t="s">
        <v>300</v>
      </c>
      <c r="B42" s="110" t="s">
        <v>304</v>
      </c>
      <c r="C42" s="110" t="s">
        <v>6177</v>
      </c>
      <c r="D42" s="110" t="s">
        <v>9102</v>
      </c>
      <c r="E42" s="110" t="s">
        <v>606</v>
      </c>
      <c r="F42" s="110" t="s">
        <v>6167</v>
      </c>
      <c r="G42" s="110" t="s">
        <v>6168</v>
      </c>
      <c r="H42" s="110" t="s">
        <v>146</v>
      </c>
    </row>
    <row r="43" spans="1:8" ht="30">
      <c r="A43" s="110" t="s">
        <v>299</v>
      </c>
      <c r="B43" s="110" t="s">
        <v>508</v>
      </c>
      <c r="C43" s="110" t="s">
        <v>6178</v>
      </c>
      <c r="D43" s="110" t="s">
        <v>9103</v>
      </c>
      <c r="E43" s="110" t="s">
        <v>606</v>
      </c>
      <c r="F43" s="110" t="s">
        <v>6167</v>
      </c>
      <c r="G43" s="110" t="s">
        <v>6168</v>
      </c>
      <c r="H43" s="110" t="s">
        <v>146</v>
      </c>
    </row>
    <row r="44" spans="1:8" ht="30">
      <c r="A44" s="110" t="s">
        <v>225</v>
      </c>
      <c r="B44" s="110" t="s">
        <v>363</v>
      </c>
      <c r="C44" s="110" t="s">
        <v>6179</v>
      </c>
      <c r="D44" s="110" t="s">
        <v>9104</v>
      </c>
      <c r="E44" s="110" t="s">
        <v>606</v>
      </c>
      <c r="F44" s="110" t="s">
        <v>6167</v>
      </c>
      <c r="G44" s="110" t="s">
        <v>6168</v>
      </c>
      <c r="H44" s="110" t="s">
        <v>142</v>
      </c>
    </row>
    <row r="45" spans="1:8" ht="45">
      <c r="A45" s="110" t="s">
        <v>252</v>
      </c>
      <c r="B45" s="110" t="s">
        <v>277</v>
      </c>
      <c r="C45" s="110" t="s">
        <v>6180</v>
      </c>
      <c r="D45" s="110" t="s">
        <v>6181</v>
      </c>
      <c r="E45" s="110" t="s">
        <v>606</v>
      </c>
      <c r="F45" s="110" t="s">
        <v>6167</v>
      </c>
      <c r="G45" s="110" t="s">
        <v>6168</v>
      </c>
      <c r="H45" s="110" t="s">
        <v>145</v>
      </c>
    </row>
    <row r="46" spans="1:8">
      <c r="A46" s="110" t="s">
        <v>179</v>
      </c>
      <c r="B46" s="110" t="s">
        <v>527</v>
      </c>
      <c r="C46" s="110" t="s">
        <v>6182</v>
      </c>
      <c r="D46" s="110" t="s">
        <v>9105</v>
      </c>
      <c r="E46" s="110" t="s">
        <v>607</v>
      </c>
      <c r="F46" s="110" t="s">
        <v>6167</v>
      </c>
      <c r="G46" s="110" t="s">
        <v>6168</v>
      </c>
      <c r="H46" s="110" t="s">
        <v>139</v>
      </c>
    </row>
    <row r="47" spans="1:8">
      <c r="A47" s="110" t="s">
        <v>178</v>
      </c>
      <c r="B47" s="110" t="s">
        <v>527</v>
      </c>
      <c r="C47" s="110" t="s">
        <v>6183</v>
      </c>
      <c r="D47" s="110" t="s">
        <v>9106</v>
      </c>
      <c r="E47" s="110" t="s">
        <v>607</v>
      </c>
      <c r="F47" s="110" t="s">
        <v>6167</v>
      </c>
      <c r="G47" s="110" t="s">
        <v>6168</v>
      </c>
      <c r="H47" s="110" t="s">
        <v>139</v>
      </c>
    </row>
    <row r="48" spans="1:8" ht="30">
      <c r="A48" s="110" t="s">
        <v>179</v>
      </c>
      <c r="B48" s="110" t="s">
        <v>554</v>
      </c>
      <c r="C48" s="110" t="s">
        <v>6184</v>
      </c>
      <c r="D48" s="110" t="s">
        <v>9107</v>
      </c>
      <c r="E48" s="110" t="s">
        <v>607</v>
      </c>
      <c r="F48" s="110" t="s">
        <v>6167</v>
      </c>
      <c r="G48" s="110" t="s">
        <v>6168</v>
      </c>
      <c r="H48" s="110" t="s">
        <v>139</v>
      </c>
    </row>
    <row r="49" spans="1:8">
      <c r="A49" s="110" t="s">
        <v>221</v>
      </c>
      <c r="B49" s="110" t="s">
        <v>403</v>
      </c>
      <c r="C49" s="110" t="s">
        <v>6185</v>
      </c>
      <c r="D49" s="110" t="s">
        <v>9108</v>
      </c>
      <c r="E49" s="110" t="s">
        <v>607</v>
      </c>
      <c r="F49" s="110" t="s">
        <v>6167</v>
      </c>
      <c r="G49" s="110" t="s">
        <v>6168</v>
      </c>
      <c r="H49" s="110" t="s">
        <v>141</v>
      </c>
    </row>
    <row r="50" spans="1:8" ht="30">
      <c r="A50" s="110" t="s">
        <v>221</v>
      </c>
      <c r="B50" s="110" t="s">
        <v>416</v>
      </c>
      <c r="C50" s="110" t="s">
        <v>9109</v>
      </c>
      <c r="D50" s="110" t="s">
        <v>9110</v>
      </c>
      <c r="E50" s="110" t="s">
        <v>607</v>
      </c>
      <c r="F50" s="110" t="s">
        <v>6167</v>
      </c>
      <c r="G50" s="110" t="s">
        <v>6168</v>
      </c>
      <c r="H50" s="110" t="s">
        <v>141</v>
      </c>
    </row>
    <row r="51" spans="1:8" ht="30">
      <c r="A51" s="110" t="s">
        <v>175</v>
      </c>
      <c r="B51" s="110" t="s">
        <v>434</v>
      </c>
      <c r="C51" s="110" t="s">
        <v>6186</v>
      </c>
      <c r="D51" s="110" t="s">
        <v>9111</v>
      </c>
      <c r="E51" s="110" t="s">
        <v>607</v>
      </c>
      <c r="F51" s="110" t="s">
        <v>6167</v>
      </c>
      <c r="G51" s="110" t="s">
        <v>6168</v>
      </c>
      <c r="H51" s="110" t="s">
        <v>138</v>
      </c>
    </row>
    <row r="52" spans="1:8">
      <c r="A52" s="110" t="s">
        <v>175</v>
      </c>
      <c r="B52" s="110" t="s">
        <v>435</v>
      </c>
      <c r="C52" s="110" t="s">
        <v>6187</v>
      </c>
      <c r="D52" s="110" t="s">
        <v>6188</v>
      </c>
      <c r="E52" s="110" t="s">
        <v>607</v>
      </c>
      <c r="F52" s="110" t="s">
        <v>6167</v>
      </c>
      <c r="G52" s="110" t="s">
        <v>6168</v>
      </c>
      <c r="H52" s="110" t="s">
        <v>138</v>
      </c>
    </row>
    <row r="53" spans="1:8">
      <c r="A53" s="110" t="s">
        <v>175</v>
      </c>
      <c r="B53" s="110" t="s">
        <v>436</v>
      </c>
      <c r="C53" s="110" t="s">
        <v>6189</v>
      </c>
      <c r="D53" s="110" t="s">
        <v>6190</v>
      </c>
      <c r="E53" s="110" t="s">
        <v>607</v>
      </c>
      <c r="F53" s="110" t="s">
        <v>6167</v>
      </c>
      <c r="G53" s="110" t="s">
        <v>6168</v>
      </c>
      <c r="H53" s="110" t="s">
        <v>138</v>
      </c>
    </row>
    <row r="54" spans="1:8">
      <c r="A54" s="110" t="s">
        <v>238</v>
      </c>
      <c r="B54" s="110" t="s">
        <v>437</v>
      </c>
      <c r="C54" s="110" t="s">
        <v>6191</v>
      </c>
      <c r="D54" s="110" t="s">
        <v>9112</v>
      </c>
      <c r="E54" s="110" t="s">
        <v>607</v>
      </c>
      <c r="F54" s="110" t="s">
        <v>6167</v>
      </c>
      <c r="G54" s="110" t="s">
        <v>6168</v>
      </c>
      <c r="H54" s="110" t="s">
        <v>147</v>
      </c>
    </row>
    <row r="55" spans="1:8">
      <c r="A55" s="110" t="s">
        <v>238</v>
      </c>
      <c r="B55" s="110" t="s">
        <v>445</v>
      </c>
      <c r="C55" s="110" t="s">
        <v>6192</v>
      </c>
      <c r="D55" s="110" t="s">
        <v>9113</v>
      </c>
      <c r="E55" s="110" t="s">
        <v>607</v>
      </c>
      <c r="F55" s="110" t="s">
        <v>6167</v>
      </c>
      <c r="G55" s="110" t="s">
        <v>6168</v>
      </c>
      <c r="H55" s="110" t="s">
        <v>147</v>
      </c>
    </row>
    <row r="56" spans="1:8">
      <c r="A56" s="110" t="s">
        <v>297</v>
      </c>
      <c r="B56" s="110" t="s">
        <v>491</v>
      </c>
      <c r="C56" s="110" t="s">
        <v>6193</v>
      </c>
      <c r="D56" s="110" t="s">
        <v>9114</v>
      </c>
      <c r="E56" s="110" t="s">
        <v>607</v>
      </c>
      <c r="F56" s="110" t="s">
        <v>6167</v>
      </c>
      <c r="G56" s="110" t="s">
        <v>6168</v>
      </c>
      <c r="H56" s="110" t="s">
        <v>146</v>
      </c>
    </row>
    <row r="57" spans="1:8" ht="30">
      <c r="A57" s="110" t="s">
        <v>299</v>
      </c>
      <c r="B57" s="110" t="s">
        <v>491</v>
      </c>
      <c r="C57" s="110" t="s">
        <v>6194</v>
      </c>
      <c r="D57" s="110" t="s">
        <v>9115</v>
      </c>
      <c r="E57" s="110" t="s">
        <v>607</v>
      </c>
      <c r="F57" s="110" t="s">
        <v>6167</v>
      </c>
      <c r="G57" s="110" t="s">
        <v>6168</v>
      </c>
      <c r="H57" s="110" t="s">
        <v>146</v>
      </c>
    </row>
    <row r="58" spans="1:8" ht="30">
      <c r="A58" s="110" t="s">
        <v>224</v>
      </c>
      <c r="B58" s="110" t="s">
        <v>376</v>
      </c>
      <c r="C58" s="110" t="s">
        <v>6195</v>
      </c>
      <c r="D58" s="110" t="s">
        <v>9116</v>
      </c>
      <c r="E58" s="110" t="s">
        <v>607</v>
      </c>
      <c r="F58" s="110" t="s">
        <v>6167</v>
      </c>
      <c r="G58" s="110" t="s">
        <v>6168</v>
      </c>
      <c r="H58" s="110" t="s">
        <v>142</v>
      </c>
    </row>
    <row r="59" spans="1:8" ht="30">
      <c r="A59" s="110" t="s">
        <v>225</v>
      </c>
      <c r="B59" s="110" t="s">
        <v>368</v>
      </c>
      <c r="C59" s="110" t="s">
        <v>6196</v>
      </c>
      <c r="D59" s="110" t="s">
        <v>9117</v>
      </c>
      <c r="E59" s="110" t="s">
        <v>607</v>
      </c>
      <c r="F59" s="110" t="s">
        <v>6167</v>
      </c>
      <c r="G59" s="110" t="s">
        <v>6168</v>
      </c>
      <c r="H59" s="110" t="s">
        <v>142</v>
      </c>
    </row>
    <row r="60" spans="1:8" ht="45">
      <c r="A60" s="110" t="s">
        <v>249</v>
      </c>
      <c r="B60" s="110" t="s">
        <v>277</v>
      </c>
      <c r="C60" s="110" t="s">
        <v>6197</v>
      </c>
      <c r="D60" s="110" t="s">
        <v>9118</v>
      </c>
      <c r="E60" s="110" t="s">
        <v>607</v>
      </c>
      <c r="F60" s="110" t="s">
        <v>6167</v>
      </c>
      <c r="G60" s="110" t="s">
        <v>6168</v>
      </c>
      <c r="H60" s="110" t="s">
        <v>145</v>
      </c>
    </row>
    <row r="61" spans="1:8" ht="30">
      <c r="A61" s="110" t="s">
        <v>251</v>
      </c>
      <c r="B61" s="110" t="s">
        <v>286</v>
      </c>
      <c r="C61" s="110" t="s">
        <v>6198</v>
      </c>
      <c r="D61" s="110" t="s">
        <v>9119</v>
      </c>
      <c r="E61" s="110" t="s">
        <v>607</v>
      </c>
      <c r="F61" s="110" t="s">
        <v>6167</v>
      </c>
      <c r="G61" s="110" t="s">
        <v>6168</v>
      </c>
      <c r="H61" s="110" t="s">
        <v>145</v>
      </c>
    </row>
    <row r="62" spans="1:8" ht="45">
      <c r="A62" s="110" t="s">
        <v>252</v>
      </c>
      <c r="B62" s="110" t="s">
        <v>287</v>
      </c>
      <c r="C62" s="110" t="s">
        <v>6199</v>
      </c>
      <c r="D62" s="110" t="s">
        <v>9120</v>
      </c>
      <c r="E62" s="110" t="s">
        <v>607</v>
      </c>
      <c r="F62" s="110" t="s">
        <v>6167</v>
      </c>
      <c r="G62" s="110" t="s">
        <v>6168</v>
      </c>
      <c r="H62" s="110" t="s">
        <v>145</v>
      </c>
    </row>
    <row r="63" spans="1:8" ht="45">
      <c r="A63" s="110" t="s">
        <v>252</v>
      </c>
      <c r="B63" s="110" t="s">
        <v>288</v>
      </c>
      <c r="C63" s="110" t="s">
        <v>9121</v>
      </c>
      <c r="D63" s="110" t="s">
        <v>9122</v>
      </c>
      <c r="E63" s="110" t="s">
        <v>607</v>
      </c>
      <c r="F63" s="110" t="s">
        <v>6167</v>
      </c>
      <c r="G63" s="110" t="s">
        <v>6168</v>
      </c>
      <c r="H63" s="110" t="s">
        <v>145</v>
      </c>
    </row>
    <row r="64" spans="1:8" ht="45">
      <c r="A64" s="110" t="s">
        <v>252</v>
      </c>
      <c r="B64" s="110" t="s">
        <v>289</v>
      </c>
      <c r="C64" s="110" t="s">
        <v>6200</v>
      </c>
      <c r="D64" s="110" t="s">
        <v>9123</v>
      </c>
      <c r="E64" s="110" t="s">
        <v>607</v>
      </c>
      <c r="F64" s="110" t="s">
        <v>6167</v>
      </c>
      <c r="G64" s="110" t="s">
        <v>6168</v>
      </c>
      <c r="H64" s="110" t="s">
        <v>145</v>
      </c>
    </row>
    <row r="65" spans="1:8" ht="30">
      <c r="A65" s="110" t="s">
        <v>221</v>
      </c>
      <c r="B65" s="110" t="s">
        <v>417</v>
      </c>
      <c r="C65" s="110" t="s">
        <v>6201</v>
      </c>
      <c r="D65" s="110" t="s">
        <v>9124</v>
      </c>
      <c r="E65" s="110" t="s">
        <v>608</v>
      </c>
      <c r="F65" s="110" t="s">
        <v>6167</v>
      </c>
      <c r="G65" s="110" t="s">
        <v>6168</v>
      </c>
      <c r="H65" s="110" t="s">
        <v>141</v>
      </c>
    </row>
    <row r="66" spans="1:8">
      <c r="A66" s="110" t="s">
        <v>221</v>
      </c>
      <c r="B66" s="110" t="s">
        <v>216</v>
      </c>
      <c r="C66" s="110" t="s">
        <v>6202</v>
      </c>
      <c r="D66" s="110" t="s">
        <v>9125</v>
      </c>
      <c r="E66" s="110" t="s">
        <v>608</v>
      </c>
      <c r="F66" s="110" t="s">
        <v>6167</v>
      </c>
      <c r="G66" s="110" t="s">
        <v>6168</v>
      </c>
      <c r="H66" s="110" t="s">
        <v>141</v>
      </c>
    </row>
    <row r="67" spans="1:8">
      <c r="A67" s="110" t="s">
        <v>221</v>
      </c>
      <c r="B67" s="110" t="s">
        <v>397</v>
      </c>
      <c r="C67" s="110" t="s">
        <v>6203</v>
      </c>
      <c r="D67" s="110" t="s">
        <v>9126</v>
      </c>
      <c r="E67" s="110" t="s">
        <v>608</v>
      </c>
      <c r="F67" s="110" t="s">
        <v>6167</v>
      </c>
      <c r="G67" s="110" t="s">
        <v>6168</v>
      </c>
      <c r="H67" s="110" t="s">
        <v>141</v>
      </c>
    </row>
    <row r="68" spans="1:8">
      <c r="A68" s="110" t="s">
        <v>177</v>
      </c>
      <c r="B68" s="110" t="s">
        <v>449</v>
      </c>
      <c r="C68" s="110" t="s">
        <v>6204</v>
      </c>
      <c r="D68" s="110" t="s">
        <v>9127</v>
      </c>
      <c r="E68" s="110" t="s">
        <v>608</v>
      </c>
      <c r="F68" s="110" t="s">
        <v>6167</v>
      </c>
      <c r="G68" s="110" t="s">
        <v>6168</v>
      </c>
      <c r="H68" s="110" t="s">
        <v>138</v>
      </c>
    </row>
    <row r="69" spans="1:8">
      <c r="A69" s="110" t="s">
        <v>174</v>
      </c>
      <c r="B69" s="110" t="s">
        <v>419</v>
      </c>
      <c r="C69" s="110" t="s">
        <v>6205</v>
      </c>
      <c r="D69" s="110" t="s">
        <v>9128</v>
      </c>
      <c r="E69" s="110" t="s">
        <v>608</v>
      </c>
      <c r="F69" s="110" t="s">
        <v>6167</v>
      </c>
      <c r="G69" s="110" t="s">
        <v>6168</v>
      </c>
      <c r="H69" s="110" t="s">
        <v>138</v>
      </c>
    </row>
    <row r="70" spans="1:8">
      <c r="A70" s="110" t="s">
        <v>238</v>
      </c>
      <c r="B70" s="110" t="s">
        <v>439</v>
      </c>
      <c r="C70" s="110" t="s">
        <v>6206</v>
      </c>
      <c r="D70" s="110" t="s">
        <v>9129</v>
      </c>
      <c r="E70" s="110" t="s">
        <v>608</v>
      </c>
      <c r="F70" s="110" t="s">
        <v>6167</v>
      </c>
      <c r="G70" s="110" t="s">
        <v>6168</v>
      </c>
      <c r="H70" s="110" t="s">
        <v>147</v>
      </c>
    </row>
    <row r="71" spans="1:8" ht="30">
      <c r="A71" s="110" t="s">
        <v>223</v>
      </c>
      <c r="B71" s="110" t="s">
        <v>363</v>
      </c>
      <c r="C71" s="110" t="s">
        <v>6207</v>
      </c>
      <c r="D71" s="110" t="s">
        <v>9130</v>
      </c>
      <c r="E71" s="110" t="s">
        <v>608</v>
      </c>
      <c r="F71" s="110" t="s">
        <v>6167</v>
      </c>
      <c r="G71" s="110" t="s">
        <v>6168</v>
      </c>
      <c r="H71" s="110" t="s">
        <v>142</v>
      </c>
    </row>
    <row r="72" spans="1:8" ht="30">
      <c r="A72" s="110" t="s">
        <v>223</v>
      </c>
      <c r="B72" s="110" t="s">
        <v>367</v>
      </c>
      <c r="C72" s="110" t="s">
        <v>6208</v>
      </c>
      <c r="D72" s="110" t="s">
        <v>9131</v>
      </c>
      <c r="E72" s="110" t="s">
        <v>608</v>
      </c>
      <c r="F72" s="110" t="s">
        <v>6167</v>
      </c>
      <c r="G72" s="110" t="s">
        <v>6168</v>
      </c>
      <c r="H72" s="110" t="s">
        <v>142</v>
      </c>
    </row>
    <row r="73" spans="1:8" ht="45">
      <c r="A73" s="110" t="s">
        <v>249</v>
      </c>
      <c r="B73" s="110" t="s">
        <v>276</v>
      </c>
      <c r="C73" s="110" t="s">
        <v>6209</v>
      </c>
      <c r="D73" s="110" t="s">
        <v>9132</v>
      </c>
      <c r="E73" s="110" t="s">
        <v>608</v>
      </c>
      <c r="F73" s="110" t="s">
        <v>6167</v>
      </c>
      <c r="G73" s="110" t="s">
        <v>6168</v>
      </c>
      <c r="H73" s="110" t="s">
        <v>145</v>
      </c>
    </row>
    <row r="74" spans="1:8" ht="45">
      <c r="A74" s="110" t="s">
        <v>249</v>
      </c>
      <c r="B74" s="110" t="s">
        <v>261</v>
      </c>
      <c r="C74" s="110" t="s">
        <v>6210</v>
      </c>
      <c r="D74" s="110" t="s">
        <v>9133</v>
      </c>
      <c r="E74" s="110" t="s">
        <v>608</v>
      </c>
      <c r="F74" s="110" t="s">
        <v>6167</v>
      </c>
      <c r="G74" s="110" t="s">
        <v>6168</v>
      </c>
      <c r="H74" s="110" t="s">
        <v>145</v>
      </c>
    </row>
    <row r="75" spans="1:8">
      <c r="A75" s="110" t="s">
        <v>250</v>
      </c>
      <c r="B75" s="110" t="s">
        <v>284</v>
      </c>
      <c r="C75" s="110" t="s">
        <v>9134</v>
      </c>
      <c r="D75" s="110" t="s">
        <v>9135</v>
      </c>
      <c r="E75" s="110" t="s">
        <v>608</v>
      </c>
      <c r="F75" s="110" t="s">
        <v>6167</v>
      </c>
      <c r="G75" s="110" t="s">
        <v>6168</v>
      </c>
      <c r="H75" s="110" t="s">
        <v>145</v>
      </c>
    </row>
    <row r="76" spans="1:8">
      <c r="A76" s="110" t="s">
        <v>179</v>
      </c>
      <c r="B76" s="110" t="s">
        <v>530</v>
      </c>
      <c r="C76" s="110" t="s">
        <v>6211</v>
      </c>
      <c r="D76" s="110" t="s">
        <v>9136</v>
      </c>
      <c r="E76" s="110" t="s">
        <v>609</v>
      </c>
      <c r="F76" s="110" t="s">
        <v>6167</v>
      </c>
      <c r="G76" s="110" t="s">
        <v>6168</v>
      </c>
      <c r="H76" s="110" t="s">
        <v>139</v>
      </c>
    </row>
    <row r="77" spans="1:8">
      <c r="A77" s="110" t="s">
        <v>221</v>
      </c>
      <c r="B77" s="110" t="s">
        <v>414</v>
      </c>
      <c r="C77" s="110" t="s">
        <v>6212</v>
      </c>
      <c r="D77" s="110" t="s">
        <v>9137</v>
      </c>
      <c r="E77" s="110" t="s">
        <v>609</v>
      </c>
      <c r="F77" s="110" t="s">
        <v>6167</v>
      </c>
      <c r="G77" s="110" t="s">
        <v>6168</v>
      </c>
      <c r="H77" s="110" t="s">
        <v>141</v>
      </c>
    </row>
    <row r="78" spans="1:8">
      <c r="A78" s="110" t="s">
        <v>221</v>
      </c>
      <c r="B78" s="110" t="s">
        <v>393</v>
      </c>
      <c r="C78" s="110" t="s">
        <v>6213</v>
      </c>
      <c r="D78" s="110" t="s">
        <v>9138</v>
      </c>
      <c r="E78" s="110" t="s">
        <v>609</v>
      </c>
      <c r="F78" s="110" t="s">
        <v>6167</v>
      </c>
      <c r="G78" s="110" t="s">
        <v>6168</v>
      </c>
      <c r="H78" s="110" t="s">
        <v>141</v>
      </c>
    </row>
    <row r="79" spans="1:8">
      <c r="A79" s="110" t="s">
        <v>221</v>
      </c>
      <c r="B79" s="110" t="s">
        <v>651</v>
      </c>
      <c r="C79" s="110" t="s">
        <v>6215</v>
      </c>
      <c r="D79" s="110" t="s">
        <v>9139</v>
      </c>
      <c r="E79" s="110" t="s">
        <v>609</v>
      </c>
      <c r="F79" s="110" t="s">
        <v>6167</v>
      </c>
      <c r="G79" s="110" t="s">
        <v>6168</v>
      </c>
      <c r="H79" s="110" t="s">
        <v>141</v>
      </c>
    </row>
    <row r="80" spans="1:8">
      <c r="A80" s="110" t="s">
        <v>174</v>
      </c>
      <c r="B80" s="110" t="s">
        <v>367</v>
      </c>
      <c r="C80" s="110" t="s">
        <v>6216</v>
      </c>
      <c r="D80" s="110" t="s">
        <v>9140</v>
      </c>
      <c r="E80" s="110" t="s">
        <v>609</v>
      </c>
      <c r="F80" s="110" t="s">
        <v>6167</v>
      </c>
      <c r="G80" s="110" t="s">
        <v>6168</v>
      </c>
      <c r="H80" s="110" t="s">
        <v>138</v>
      </c>
    </row>
    <row r="81" spans="1:8">
      <c r="A81" s="110" t="s">
        <v>222</v>
      </c>
      <c r="B81" s="110" t="s">
        <v>403</v>
      </c>
      <c r="C81" s="110" t="s">
        <v>6217</v>
      </c>
      <c r="D81" s="110" t="s">
        <v>9141</v>
      </c>
      <c r="E81" s="110" t="s">
        <v>609</v>
      </c>
      <c r="F81" s="110" t="s">
        <v>6167</v>
      </c>
      <c r="G81" s="110" t="s">
        <v>6168</v>
      </c>
      <c r="H81" s="110" t="s">
        <v>141</v>
      </c>
    </row>
    <row r="82" spans="1:8">
      <c r="A82" s="110" t="s">
        <v>174</v>
      </c>
      <c r="B82" s="110" t="s">
        <v>654</v>
      </c>
      <c r="C82" s="110" t="s">
        <v>6218</v>
      </c>
      <c r="D82" s="110" t="s">
        <v>9142</v>
      </c>
      <c r="E82" s="110" t="s">
        <v>609</v>
      </c>
      <c r="F82" s="110" t="s">
        <v>6167</v>
      </c>
      <c r="G82" s="110" t="s">
        <v>6168</v>
      </c>
      <c r="H82" s="110" t="s">
        <v>138</v>
      </c>
    </row>
    <row r="83" spans="1:8">
      <c r="A83" s="110" t="s">
        <v>174</v>
      </c>
      <c r="B83" s="110" t="s">
        <v>388</v>
      </c>
      <c r="C83" s="110" t="s">
        <v>6219</v>
      </c>
      <c r="D83" s="110" t="s">
        <v>9143</v>
      </c>
      <c r="E83" s="110" t="s">
        <v>609</v>
      </c>
      <c r="F83" s="110" t="s">
        <v>6167</v>
      </c>
      <c r="G83" s="110" t="s">
        <v>6168</v>
      </c>
      <c r="H83" s="110" t="s">
        <v>138</v>
      </c>
    </row>
    <row r="84" spans="1:8">
      <c r="A84" s="110" t="s">
        <v>174</v>
      </c>
      <c r="B84" s="110" t="s">
        <v>389</v>
      </c>
      <c r="C84" s="110" t="s">
        <v>6220</v>
      </c>
      <c r="D84" s="110" t="s">
        <v>9144</v>
      </c>
      <c r="E84" s="110" t="s">
        <v>609</v>
      </c>
      <c r="F84" s="110" t="s">
        <v>6167</v>
      </c>
      <c r="G84" s="110" t="s">
        <v>6168</v>
      </c>
      <c r="H84" s="110" t="s">
        <v>138</v>
      </c>
    </row>
    <row r="85" spans="1:8">
      <c r="A85" s="110" t="s">
        <v>176</v>
      </c>
      <c r="B85" s="110" t="s">
        <v>448</v>
      </c>
      <c r="C85" s="110" t="s">
        <v>6221</v>
      </c>
      <c r="D85" s="110" t="s">
        <v>9145</v>
      </c>
      <c r="E85" s="110" t="s">
        <v>609</v>
      </c>
      <c r="F85" s="110" t="s">
        <v>6167</v>
      </c>
      <c r="G85" s="110" t="s">
        <v>6168</v>
      </c>
      <c r="H85" s="110" t="s">
        <v>138</v>
      </c>
    </row>
    <row r="86" spans="1:8">
      <c r="A86" s="110" t="s">
        <v>154</v>
      </c>
      <c r="B86" s="110" t="s">
        <v>459</v>
      </c>
      <c r="C86" s="110" t="s">
        <v>6222</v>
      </c>
      <c r="D86" s="110" t="s">
        <v>9146</v>
      </c>
      <c r="E86" s="110" t="s">
        <v>609</v>
      </c>
      <c r="F86" s="110" t="s">
        <v>6167</v>
      </c>
      <c r="G86" s="110" t="s">
        <v>6168</v>
      </c>
      <c r="H86" s="110" t="s">
        <v>144</v>
      </c>
    </row>
    <row r="87" spans="1:8">
      <c r="A87" s="110" t="s">
        <v>238</v>
      </c>
      <c r="B87" s="110" t="s">
        <v>440</v>
      </c>
      <c r="C87" s="110" t="s">
        <v>6223</v>
      </c>
      <c r="D87" s="110" t="s">
        <v>9147</v>
      </c>
      <c r="E87" s="110" t="s">
        <v>609</v>
      </c>
      <c r="F87" s="110" t="s">
        <v>6167</v>
      </c>
      <c r="G87" s="110" t="s">
        <v>6168</v>
      </c>
      <c r="H87" s="110" t="s">
        <v>147</v>
      </c>
    </row>
    <row r="88" spans="1:8" ht="30">
      <c r="A88" s="110" t="s">
        <v>223</v>
      </c>
      <c r="B88" s="110" t="s">
        <v>368</v>
      </c>
      <c r="C88" s="110" t="s">
        <v>6224</v>
      </c>
      <c r="D88" s="110" t="s">
        <v>9148</v>
      </c>
      <c r="E88" s="110" t="s">
        <v>609</v>
      </c>
      <c r="F88" s="110" t="s">
        <v>6167</v>
      </c>
      <c r="G88" s="110" t="s">
        <v>6168</v>
      </c>
      <c r="H88" s="110" t="s">
        <v>142</v>
      </c>
    </row>
    <row r="89" spans="1:8" ht="30">
      <c r="A89" s="110" t="s">
        <v>225</v>
      </c>
      <c r="B89" s="110" t="s">
        <v>376</v>
      </c>
      <c r="C89" s="110" t="s">
        <v>6225</v>
      </c>
      <c r="D89" s="110" t="s">
        <v>9149</v>
      </c>
      <c r="E89" s="110" t="s">
        <v>609</v>
      </c>
      <c r="F89" s="110" t="s">
        <v>6167</v>
      </c>
      <c r="G89" s="110" t="s">
        <v>6168</v>
      </c>
      <c r="H89" s="110" t="s">
        <v>142</v>
      </c>
    </row>
    <row r="90" spans="1:8">
      <c r="A90" s="110" t="s">
        <v>250</v>
      </c>
      <c r="B90" s="110" t="s">
        <v>282</v>
      </c>
      <c r="C90" s="110" t="s">
        <v>6226</v>
      </c>
      <c r="D90" s="110" t="s">
        <v>9150</v>
      </c>
      <c r="E90" s="110" t="s">
        <v>609</v>
      </c>
      <c r="F90" s="110" t="s">
        <v>6167</v>
      </c>
      <c r="G90" s="110" t="s">
        <v>6168</v>
      </c>
      <c r="H90" s="110" t="s">
        <v>145</v>
      </c>
    </row>
    <row r="91" spans="1:8">
      <c r="A91" s="110" t="s">
        <v>250</v>
      </c>
      <c r="B91" s="110" t="s">
        <v>283</v>
      </c>
      <c r="C91" s="110" t="s">
        <v>9151</v>
      </c>
      <c r="D91" s="110" t="s">
        <v>9152</v>
      </c>
      <c r="E91" s="110" t="s">
        <v>609</v>
      </c>
      <c r="F91" s="110" t="s">
        <v>6167</v>
      </c>
      <c r="G91" s="110" t="s">
        <v>6168</v>
      </c>
      <c r="H91" s="110" t="s">
        <v>145</v>
      </c>
    </row>
    <row r="92" spans="1:8">
      <c r="A92" s="110" t="s">
        <v>179</v>
      </c>
      <c r="B92" s="110" t="s">
        <v>546</v>
      </c>
      <c r="C92" s="110" t="s">
        <v>6227</v>
      </c>
      <c r="D92" s="110" t="s">
        <v>9153</v>
      </c>
      <c r="E92" s="110" t="s">
        <v>610</v>
      </c>
      <c r="F92" s="110" t="s">
        <v>6167</v>
      </c>
      <c r="G92" s="110" t="s">
        <v>6168</v>
      </c>
      <c r="H92" s="110" t="s">
        <v>139</v>
      </c>
    </row>
    <row r="93" spans="1:8">
      <c r="A93" s="110" t="s">
        <v>178</v>
      </c>
      <c r="B93" s="110" t="s">
        <v>546</v>
      </c>
      <c r="C93" s="110" t="s">
        <v>6228</v>
      </c>
      <c r="D93" s="110" t="s">
        <v>9154</v>
      </c>
      <c r="E93" s="110" t="s">
        <v>610</v>
      </c>
      <c r="F93" s="110" t="s">
        <v>6167</v>
      </c>
      <c r="G93" s="110" t="s">
        <v>6168</v>
      </c>
      <c r="H93" s="110" t="s">
        <v>139</v>
      </c>
    </row>
    <row r="94" spans="1:8">
      <c r="A94" s="110" t="s">
        <v>209</v>
      </c>
      <c r="B94" s="110" t="s">
        <v>184</v>
      </c>
      <c r="C94" s="110" t="s">
        <v>6229</v>
      </c>
      <c r="D94" s="110" t="s">
        <v>9155</v>
      </c>
      <c r="E94" s="110" t="s">
        <v>610</v>
      </c>
      <c r="F94" s="110" t="s">
        <v>6167</v>
      </c>
      <c r="G94" s="110" t="s">
        <v>6168</v>
      </c>
      <c r="H94" s="110" t="s">
        <v>141</v>
      </c>
    </row>
    <row r="95" spans="1:8">
      <c r="A95" s="110" t="s">
        <v>222</v>
      </c>
      <c r="B95" s="110" t="s">
        <v>216</v>
      </c>
      <c r="C95" s="110" t="s">
        <v>6230</v>
      </c>
      <c r="D95" s="110" t="s">
        <v>9156</v>
      </c>
      <c r="E95" s="110" t="s">
        <v>610</v>
      </c>
      <c r="F95" s="110" t="s">
        <v>6167</v>
      </c>
      <c r="G95" s="110" t="s">
        <v>6168</v>
      </c>
      <c r="H95" s="110" t="s">
        <v>141</v>
      </c>
    </row>
    <row r="96" spans="1:8">
      <c r="A96" s="110" t="s">
        <v>238</v>
      </c>
      <c r="B96" s="110" t="s">
        <v>184</v>
      </c>
      <c r="C96" s="110" t="s">
        <v>6231</v>
      </c>
      <c r="D96" s="110" t="s">
        <v>9157</v>
      </c>
      <c r="E96" s="110" t="s">
        <v>610</v>
      </c>
      <c r="F96" s="110" t="s">
        <v>6167</v>
      </c>
      <c r="G96" s="110" t="s">
        <v>6168</v>
      </c>
      <c r="H96" s="110" t="s">
        <v>147</v>
      </c>
    </row>
    <row r="97" spans="1:8" ht="30">
      <c r="A97" s="110" t="s">
        <v>223</v>
      </c>
      <c r="B97" s="110" t="s">
        <v>376</v>
      </c>
      <c r="C97" s="110" t="s">
        <v>6232</v>
      </c>
      <c r="D97" s="110" t="s">
        <v>9158</v>
      </c>
      <c r="E97" s="110" t="s">
        <v>610</v>
      </c>
      <c r="F97" s="110" t="s">
        <v>6167</v>
      </c>
      <c r="G97" s="110" t="s">
        <v>6168</v>
      </c>
      <c r="H97" s="110" t="s">
        <v>142</v>
      </c>
    </row>
    <row r="98" spans="1:8" ht="45">
      <c r="A98" s="110" t="s">
        <v>247</v>
      </c>
      <c r="B98" s="110" t="s">
        <v>259</v>
      </c>
      <c r="C98" s="110" t="s">
        <v>6233</v>
      </c>
      <c r="D98" s="110" t="s">
        <v>9159</v>
      </c>
      <c r="E98" s="110" t="s">
        <v>610</v>
      </c>
      <c r="F98" s="110" t="s">
        <v>6167</v>
      </c>
      <c r="G98" s="110" t="s">
        <v>6168</v>
      </c>
      <c r="H98" s="110" t="s">
        <v>145</v>
      </c>
    </row>
    <row r="99" spans="1:8" ht="45">
      <c r="A99" s="110" t="s">
        <v>247</v>
      </c>
      <c r="B99" s="110" t="s">
        <v>261</v>
      </c>
      <c r="C99" s="110" t="s">
        <v>6234</v>
      </c>
      <c r="D99" s="110" t="s">
        <v>9160</v>
      </c>
      <c r="E99" s="110" t="s">
        <v>610</v>
      </c>
      <c r="F99" s="110" t="s">
        <v>6167</v>
      </c>
      <c r="G99" s="110" t="s">
        <v>6168</v>
      </c>
      <c r="H99" s="110" t="s">
        <v>145</v>
      </c>
    </row>
    <row r="100" spans="1:8" ht="45">
      <c r="A100" s="110" t="s">
        <v>247</v>
      </c>
      <c r="B100" s="110" t="s">
        <v>262</v>
      </c>
      <c r="C100" s="110" t="s">
        <v>6235</v>
      </c>
      <c r="D100" s="110" t="s">
        <v>9161</v>
      </c>
      <c r="E100" s="110" t="s">
        <v>610</v>
      </c>
      <c r="F100" s="110" t="s">
        <v>6167</v>
      </c>
      <c r="G100" s="110" t="s">
        <v>6168</v>
      </c>
      <c r="H100" s="110" t="s">
        <v>145</v>
      </c>
    </row>
    <row r="101" spans="1:8">
      <c r="A101" s="110" t="s">
        <v>254</v>
      </c>
      <c r="B101" s="110" t="s">
        <v>273</v>
      </c>
      <c r="C101" s="110" t="s">
        <v>6236</v>
      </c>
      <c r="D101" s="110" t="s">
        <v>9162</v>
      </c>
      <c r="E101" s="110" t="s">
        <v>610</v>
      </c>
      <c r="F101" s="110" t="s">
        <v>6167</v>
      </c>
      <c r="G101" s="110" t="s">
        <v>6168</v>
      </c>
      <c r="H101" s="110" t="s">
        <v>145</v>
      </c>
    </row>
    <row r="102" spans="1:8" ht="45">
      <c r="A102" s="110" t="s">
        <v>249</v>
      </c>
      <c r="B102" s="110" t="s">
        <v>260</v>
      </c>
      <c r="C102" s="110" t="s">
        <v>6237</v>
      </c>
      <c r="D102" s="110" t="s">
        <v>9163</v>
      </c>
      <c r="E102" s="110" t="s">
        <v>610</v>
      </c>
      <c r="F102" s="110" t="s">
        <v>6167</v>
      </c>
      <c r="G102" s="110" t="s">
        <v>6168</v>
      </c>
      <c r="H102" s="110" t="s">
        <v>145</v>
      </c>
    </row>
    <row r="103" spans="1:8" ht="45">
      <c r="A103" s="110" t="s">
        <v>249</v>
      </c>
      <c r="B103" s="110" t="s">
        <v>278</v>
      </c>
      <c r="C103" s="110" t="s">
        <v>6238</v>
      </c>
      <c r="D103" s="110" t="s">
        <v>9164</v>
      </c>
      <c r="E103" s="110" t="s">
        <v>610</v>
      </c>
      <c r="F103" s="110" t="s">
        <v>6167</v>
      </c>
      <c r="G103" s="110" t="s">
        <v>6168</v>
      </c>
      <c r="H103" s="110" t="s">
        <v>145</v>
      </c>
    </row>
    <row r="104" spans="1:8" ht="45">
      <c r="A104" s="110" t="s">
        <v>249</v>
      </c>
      <c r="B104" s="110" t="s">
        <v>264</v>
      </c>
      <c r="C104" s="110" t="s">
        <v>6239</v>
      </c>
      <c r="D104" s="110" t="s">
        <v>9165</v>
      </c>
      <c r="E104" s="110" t="s">
        <v>610</v>
      </c>
      <c r="F104" s="110" t="s">
        <v>6167</v>
      </c>
      <c r="G104" s="110" t="s">
        <v>6168</v>
      </c>
      <c r="H104" s="110" t="s">
        <v>145</v>
      </c>
    </row>
    <row r="105" spans="1:8" ht="45">
      <c r="A105" s="110" t="s">
        <v>249</v>
      </c>
      <c r="B105" s="110" t="s">
        <v>279</v>
      </c>
      <c r="C105" s="110" t="s">
        <v>6240</v>
      </c>
      <c r="D105" s="110" t="s">
        <v>9166</v>
      </c>
      <c r="E105" s="110" t="s">
        <v>610</v>
      </c>
      <c r="F105" s="110" t="s">
        <v>6167</v>
      </c>
      <c r="G105" s="110" t="s">
        <v>6168</v>
      </c>
      <c r="H105" s="110" t="s">
        <v>145</v>
      </c>
    </row>
    <row r="106" spans="1:8" ht="45">
      <c r="A106" s="110" t="s">
        <v>249</v>
      </c>
      <c r="B106" s="110" t="s">
        <v>280</v>
      </c>
      <c r="C106" s="110" t="s">
        <v>6241</v>
      </c>
      <c r="D106" s="110" t="s">
        <v>9167</v>
      </c>
      <c r="E106" s="110" t="s">
        <v>610</v>
      </c>
      <c r="F106" s="110" t="s">
        <v>6167</v>
      </c>
      <c r="G106" s="110" t="s">
        <v>6168</v>
      </c>
      <c r="H106" s="110" t="s">
        <v>145</v>
      </c>
    </row>
    <row r="107" spans="1:8" ht="45">
      <c r="A107" s="110" t="s">
        <v>249</v>
      </c>
      <c r="B107" s="110" t="s">
        <v>267</v>
      </c>
      <c r="C107" s="110" t="s">
        <v>6242</v>
      </c>
      <c r="D107" s="110" t="s">
        <v>9168</v>
      </c>
      <c r="E107" s="110" t="s">
        <v>610</v>
      </c>
      <c r="F107" s="110" t="s">
        <v>6167</v>
      </c>
      <c r="G107" s="110" t="s">
        <v>6168</v>
      </c>
      <c r="H107" s="110" t="s">
        <v>145</v>
      </c>
    </row>
    <row r="108" spans="1:8" ht="30">
      <c r="A108" s="110" t="s">
        <v>251</v>
      </c>
      <c r="B108" s="110" t="s">
        <v>285</v>
      </c>
      <c r="C108" s="110" t="s">
        <v>9169</v>
      </c>
      <c r="D108" s="110" t="s">
        <v>9170</v>
      </c>
      <c r="E108" s="110" t="s">
        <v>610</v>
      </c>
      <c r="F108" s="110" t="s">
        <v>6167</v>
      </c>
      <c r="G108" s="110" t="s">
        <v>6168</v>
      </c>
      <c r="H108" s="110" t="s">
        <v>145</v>
      </c>
    </row>
    <row r="109" spans="1:8" ht="30">
      <c r="A109" s="110" t="s">
        <v>251</v>
      </c>
      <c r="B109" s="110" t="s">
        <v>284</v>
      </c>
      <c r="C109" s="110" t="s">
        <v>6243</v>
      </c>
      <c r="D109" s="110" t="s">
        <v>9171</v>
      </c>
      <c r="E109" s="110" t="s">
        <v>610</v>
      </c>
      <c r="F109" s="110" t="s">
        <v>6167</v>
      </c>
      <c r="G109" s="110" t="s">
        <v>6168</v>
      </c>
      <c r="H109" s="110" t="s">
        <v>145</v>
      </c>
    </row>
    <row r="110" spans="1:8" ht="45">
      <c r="A110" s="110" t="s">
        <v>252</v>
      </c>
      <c r="B110" s="110" t="s">
        <v>278</v>
      </c>
      <c r="C110" s="110" t="s">
        <v>6244</v>
      </c>
      <c r="D110" s="110" t="s">
        <v>9172</v>
      </c>
      <c r="E110" s="110" t="s">
        <v>610</v>
      </c>
      <c r="F110" s="110" t="s">
        <v>6167</v>
      </c>
      <c r="G110" s="110" t="s">
        <v>6168</v>
      </c>
      <c r="H110" s="110" t="s">
        <v>145</v>
      </c>
    </row>
    <row r="111" spans="1:8" ht="45">
      <c r="A111" s="110" t="s">
        <v>252</v>
      </c>
      <c r="B111" s="110" t="s">
        <v>264</v>
      </c>
      <c r="C111" s="110" t="s">
        <v>6245</v>
      </c>
      <c r="D111" s="110" t="s">
        <v>9173</v>
      </c>
      <c r="E111" s="110" t="s">
        <v>610</v>
      </c>
      <c r="F111" s="110" t="s">
        <v>6167</v>
      </c>
      <c r="G111" s="110" t="s">
        <v>6168</v>
      </c>
      <c r="H111" s="110" t="s">
        <v>145</v>
      </c>
    </row>
    <row r="112" spans="1:8" ht="45">
      <c r="A112" s="110" t="s">
        <v>252</v>
      </c>
      <c r="B112" s="110" t="s">
        <v>290</v>
      </c>
      <c r="C112" s="110" t="s">
        <v>6246</v>
      </c>
      <c r="D112" s="110" t="s">
        <v>9174</v>
      </c>
      <c r="E112" s="110" t="s">
        <v>610</v>
      </c>
      <c r="F112" s="110" t="s">
        <v>6167</v>
      </c>
      <c r="G112" s="110" t="s">
        <v>6168</v>
      </c>
      <c r="H112" s="110" t="s">
        <v>145</v>
      </c>
    </row>
    <row r="113" spans="1:8" ht="45">
      <c r="A113" s="110" t="s">
        <v>252</v>
      </c>
      <c r="B113" s="110" t="s">
        <v>267</v>
      </c>
      <c r="C113" s="110" t="s">
        <v>6247</v>
      </c>
      <c r="D113" s="110" t="s">
        <v>9175</v>
      </c>
      <c r="E113" s="110" t="s">
        <v>610</v>
      </c>
      <c r="F113" s="110" t="s">
        <v>6167</v>
      </c>
      <c r="G113" s="110" t="s">
        <v>6168</v>
      </c>
      <c r="H113" s="110" t="s">
        <v>145</v>
      </c>
    </row>
    <row r="114" spans="1:8" ht="45">
      <c r="A114" s="110" t="s">
        <v>252</v>
      </c>
      <c r="B114" s="110" t="s">
        <v>291</v>
      </c>
      <c r="C114" s="110" t="s">
        <v>6248</v>
      </c>
      <c r="D114" s="110" t="s">
        <v>9176</v>
      </c>
      <c r="E114" s="110" t="s">
        <v>610</v>
      </c>
      <c r="F114" s="110" t="s">
        <v>6167</v>
      </c>
      <c r="G114" s="110" t="s">
        <v>6168</v>
      </c>
      <c r="H114" s="110" t="s">
        <v>145</v>
      </c>
    </row>
    <row r="115" spans="1:8">
      <c r="A115" s="110" t="s">
        <v>314</v>
      </c>
      <c r="B115" s="110" t="s">
        <v>320</v>
      </c>
      <c r="C115" s="110" t="s">
        <v>6249</v>
      </c>
      <c r="D115" s="110" t="s">
        <v>9177</v>
      </c>
      <c r="E115" s="110" t="s">
        <v>610</v>
      </c>
      <c r="F115" s="110" t="s">
        <v>6167</v>
      </c>
      <c r="G115" s="110" t="s">
        <v>6168</v>
      </c>
      <c r="H115" s="110" t="s">
        <v>150</v>
      </c>
    </row>
    <row r="116" spans="1:8">
      <c r="A116" s="110" t="s">
        <v>179</v>
      </c>
      <c r="B116" s="110" t="s">
        <v>545</v>
      </c>
      <c r="C116" s="110" t="s">
        <v>6250</v>
      </c>
      <c r="D116" s="110" t="s">
        <v>9178</v>
      </c>
      <c r="E116" s="110" t="s">
        <v>611</v>
      </c>
      <c r="F116" s="110" t="s">
        <v>6167</v>
      </c>
      <c r="G116" s="110" t="s">
        <v>6168</v>
      </c>
      <c r="H116" s="110" t="s">
        <v>139</v>
      </c>
    </row>
    <row r="117" spans="1:8">
      <c r="A117" s="110" t="s">
        <v>178</v>
      </c>
      <c r="B117" s="110" t="s">
        <v>545</v>
      </c>
      <c r="C117" s="110" t="s">
        <v>6251</v>
      </c>
      <c r="D117" s="110" t="s">
        <v>9179</v>
      </c>
      <c r="E117" s="110" t="s">
        <v>611</v>
      </c>
      <c r="F117" s="110" t="s">
        <v>6167</v>
      </c>
      <c r="G117" s="110" t="s">
        <v>6168</v>
      </c>
      <c r="H117" s="110" t="s">
        <v>139</v>
      </c>
    </row>
    <row r="118" spans="1:8">
      <c r="A118" s="110" t="s">
        <v>222</v>
      </c>
      <c r="B118" s="110" t="s">
        <v>397</v>
      </c>
      <c r="C118" s="110" t="s">
        <v>6252</v>
      </c>
      <c r="D118" s="110" t="s">
        <v>9180</v>
      </c>
      <c r="E118" s="110" t="s">
        <v>611</v>
      </c>
      <c r="F118" s="110" t="s">
        <v>6167</v>
      </c>
      <c r="G118" s="110" t="s">
        <v>6168</v>
      </c>
      <c r="H118" s="110" t="s">
        <v>141</v>
      </c>
    </row>
    <row r="119" spans="1:8">
      <c r="A119" s="110" t="s">
        <v>222</v>
      </c>
      <c r="B119" s="110" t="s">
        <v>393</v>
      </c>
      <c r="C119" s="110" t="s">
        <v>6253</v>
      </c>
      <c r="D119" s="110" t="s">
        <v>9181</v>
      </c>
      <c r="E119" s="110" t="s">
        <v>611</v>
      </c>
      <c r="F119" s="110" t="s">
        <v>6167</v>
      </c>
      <c r="G119" s="110" t="s">
        <v>6168</v>
      </c>
      <c r="H119" s="110" t="s">
        <v>141</v>
      </c>
    </row>
    <row r="120" spans="1:8">
      <c r="A120" s="110" t="s">
        <v>222</v>
      </c>
      <c r="B120" s="110" t="s">
        <v>651</v>
      </c>
      <c r="C120" s="110" t="s">
        <v>6254</v>
      </c>
      <c r="D120" s="110" t="s">
        <v>9182</v>
      </c>
      <c r="E120" s="110" t="s">
        <v>611</v>
      </c>
      <c r="F120" s="110" t="s">
        <v>6167</v>
      </c>
      <c r="G120" s="110" t="s">
        <v>6168</v>
      </c>
      <c r="H120" s="110" t="s">
        <v>141</v>
      </c>
    </row>
    <row r="121" spans="1:8">
      <c r="A121" s="110" t="s">
        <v>175</v>
      </c>
      <c r="B121" s="110" t="s">
        <v>431</v>
      </c>
      <c r="C121" s="110" t="s">
        <v>6255</v>
      </c>
      <c r="D121" s="110" t="s">
        <v>9183</v>
      </c>
      <c r="E121" s="110" t="s">
        <v>611</v>
      </c>
      <c r="F121" s="110" t="s">
        <v>6167</v>
      </c>
      <c r="G121" s="110" t="s">
        <v>6168</v>
      </c>
      <c r="H121" s="110" t="s">
        <v>138</v>
      </c>
    </row>
    <row r="122" spans="1:8" ht="30">
      <c r="A122" s="110" t="s">
        <v>174</v>
      </c>
      <c r="B122" s="110" t="s">
        <v>434</v>
      </c>
      <c r="C122" s="110" t="s">
        <v>9184</v>
      </c>
      <c r="D122" s="110" t="s">
        <v>9185</v>
      </c>
      <c r="E122" s="110" t="s">
        <v>611</v>
      </c>
      <c r="F122" s="110" t="s">
        <v>6167</v>
      </c>
      <c r="G122" s="110" t="s">
        <v>6168</v>
      </c>
      <c r="H122" s="110" t="s">
        <v>138</v>
      </c>
    </row>
    <row r="123" spans="1:8">
      <c r="A123" s="110" t="s">
        <v>174</v>
      </c>
      <c r="B123" s="110" t="s">
        <v>435</v>
      </c>
      <c r="C123" s="110" t="s">
        <v>6256</v>
      </c>
      <c r="D123" s="110" t="s">
        <v>6257</v>
      </c>
      <c r="E123" s="110" t="s">
        <v>611</v>
      </c>
      <c r="F123" s="110" t="s">
        <v>6167</v>
      </c>
      <c r="G123" s="110" t="s">
        <v>6168</v>
      </c>
      <c r="H123" s="110" t="s">
        <v>138</v>
      </c>
    </row>
    <row r="124" spans="1:8">
      <c r="A124" s="110" t="s">
        <v>174</v>
      </c>
      <c r="B124" s="110" t="s">
        <v>436</v>
      </c>
      <c r="C124" s="110" t="s">
        <v>6258</v>
      </c>
      <c r="D124" s="110" t="s">
        <v>9186</v>
      </c>
      <c r="E124" s="110" t="s">
        <v>611</v>
      </c>
      <c r="F124" s="110" t="s">
        <v>6167</v>
      </c>
      <c r="G124" s="110" t="s">
        <v>6168</v>
      </c>
      <c r="H124" s="110" t="s">
        <v>138</v>
      </c>
    </row>
    <row r="125" spans="1:8" ht="30">
      <c r="A125" s="110" t="s">
        <v>236</v>
      </c>
      <c r="B125" s="110" t="s">
        <v>437</v>
      </c>
      <c r="C125" s="110" t="s">
        <v>6259</v>
      </c>
      <c r="D125" s="110" t="s">
        <v>9187</v>
      </c>
      <c r="E125" s="110" t="s">
        <v>611</v>
      </c>
      <c r="F125" s="110" t="s">
        <v>6167</v>
      </c>
      <c r="G125" s="110" t="s">
        <v>6168</v>
      </c>
      <c r="H125" s="110" t="s">
        <v>147</v>
      </c>
    </row>
    <row r="126" spans="1:8" ht="30">
      <c r="A126" s="110" t="s">
        <v>226</v>
      </c>
      <c r="B126" s="110" t="s">
        <v>363</v>
      </c>
      <c r="C126" s="110" t="s">
        <v>6260</v>
      </c>
      <c r="D126" s="110" t="s">
        <v>9188</v>
      </c>
      <c r="E126" s="110" t="s">
        <v>611</v>
      </c>
      <c r="F126" s="110" t="s">
        <v>6167</v>
      </c>
      <c r="G126" s="110" t="s">
        <v>6168</v>
      </c>
      <c r="H126" s="110" t="s">
        <v>142</v>
      </c>
    </row>
    <row r="127" spans="1:8" ht="30">
      <c r="A127" s="110" t="s">
        <v>226</v>
      </c>
      <c r="B127" s="110" t="s">
        <v>367</v>
      </c>
      <c r="C127" s="110" t="s">
        <v>6261</v>
      </c>
      <c r="D127" s="110" t="s">
        <v>9189</v>
      </c>
      <c r="E127" s="110" t="s">
        <v>611</v>
      </c>
      <c r="F127" s="110" t="s">
        <v>6167</v>
      </c>
      <c r="G127" s="110" t="s">
        <v>6168</v>
      </c>
      <c r="H127" s="110" t="s">
        <v>142</v>
      </c>
    </row>
    <row r="128" spans="1:8" ht="45">
      <c r="A128" s="110" t="s">
        <v>231</v>
      </c>
      <c r="B128" s="110" t="s">
        <v>363</v>
      </c>
      <c r="C128" s="110" t="s">
        <v>6262</v>
      </c>
      <c r="D128" s="110" t="s">
        <v>9190</v>
      </c>
      <c r="E128" s="110" t="s">
        <v>611</v>
      </c>
      <c r="F128" s="110" t="s">
        <v>6167</v>
      </c>
      <c r="G128" s="110" t="s">
        <v>6168</v>
      </c>
      <c r="H128" s="110" t="s">
        <v>142</v>
      </c>
    </row>
    <row r="129" spans="1:8" ht="45">
      <c r="A129" s="110" t="s">
        <v>247</v>
      </c>
      <c r="B129" s="110" t="s">
        <v>260</v>
      </c>
      <c r="C129" s="110" t="s">
        <v>9191</v>
      </c>
      <c r="D129" s="110" t="s">
        <v>9192</v>
      </c>
      <c r="E129" s="110" t="s">
        <v>611</v>
      </c>
      <c r="F129" s="110" t="s">
        <v>6167</v>
      </c>
      <c r="G129" s="110" t="s">
        <v>6168</v>
      </c>
      <c r="H129" s="110" t="s">
        <v>145</v>
      </c>
    </row>
    <row r="130" spans="1:8" ht="45">
      <c r="A130" s="110" t="s">
        <v>247</v>
      </c>
      <c r="B130" s="110" t="s">
        <v>263</v>
      </c>
      <c r="C130" s="110" t="s">
        <v>6263</v>
      </c>
      <c r="D130" s="110" t="s">
        <v>9193</v>
      </c>
      <c r="E130" s="110" t="s">
        <v>611</v>
      </c>
      <c r="F130" s="110" t="s">
        <v>6167</v>
      </c>
      <c r="G130" s="110" t="s">
        <v>6168</v>
      </c>
      <c r="H130" s="110" t="s">
        <v>145</v>
      </c>
    </row>
    <row r="131" spans="1:8" ht="45">
      <c r="A131" s="110" t="s">
        <v>247</v>
      </c>
      <c r="B131" s="110" t="s">
        <v>264</v>
      </c>
      <c r="C131" s="110" t="s">
        <v>6264</v>
      </c>
      <c r="D131" s="110" t="s">
        <v>9194</v>
      </c>
      <c r="E131" s="110" t="s">
        <v>611</v>
      </c>
      <c r="F131" s="110" t="s">
        <v>6167</v>
      </c>
      <c r="G131" s="110" t="s">
        <v>6168</v>
      </c>
      <c r="H131" s="110" t="s">
        <v>145</v>
      </c>
    </row>
    <row r="132" spans="1:8" ht="45">
      <c r="A132" s="110" t="s">
        <v>247</v>
      </c>
      <c r="B132" s="110" t="s">
        <v>265</v>
      </c>
      <c r="C132" s="110" t="s">
        <v>6265</v>
      </c>
      <c r="D132" s="110" t="s">
        <v>9195</v>
      </c>
      <c r="E132" s="110" t="s">
        <v>611</v>
      </c>
      <c r="F132" s="110" t="s">
        <v>6167</v>
      </c>
      <c r="G132" s="110" t="s">
        <v>6168</v>
      </c>
      <c r="H132" s="110" t="s">
        <v>145</v>
      </c>
    </row>
    <row r="133" spans="1:8" ht="45">
      <c r="A133" s="110" t="s">
        <v>247</v>
      </c>
      <c r="B133" s="110" t="s">
        <v>266</v>
      </c>
      <c r="C133" s="110" t="s">
        <v>6266</v>
      </c>
      <c r="D133" s="110" t="s">
        <v>9196</v>
      </c>
      <c r="E133" s="110" t="s">
        <v>611</v>
      </c>
      <c r="F133" s="110" t="s">
        <v>6167</v>
      </c>
      <c r="G133" s="110" t="s">
        <v>6168</v>
      </c>
      <c r="H133" s="110" t="s">
        <v>145</v>
      </c>
    </row>
    <row r="134" spans="1:8" ht="45">
      <c r="A134" s="110" t="s">
        <v>247</v>
      </c>
      <c r="B134" s="110" t="s">
        <v>267</v>
      </c>
      <c r="C134" s="110" t="s">
        <v>6267</v>
      </c>
      <c r="D134" s="110" t="s">
        <v>9197</v>
      </c>
      <c r="E134" s="110" t="s">
        <v>611</v>
      </c>
      <c r="F134" s="110" t="s">
        <v>6167</v>
      </c>
      <c r="G134" s="110" t="s">
        <v>6168</v>
      </c>
      <c r="H134" s="110" t="s">
        <v>145</v>
      </c>
    </row>
    <row r="135" spans="1:8">
      <c r="A135" s="110" t="s">
        <v>254</v>
      </c>
      <c r="B135" s="110" t="s">
        <v>272</v>
      </c>
      <c r="C135" s="110" t="s">
        <v>6268</v>
      </c>
      <c r="D135" s="110" t="s">
        <v>9198</v>
      </c>
      <c r="E135" s="110" t="s">
        <v>611</v>
      </c>
      <c r="F135" s="110" t="s">
        <v>6167</v>
      </c>
      <c r="G135" s="110" t="s">
        <v>6168</v>
      </c>
      <c r="H135" s="110" t="s">
        <v>145</v>
      </c>
    </row>
    <row r="136" spans="1:8" ht="30">
      <c r="A136" s="110" t="s">
        <v>251</v>
      </c>
      <c r="B136" s="110" t="s">
        <v>283</v>
      </c>
      <c r="C136" s="110" t="s">
        <v>9199</v>
      </c>
      <c r="D136" s="110" t="s">
        <v>9200</v>
      </c>
      <c r="E136" s="110" t="s">
        <v>611</v>
      </c>
      <c r="F136" s="110" t="s">
        <v>6167</v>
      </c>
      <c r="G136" s="110" t="s">
        <v>6168</v>
      </c>
      <c r="H136" s="110" t="s">
        <v>145</v>
      </c>
    </row>
    <row r="137" spans="1:8">
      <c r="A137" s="110" t="s">
        <v>253</v>
      </c>
      <c r="B137" s="110" t="s">
        <v>284</v>
      </c>
      <c r="C137" s="110" t="s">
        <v>6269</v>
      </c>
      <c r="D137" s="110" t="s">
        <v>9201</v>
      </c>
      <c r="E137" s="110" t="s">
        <v>611</v>
      </c>
      <c r="F137" s="110" t="s">
        <v>6167</v>
      </c>
      <c r="G137" s="110" t="s">
        <v>6168</v>
      </c>
      <c r="H137" s="110" t="s">
        <v>145</v>
      </c>
    </row>
    <row r="138" spans="1:8">
      <c r="A138" s="110" t="s">
        <v>253</v>
      </c>
      <c r="B138" s="110" t="s">
        <v>286</v>
      </c>
      <c r="C138" s="110" t="s">
        <v>6270</v>
      </c>
      <c r="D138" s="110" t="s">
        <v>9202</v>
      </c>
      <c r="E138" s="110" t="s">
        <v>611</v>
      </c>
      <c r="F138" s="110" t="s">
        <v>6167</v>
      </c>
      <c r="G138" s="110" t="s">
        <v>6168</v>
      </c>
      <c r="H138" s="110" t="s">
        <v>145</v>
      </c>
    </row>
    <row r="139" spans="1:8">
      <c r="A139" s="110" t="s">
        <v>311</v>
      </c>
      <c r="B139" s="110" t="s">
        <v>320</v>
      </c>
      <c r="C139" s="110" t="s">
        <v>6271</v>
      </c>
      <c r="D139" s="110" t="s">
        <v>9203</v>
      </c>
      <c r="E139" s="110" t="s">
        <v>611</v>
      </c>
      <c r="F139" s="110" t="s">
        <v>6167</v>
      </c>
      <c r="G139" s="110" t="s">
        <v>6168</v>
      </c>
      <c r="H139" s="110" t="s">
        <v>150</v>
      </c>
    </row>
    <row r="140" spans="1:8">
      <c r="A140" s="110" t="s">
        <v>175</v>
      </c>
      <c r="B140" s="110" t="s">
        <v>184</v>
      </c>
      <c r="C140" s="110" t="s">
        <v>6272</v>
      </c>
      <c r="D140" s="110" t="s">
        <v>9204</v>
      </c>
      <c r="E140" s="110" t="s">
        <v>612</v>
      </c>
      <c r="F140" s="110" t="s">
        <v>6167</v>
      </c>
      <c r="G140" s="110" t="s">
        <v>6168</v>
      </c>
      <c r="H140" s="110" t="s">
        <v>138</v>
      </c>
    </row>
    <row r="141" spans="1:8" ht="30">
      <c r="A141" s="110" t="s">
        <v>236</v>
      </c>
      <c r="B141" s="110" t="s">
        <v>445</v>
      </c>
      <c r="C141" s="110" t="s">
        <v>6273</v>
      </c>
      <c r="D141" s="110" t="s">
        <v>9205</v>
      </c>
      <c r="E141" s="110" t="s">
        <v>612</v>
      </c>
      <c r="F141" s="110" t="s">
        <v>6167</v>
      </c>
      <c r="G141" s="110" t="s">
        <v>6168</v>
      </c>
      <c r="H141" s="110" t="s">
        <v>147</v>
      </c>
    </row>
    <row r="142" spans="1:8">
      <c r="A142" s="110" t="s">
        <v>237</v>
      </c>
      <c r="B142" s="110" t="s">
        <v>437</v>
      </c>
      <c r="C142" s="110" t="s">
        <v>9206</v>
      </c>
      <c r="D142" s="110" t="s">
        <v>9207</v>
      </c>
      <c r="E142" s="110" t="s">
        <v>612</v>
      </c>
      <c r="F142" s="110" t="s">
        <v>6167</v>
      </c>
      <c r="G142" s="110" t="s">
        <v>6168</v>
      </c>
      <c r="H142" s="110" t="s">
        <v>147</v>
      </c>
    </row>
    <row r="143" spans="1:8">
      <c r="A143" s="110" t="s">
        <v>237</v>
      </c>
      <c r="B143" s="110" t="s">
        <v>445</v>
      </c>
      <c r="C143" s="110" t="s">
        <v>6274</v>
      </c>
      <c r="D143" s="110" t="s">
        <v>6275</v>
      </c>
      <c r="E143" s="110" t="s">
        <v>612</v>
      </c>
      <c r="F143" s="110" t="s">
        <v>6167</v>
      </c>
      <c r="G143" s="110" t="s">
        <v>6168</v>
      </c>
      <c r="H143" s="110" t="s">
        <v>147</v>
      </c>
    </row>
    <row r="144" spans="1:8" ht="30">
      <c r="A144" s="110" t="s">
        <v>226</v>
      </c>
      <c r="B144" s="110" t="s">
        <v>368</v>
      </c>
      <c r="C144" s="110" t="s">
        <v>6276</v>
      </c>
      <c r="D144" s="110" t="s">
        <v>9208</v>
      </c>
      <c r="E144" s="110" t="s">
        <v>612</v>
      </c>
      <c r="F144" s="110" t="s">
        <v>6167</v>
      </c>
      <c r="G144" s="110" t="s">
        <v>6168</v>
      </c>
      <c r="H144" s="110" t="s">
        <v>142</v>
      </c>
    </row>
    <row r="145" spans="1:8" ht="45">
      <c r="A145" s="110" t="s">
        <v>231</v>
      </c>
      <c r="B145" s="110" t="s">
        <v>367</v>
      </c>
      <c r="C145" s="110" t="s">
        <v>6277</v>
      </c>
      <c r="D145" s="110" t="s">
        <v>6278</v>
      </c>
      <c r="E145" s="110" t="s">
        <v>612</v>
      </c>
      <c r="F145" s="110" t="s">
        <v>6167</v>
      </c>
      <c r="G145" s="110" t="s">
        <v>6168</v>
      </c>
      <c r="H145" s="110" t="s">
        <v>142</v>
      </c>
    </row>
    <row r="146" spans="1:8">
      <c r="A146" s="110" t="s">
        <v>221</v>
      </c>
      <c r="B146" s="110" t="s">
        <v>184</v>
      </c>
      <c r="C146" s="110" t="s">
        <v>6279</v>
      </c>
      <c r="D146" s="110" t="s">
        <v>9209</v>
      </c>
      <c r="E146" s="110" t="s">
        <v>613</v>
      </c>
      <c r="F146" s="110" t="s">
        <v>6167</v>
      </c>
      <c r="G146" s="110" t="s">
        <v>6168</v>
      </c>
      <c r="H146" s="110" t="s">
        <v>141</v>
      </c>
    </row>
    <row r="147" spans="1:8">
      <c r="A147" s="110" t="s">
        <v>154</v>
      </c>
      <c r="B147" s="110" t="s">
        <v>463</v>
      </c>
      <c r="C147" s="110" t="s">
        <v>6280</v>
      </c>
      <c r="D147" s="110" t="s">
        <v>9210</v>
      </c>
      <c r="E147" s="110" t="s">
        <v>613</v>
      </c>
      <c r="F147" s="110" t="s">
        <v>6167</v>
      </c>
      <c r="G147" s="110" t="s">
        <v>6168</v>
      </c>
      <c r="H147" s="110" t="s">
        <v>144</v>
      </c>
    </row>
    <row r="148" spans="1:8">
      <c r="A148" s="110" t="s">
        <v>232</v>
      </c>
      <c r="B148" s="110" t="s">
        <v>437</v>
      </c>
      <c r="C148" s="110" t="s">
        <v>9211</v>
      </c>
      <c r="D148" s="110" t="s">
        <v>9212</v>
      </c>
      <c r="E148" s="110" t="s">
        <v>613</v>
      </c>
      <c r="F148" s="110" t="s">
        <v>6167</v>
      </c>
      <c r="G148" s="110" t="s">
        <v>6168</v>
      </c>
      <c r="H148" s="110" t="s">
        <v>147</v>
      </c>
    </row>
    <row r="149" spans="1:8">
      <c r="A149" s="110" t="s">
        <v>232</v>
      </c>
      <c r="B149" s="110" t="s">
        <v>445</v>
      </c>
      <c r="C149" s="110" t="s">
        <v>6281</v>
      </c>
      <c r="D149" s="110" t="s">
        <v>9213</v>
      </c>
      <c r="E149" s="110" t="s">
        <v>613</v>
      </c>
      <c r="F149" s="110" t="s">
        <v>6167</v>
      </c>
      <c r="G149" s="110" t="s">
        <v>6168</v>
      </c>
      <c r="H149" s="110" t="s">
        <v>147</v>
      </c>
    </row>
    <row r="150" spans="1:8">
      <c r="A150" s="110" t="s">
        <v>237</v>
      </c>
      <c r="B150" s="110" t="s">
        <v>439</v>
      </c>
      <c r="C150" s="110" t="s">
        <v>6282</v>
      </c>
      <c r="D150" s="110" t="s">
        <v>9214</v>
      </c>
      <c r="E150" s="110" t="s">
        <v>613</v>
      </c>
      <c r="F150" s="110" t="s">
        <v>6167</v>
      </c>
      <c r="G150" s="110" t="s">
        <v>6168</v>
      </c>
      <c r="H150" s="110" t="s">
        <v>147</v>
      </c>
    </row>
    <row r="151" spans="1:8">
      <c r="A151" s="110" t="s">
        <v>298</v>
      </c>
      <c r="B151" s="110" t="s">
        <v>496</v>
      </c>
      <c r="C151" s="110" t="s">
        <v>6283</v>
      </c>
      <c r="D151" s="110" t="s">
        <v>9215</v>
      </c>
      <c r="E151" s="110" t="s">
        <v>613</v>
      </c>
      <c r="F151" s="110" t="s">
        <v>6167</v>
      </c>
      <c r="G151" s="110" t="s">
        <v>6168</v>
      </c>
      <c r="H151" s="110" t="s">
        <v>146</v>
      </c>
    </row>
    <row r="152" spans="1:8" ht="30">
      <c r="A152" s="110" t="s">
        <v>226</v>
      </c>
      <c r="B152" s="110" t="s">
        <v>376</v>
      </c>
      <c r="C152" s="110" t="s">
        <v>6284</v>
      </c>
      <c r="D152" s="110" t="s">
        <v>9216</v>
      </c>
      <c r="E152" s="110" t="s">
        <v>613</v>
      </c>
      <c r="F152" s="110" t="s">
        <v>6167</v>
      </c>
      <c r="G152" s="110" t="s">
        <v>6168</v>
      </c>
      <c r="H152" s="110" t="s">
        <v>142</v>
      </c>
    </row>
    <row r="153" spans="1:8" ht="45">
      <c r="A153" s="110" t="s">
        <v>231</v>
      </c>
      <c r="B153" s="110" t="s">
        <v>368</v>
      </c>
      <c r="C153" s="110" t="s">
        <v>6285</v>
      </c>
      <c r="D153" s="110" t="s">
        <v>9217</v>
      </c>
      <c r="E153" s="110" t="s">
        <v>613</v>
      </c>
      <c r="F153" s="110" t="s">
        <v>6167</v>
      </c>
      <c r="G153" s="110" t="s">
        <v>6168</v>
      </c>
      <c r="H153" s="110" t="s">
        <v>142</v>
      </c>
    </row>
    <row r="154" spans="1:8" ht="45">
      <c r="A154" s="110" t="s">
        <v>231</v>
      </c>
      <c r="B154" s="110" t="s">
        <v>376</v>
      </c>
      <c r="C154" s="110" t="s">
        <v>6286</v>
      </c>
      <c r="D154" s="110" t="s">
        <v>9218</v>
      </c>
      <c r="E154" s="110" t="s">
        <v>613</v>
      </c>
      <c r="F154" s="110" t="s">
        <v>6167</v>
      </c>
      <c r="G154" s="110" t="s">
        <v>6168</v>
      </c>
      <c r="H154" s="110" t="s">
        <v>142</v>
      </c>
    </row>
    <row r="155" spans="1:8" ht="30">
      <c r="A155" s="110" t="s">
        <v>228</v>
      </c>
      <c r="B155" s="110" t="s">
        <v>363</v>
      </c>
      <c r="C155" s="110" t="s">
        <v>9219</v>
      </c>
      <c r="D155" s="110" t="s">
        <v>9220</v>
      </c>
      <c r="E155" s="110" t="s">
        <v>613</v>
      </c>
      <c r="F155" s="110" t="s">
        <v>6167</v>
      </c>
      <c r="G155" s="110" t="s">
        <v>6168</v>
      </c>
      <c r="H155" s="110" t="s">
        <v>142</v>
      </c>
    </row>
    <row r="156" spans="1:8" ht="30">
      <c r="A156" s="110" t="s">
        <v>228</v>
      </c>
      <c r="B156" s="110" t="s">
        <v>367</v>
      </c>
      <c r="C156" s="110" t="s">
        <v>6287</v>
      </c>
      <c r="D156" s="110" t="s">
        <v>9221</v>
      </c>
      <c r="E156" s="110" t="s">
        <v>613</v>
      </c>
      <c r="F156" s="110" t="s">
        <v>6167</v>
      </c>
      <c r="G156" s="110" t="s">
        <v>6168</v>
      </c>
      <c r="H156" s="110" t="s">
        <v>142</v>
      </c>
    </row>
    <row r="157" spans="1:8">
      <c r="A157" s="110" t="s">
        <v>254</v>
      </c>
      <c r="B157" s="110" t="s">
        <v>274</v>
      </c>
      <c r="C157" s="110" t="s">
        <v>6288</v>
      </c>
      <c r="D157" s="110" t="s">
        <v>9222</v>
      </c>
      <c r="E157" s="110" t="s">
        <v>613</v>
      </c>
      <c r="F157" s="110" t="s">
        <v>6167</v>
      </c>
      <c r="G157" s="110" t="s">
        <v>6168</v>
      </c>
      <c r="H157" s="110" t="s">
        <v>145</v>
      </c>
    </row>
    <row r="158" spans="1:8">
      <c r="A158" s="110" t="s">
        <v>253</v>
      </c>
      <c r="B158" s="110" t="s">
        <v>292</v>
      </c>
      <c r="C158" s="110" t="s">
        <v>6289</v>
      </c>
      <c r="D158" s="110" t="s">
        <v>9223</v>
      </c>
      <c r="E158" s="110" t="s">
        <v>613</v>
      </c>
      <c r="F158" s="110" t="s">
        <v>6167</v>
      </c>
      <c r="G158" s="110" t="s">
        <v>6168</v>
      </c>
      <c r="H158" s="110" t="s">
        <v>145</v>
      </c>
    </row>
    <row r="159" spans="1:8">
      <c r="A159" s="110" t="s">
        <v>308</v>
      </c>
      <c r="B159" s="110" t="s">
        <v>320</v>
      </c>
      <c r="C159" s="110" t="s">
        <v>6290</v>
      </c>
      <c r="D159" s="110" t="s">
        <v>9224</v>
      </c>
      <c r="E159" s="110" t="s">
        <v>613</v>
      </c>
      <c r="F159" s="110" t="s">
        <v>6167</v>
      </c>
      <c r="G159" s="110" t="s">
        <v>6168</v>
      </c>
      <c r="H159" s="110" t="s">
        <v>150</v>
      </c>
    </row>
    <row r="160" spans="1:8">
      <c r="A160" s="110" t="s">
        <v>313</v>
      </c>
      <c r="B160" s="110" t="s">
        <v>320</v>
      </c>
      <c r="C160" s="110" t="s">
        <v>6291</v>
      </c>
      <c r="D160" s="110" t="s">
        <v>9225</v>
      </c>
      <c r="E160" s="110" t="s">
        <v>613</v>
      </c>
      <c r="F160" s="110" t="s">
        <v>6167</v>
      </c>
      <c r="G160" s="110" t="s">
        <v>6168</v>
      </c>
      <c r="H160" s="110" t="s">
        <v>150</v>
      </c>
    </row>
    <row r="161" spans="1:8">
      <c r="A161" s="110" t="s">
        <v>316</v>
      </c>
      <c r="B161" s="110" t="s">
        <v>320</v>
      </c>
      <c r="C161" s="110" t="s">
        <v>9226</v>
      </c>
      <c r="D161" s="110" t="s">
        <v>9227</v>
      </c>
      <c r="E161" s="110" t="s">
        <v>613</v>
      </c>
      <c r="F161" s="110" t="s">
        <v>6167</v>
      </c>
      <c r="G161" s="110" t="s">
        <v>6168</v>
      </c>
      <c r="H161" s="110" t="s">
        <v>150</v>
      </c>
    </row>
    <row r="162" spans="1:8">
      <c r="A162" s="110" t="s">
        <v>178</v>
      </c>
      <c r="B162" s="110" t="s">
        <v>557</v>
      </c>
      <c r="C162" s="110" t="s">
        <v>6292</v>
      </c>
      <c r="D162" s="110" t="s">
        <v>9228</v>
      </c>
      <c r="E162" s="110" t="s">
        <v>614</v>
      </c>
      <c r="F162" s="110" t="s">
        <v>6167</v>
      </c>
      <c r="G162" s="110" t="s">
        <v>6168</v>
      </c>
      <c r="H162" s="110" t="s">
        <v>139</v>
      </c>
    </row>
    <row r="163" spans="1:8">
      <c r="A163" s="110" t="s">
        <v>253</v>
      </c>
      <c r="B163" s="110" t="s">
        <v>294</v>
      </c>
      <c r="C163" s="110" t="s">
        <v>6293</v>
      </c>
      <c r="D163" s="110" t="s">
        <v>9229</v>
      </c>
      <c r="E163" s="110" t="s">
        <v>614</v>
      </c>
      <c r="F163" s="110" t="s">
        <v>6167</v>
      </c>
      <c r="G163" s="110" t="s">
        <v>6168</v>
      </c>
      <c r="H163" s="110" t="s">
        <v>145</v>
      </c>
    </row>
    <row r="164" spans="1:8">
      <c r="A164" s="110" t="s">
        <v>174</v>
      </c>
      <c r="B164" s="110" t="s">
        <v>431</v>
      </c>
      <c r="C164" s="110" t="s">
        <v>6294</v>
      </c>
      <c r="D164" s="110" t="s">
        <v>9230</v>
      </c>
      <c r="E164" s="110" t="s">
        <v>614</v>
      </c>
      <c r="F164" s="110" t="s">
        <v>6167</v>
      </c>
      <c r="G164" s="110" t="s">
        <v>6168</v>
      </c>
      <c r="H164" s="110" t="s">
        <v>138</v>
      </c>
    </row>
    <row r="165" spans="1:8">
      <c r="A165" s="110" t="s">
        <v>175</v>
      </c>
      <c r="B165" s="110" t="s">
        <v>73</v>
      </c>
      <c r="C165" s="110" t="s">
        <v>6295</v>
      </c>
      <c r="D165" s="110" t="s">
        <v>9231</v>
      </c>
      <c r="E165" s="110" t="s">
        <v>614</v>
      </c>
      <c r="F165" s="110" t="s">
        <v>6167</v>
      </c>
      <c r="G165" s="110" t="s">
        <v>6168</v>
      </c>
      <c r="H165" s="110" t="s">
        <v>138</v>
      </c>
    </row>
    <row r="166" spans="1:8" ht="30">
      <c r="A166" s="110" t="s">
        <v>236</v>
      </c>
      <c r="B166" s="110" t="s">
        <v>439</v>
      </c>
      <c r="C166" s="110" t="s">
        <v>6296</v>
      </c>
      <c r="D166" s="110" t="s">
        <v>9232</v>
      </c>
      <c r="E166" s="110" t="s">
        <v>614</v>
      </c>
      <c r="F166" s="110" t="s">
        <v>6167</v>
      </c>
      <c r="G166" s="110" t="s">
        <v>6168</v>
      </c>
      <c r="H166" s="110" t="s">
        <v>147</v>
      </c>
    </row>
    <row r="167" spans="1:8">
      <c r="A167" s="110" t="s">
        <v>234</v>
      </c>
      <c r="B167" s="110" t="s">
        <v>437</v>
      </c>
      <c r="C167" s="110" t="s">
        <v>6297</v>
      </c>
      <c r="D167" s="110" t="s">
        <v>9233</v>
      </c>
      <c r="E167" s="110" t="s">
        <v>614</v>
      </c>
      <c r="F167" s="110" t="s">
        <v>6167</v>
      </c>
      <c r="G167" s="110" t="s">
        <v>6168</v>
      </c>
      <c r="H167" s="110" t="s">
        <v>146</v>
      </c>
    </row>
    <row r="168" spans="1:8">
      <c r="A168" s="110" t="s">
        <v>232</v>
      </c>
      <c r="B168" s="110" t="s">
        <v>439</v>
      </c>
      <c r="C168" s="110" t="s">
        <v>6298</v>
      </c>
      <c r="D168" s="110" t="s">
        <v>9234</v>
      </c>
      <c r="E168" s="110" t="s">
        <v>614</v>
      </c>
      <c r="F168" s="110" t="s">
        <v>6167</v>
      </c>
      <c r="G168" s="110" t="s">
        <v>6168</v>
      </c>
      <c r="H168" s="110" t="s">
        <v>147</v>
      </c>
    </row>
    <row r="169" spans="1:8">
      <c r="A169" s="110" t="s">
        <v>237</v>
      </c>
      <c r="B169" s="110" t="s">
        <v>440</v>
      </c>
      <c r="C169" s="110" t="s">
        <v>6299</v>
      </c>
      <c r="D169" s="110" t="s">
        <v>9235</v>
      </c>
      <c r="E169" s="110" t="s">
        <v>614</v>
      </c>
      <c r="F169" s="110" t="s">
        <v>6167</v>
      </c>
      <c r="G169" s="110" t="s">
        <v>6168</v>
      </c>
      <c r="H169" s="110" t="s">
        <v>147</v>
      </c>
    </row>
    <row r="170" spans="1:8">
      <c r="A170" s="110" t="s">
        <v>237</v>
      </c>
      <c r="B170" s="110" t="s">
        <v>184</v>
      </c>
      <c r="C170" s="110" t="s">
        <v>6300</v>
      </c>
      <c r="D170" s="110" t="s">
        <v>9236</v>
      </c>
      <c r="E170" s="110" t="s">
        <v>614</v>
      </c>
      <c r="F170" s="110" t="s">
        <v>6167</v>
      </c>
      <c r="G170" s="110" t="s">
        <v>6168</v>
      </c>
      <c r="H170" s="110" t="s">
        <v>147</v>
      </c>
    </row>
    <row r="171" spans="1:8" ht="30">
      <c r="A171" s="110" t="s">
        <v>228</v>
      </c>
      <c r="B171" s="110" t="s">
        <v>368</v>
      </c>
      <c r="C171" s="110" t="s">
        <v>6301</v>
      </c>
      <c r="D171" s="110" t="s">
        <v>9237</v>
      </c>
      <c r="E171" s="110" t="s">
        <v>614</v>
      </c>
      <c r="F171" s="110" t="s">
        <v>6167</v>
      </c>
      <c r="G171" s="110" t="s">
        <v>6168</v>
      </c>
      <c r="H171" s="110" t="s">
        <v>142</v>
      </c>
    </row>
    <row r="172" spans="1:8" ht="45">
      <c r="A172" s="110" t="s">
        <v>230</v>
      </c>
      <c r="B172" s="110" t="s">
        <v>369</v>
      </c>
      <c r="C172" s="110" t="s">
        <v>6302</v>
      </c>
      <c r="D172" s="110" t="s">
        <v>9238</v>
      </c>
      <c r="E172" s="110" t="s">
        <v>614</v>
      </c>
      <c r="F172" s="110" t="s">
        <v>6167</v>
      </c>
      <c r="G172" s="110" t="s">
        <v>6168</v>
      </c>
      <c r="H172" s="110" t="s">
        <v>142</v>
      </c>
    </row>
    <row r="173" spans="1:8">
      <c r="A173" s="110" t="s">
        <v>248</v>
      </c>
      <c r="B173" s="110" t="s">
        <v>269</v>
      </c>
      <c r="C173" s="110" t="s">
        <v>9239</v>
      </c>
      <c r="D173" s="110" t="s">
        <v>9240</v>
      </c>
      <c r="E173" s="110" t="s">
        <v>614</v>
      </c>
      <c r="F173" s="110" t="s">
        <v>6167</v>
      </c>
      <c r="G173" s="110" t="s">
        <v>6168</v>
      </c>
      <c r="H173" s="110" t="s">
        <v>145</v>
      </c>
    </row>
    <row r="174" spans="1:8">
      <c r="A174" s="110" t="s">
        <v>254</v>
      </c>
      <c r="B174" s="110" t="s">
        <v>275</v>
      </c>
      <c r="C174" s="110" t="s">
        <v>6303</v>
      </c>
      <c r="D174" s="110" t="s">
        <v>9241</v>
      </c>
      <c r="E174" s="110" t="s">
        <v>614</v>
      </c>
      <c r="F174" s="110" t="s">
        <v>6167</v>
      </c>
      <c r="G174" s="110" t="s">
        <v>6168</v>
      </c>
      <c r="H174" s="110" t="s">
        <v>145</v>
      </c>
    </row>
    <row r="175" spans="1:8">
      <c r="A175" s="110" t="s">
        <v>253</v>
      </c>
      <c r="B175" s="110" t="s">
        <v>293</v>
      </c>
      <c r="C175" s="110" t="s">
        <v>6304</v>
      </c>
      <c r="D175" s="110" t="s">
        <v>9242</v>
      </c>
      <c r="E175" s="110" t="s">
        <v>614</v>
      </c>
      <c r="F175" s="110" t="s">
        <v>6167</v>
      </c>
      <c r="G175" s="110" t="s">
        <v>6168</v>
      </c>
      <c r="H175" s="110" t="s">
        <v>145</v>
      </c>
    </row>
    <row r="176" spans="1:8">
      <c r="A176" s="110" t="s">
        <v>253</v>
      </c>
      <c r="B176" s="110" t="s">
        <v>283</v>
      </c>
      <c r="C176" s="110" t="s">
        <v>6305</v>
      </c>
      <c r="D176" s="110" t="s">
        <v>9243</v>
      </c>
      <c r="E176" s="110" t="s">
        <v>614</v>
      </c>
      <c r="F176" s="110" t="s">
        <v>6167</v>
      </c>
      <c r="G176" s="110" t="s">
        <v>6168</v>
      </c>
      <c r="H176" s="110" t="s">
        <v>145</v>
      </c>
    </row>
    <row r="177" spans="1:8">
      <c r="A177" s="110" t="s">
        <v>253</v>
      </c>
      <c r="B177" s="110" t="s">
        <v>98</v>
      </c>
      <c r="C177" s="110" t="s">
        <v>6306</v>
      </c>
      <c r="D177" s="110" t="s">
        <v>9244</v>
      </c>
      <c r="E177" s="110" t="s">
        <v>614</v>
      </c>
      <c r="F177" s="110" t="s">
        <v>6167</v>
      </c>
      <c r="G177" s="110" t="s">
        <v>6168</v>
      </c>
      <c r="H177" s="110" t="s">
        <v>145</v>
      </c>
    </row>
    <row r="178" spans="1:8">
      <c r="A178" s="110" t="s">
        <v>307</v>
      </c>
      <c r="B178" s="110" t="s">
        <v>320</v>
      </c>
      <c r="C178" s="110" t="s">
        <v>6307</v>
      </c>
      <c r="D178" s="110" t="s">
        <v>9245</v>
      </c>
      <c r="E178" s="110" t="s">
        <v>614</v>
      </c>
      <c r="F178" s="110" t="s">
        <v>6167</v>
      </c>
      <c r="G178" s="110" t="s">
        <v>6168</v>
      </c>
      <c r="H178" s="110" t="s">
        <v>150</v>
      </c>
    </row>
    <row r="179" spans="1:8">
      <c r="A179" s="110" t="s">
        <v>309</v>
      </c>
      <c r="B179" s="110" t="s">
        <v>320</v>
      </c>
      <c r="C179" s="110" t="s">
        <v>9246</v>
      </c>
      <c r="D179" s="110" t="s">
        <v>9247</v>
      </c>
      <c r="E179" s="110" t="s">
        <v>614</v>
      </c>
      <c r="F179" s="110" t="s">
        <v>6167</v>
      </c>
      <c r="G179" s="110" t="s">
        <v>6168</v>
      </c>
      <c r="H179" s="110" t="s">
        <v>150</v>
      </c>
    </row>
    <row r="180" spans="1:8">
      <c r="A180" s="110" t="s">
        <v>310</v>
      </c>
      <c r="B180" s="110" t="s">
        <v>320</v>
      </c>
      <c r="C180" s="110" t="s">
        <v>6308</v>
      </c>
      <c r="D180" s="110" t="s">
        <v>9248</v>
      </c>
      <c r="E180" s="110" t="s">
        <v>614</v>
      </c>
      <c r="F180" s="110" t="s">
        <v>6167</v>
      </c>
      <c r="G180" s="110" t="s">
        <v>6168</v>
      </c>
      <c r="H180" s="110" t="s">
        <v>150</v>
      </c>
    </row>
    <row r="181" spans="1:8">
      <c r="A181" s="110" t="s">
        <v>315</v>
      </c>
      <c r="B181" s="110" t="s">
        <v>320</v>
      </c>
      <c r="C181" s="110" t="s">
        <v>6309</v>
      </c>
      <c r="D181" s="110" t="s">
        <v>9249</v>
      </c>
      <c r="E181" s="110" t="s">
        <v>614</v>
      </c>
      <c r="F181" s="110" t="s">
        <v>6167</v>
      </c>
      <c r="G181" s="110" t="s">
        <v>6168</v>
      </c>
      <c r="H181" s="110" t="s">
        <v>150</v>
      </c>
    </row>
    <row r="182" spans="1:8">
      <c r="A182" s="110" t="s">
        <v>222</v>
      </c>
      <c r="B182" s="110" t="s">
        <v>184</v>
      </c>
      <c r="C182" s="110" t="s">
        <v>6310</v>
      </c>
      <c r="D182" s="110" t="s">
        <v>9250</v>
      </c>
      <c r="E182" s="110" t="s">
        <v>615</v>
      </c>
      <c r="F182" s="110" t="s">
        <v>6167</v>
      </c>
      <c r="G182" s="110" t="s">
        <v>6168</v>
      </c>
      <c r="H182" s="110" t="s">
        <v>141</v>
      </c>
    </row>
    <row r="183" spans="1:8">
      <c r="A183" s="110" t="s">
        <v>176</v>
      </c>
      <c r="B183" s="110" t="s">
        <v>449</v>
      </c>
      <c r="C183" s="110" t="s">
        <v>6311</v>
      </c>
      <c r="D183" s="110" t="s">
        <v>9251</v>
      </c>
      <c r="E183" s="110" t="s">
        <v>615</v>
      </c>
      <c r="F183" s="110" t="s">
        <v>6167</v>
      </c>
      <c r="G183" s="110" t="s">
        <v>6168</v>
      </c>
      <c r="H183" s="110" t="s">
        <v>138</v>
      </c>
    </row>
    <row r="184" spans="1:8">
      <c r="A184" s="110" t="s">
        <v>174</v>
      </c>
      <c r="B184" s="110" t="s">
        <v>73</v>
      </c>
      <c r="C184" s="110" t="s">
        <v>9252</v>
      </c>
      <c r="D184" s="110" t="s">
        <v>9253</v>
      </c>
      <c r="E184" s="110" t="s">
        <v>615</v>
      </c>
      <c r="F184" s="110" t="s">
        <v>6167</v>
      </c>
      <c r="G184" s="110" t="s">
        <v>6168</v>
      </c>
      <c r="H184" s="110" t="s">
        <v>138</v>
      </c>
    </row>
    <row r="185" spans="1:8">
      <c r="A185" s="110" t="s">
        <v>233</v>
      </c>
      <c r="B185" s="110" t="s">
        <v>437</v>
      </c>
      <c r="C185" s="110" t="s">
        <v>6312</v>
      </c>
      <c r="D185" s="110" t="s">
        <v>9254</v>
      </c>
      <c r="E185" s="110" t="s">
        <v>615</v>
      </c>
      <c r="F185" s="110" t="s">
        <v>6167</v>
      </c>
      <c r="G185" s="110" t="s">
        <v>6168</v>
      </c>
      <c r="H185" s="110" t="s">
        <v>146</v>
      </c>
    </row>
    <row r="186" spans="1:8" ht="30">
      <c r="A186" s="110" t="s">
        <v>236</v>
      </c>
      <c r="B186" s="110" t="s">
        <v>440</v>
      </c>
      <c r="C186" s="110" t="s">
        <v>6313</v>
      </c>
      <c r="D186" s="110" t="s">
        <v>9255</v>
      </c>
      <c r="E186" s="110" t="s">
        <v>615</v>
      </c>
      <c r="F186" s="110" t="s">
        <v>6167</v>
      </c>
      <c r="G186" s="110" t="s">
        <v>6168</v>
      </c>
      <c r="H186" s="110" t="s">
        <v>147</v>
      </c>
    </row>
    <row r="187" spans="1:8">
      <c r="A187" s="110" t="s">
        <v>232</v>
      </c>
      <c r="B187" s="110" t="s">
        <v>440</v>
      </c>
      <c r="C187" s="110" t="s">
        <v>6314</v>
      </c>
      <c r="D187" s="110" t="s">
        <v>9256</v>
      </c>
      <c r="E187" s="110" t="s">
        <v>615</v>
      </c>
      <c r="F187" s="110" t="s">
        <v>6167</v>
      </c>
      <c r="G187" s="110" t="s">
        <v>6168</v>
      </c>
      <c r="H187" s="110" t="s">
        <v>147</v>
      </c>
    </row>
    <row r="188" spans="1:8">
      <c r="A188" s="110" t="s">
        <v>227</v>
      </c>
      <c r="B188" s="110" t="s">
        <v>368</v>
      </c>
      <c r="C188" s="110" t="s">
        <v>6315</v>
      </c>
      <c r="D188" s="110" t="s">
        <v>9257</v>
      </c>
      <c r="E188" s="110" t="s">
        <v>615</v>
      </c>
      <c r="F188" s="110" t="s">
        <v>6167</v>
      </c>
      <c r="G188" s="110" t="s">
        <v>6168</v>
      </c>
      <c r="H188" s="110" t="s">
        <v>142</v>
      </c>
    </row>
    <row r="189" spans="1:8" ht="30">
      <c r="A189" s="110" t="s">
        <v>228</v>
      </c>
      <c r="B189" s="110" t="s">
        <v>376</v>
      </c>
      <c r="C189" s="110" t="s">
        <v>6316</v>
      </c>
      <c r="D189" s="110" t="s">
        <v>9258</v>
      </c>
      <c r="E189" s="110" t="s">
        <v>615</v>
      </c>
      <c r="F189" s="110" t="s">
        <v>6167</v>
      </c>
      <c r="G189" s="110" t="s">
        <v>6168</v>
      </c>
      <c r="H189" s="110" t="s">
        <v>142</v>
      </c>
    </row>
    <row r="190" spans="1:8" ht="30">
      <c r="A190" s="110" t="s">
        <v>305</v>
      </c>
      <c r="B190" s="110" t="s">
        <v>320</v>
      </c>
      <c r="C190" s="110" t="s">
        <v>9259</v>
      </c>
      <c r="D190" s="110" t="s">
        <v>9260</v>
      </c>
      <c r="E190" s="110" t="s">
        <v>615</v>
      </c>
      <c r="F190" s="110" t="s">
        <v>6167</v>
      </c>
      <c r="G190" s="110" t="s">
        <v>6168</v>
      </c>
      <c r="H190" s="110" t="s">
        <v>150</v>
      </c>
    </row>
    <row r="191" spans="1:8">
      <c r="A191" s="110" t="s">
        <v>306</v>
      </c>
      <c r="B191" s="110" t="s">
        <v>320</v>
      </c>
      <c r="C191" s="110" t="s">
        <v>6317</v>
      </c>
      <c r="D191" s="110" t="s">
        <v>6318</v>
      </c>
      <c r="E191" s="110" t="s">
        <v>615</v>
      </c>
      <c r="F191" s="110" t="s">
        <v>6167</v>
      </c>
      <c r="G191" s="110" t="s">
        <v>6168</v>
      </c>
      <c r="H191" s="110" t="s">
        <v>150</v>
      </c>
    </row>
    <row r="192" spans="1:8">
      <c r="A192" s="110" t="s">
        <v>233</v>
      </c>
      <c r="B192" s="110" t="s">
        <v>445</v>
      </c>
      <c r="C192" s="110" t="s">
        <v>6319</v>
      </c>
      <c r="D192" s="110" t="s">
        <v>6320</v>
      </c>
      <c r="E192" s="110" t="s">
        <v>616</v>
      </c>
      <c r="F192" s="110" t="s">
        <v>6167</v>
      </c>
      <c r="G192" s="110" t="s">
        <v>6168</v>
      </c>
      <c r="H192" s="110" t="s">
        <v>146</v>
      </c>
    </row>
    <row r="193" spans="1:8" ht="30">
      <c r="A193" s="110" t="s">
        <v>236</v>
      </c>
      <c r="B193" s="110" t="s">
        <v>184</v>
      </c>
      <c r="C193" s="110" t="s">
        <v>9261</v>
      </c>
      <c r="D193" s="110" t="s">
        <v>9262</v>
      </c>
      <c r="E193" s="110" t="s">
        <v>616</v>
      </c>
      <c r="F193" s="110" t="s">
        <v>6167</v>
      </c>
      <c r="G193" s="110" t="s">
        <v>6168</v>
      </c>
      <c r="H193" s="110" t="s">
        <v>147</v>
      </c>
    </row>
    <row r="194" spans="1:8">
      <c r="A194" s="110" t="s">
        <v>234</v>
      </c>
      <c r="B194" s="110" t="s">
        <v>439</v>
      </c>
      <c r="C194" s="110" t="s">
        <v>6321</v>
      </c>
      <c r="D194" s="110" t="s">
        <v>9263</v>
      </c>
      <c r="E194" s="110" t="s">
        <v>616</v>
      </c>
      <c r="F194" s="110" t="s">
        <v>6167</v>
      </c>
      <c r="G194" s="110" t="s">
        <v>6168</v>
      </c>
      <c r="H194" s="110" t="s">
        <v>146</v>
      </c>
    </row>
    <row r="195" spans="1:8">
      <c r="A195" s="110" t="s">
        <v>232</v>
      </c>
      <c r="B195" s="110" t="s">
        <v>184</v>
      </c>
      <c r="C195" s="110" t="s">
        <v>6322</v>
      </c>
      <c r="D195" s="110" t="s">
        <v>9264</v>
      </c>
      <c r="E195" s="110" t="s">
        <v>616</v>
      </c>
      <c r="F195" s="110" t="s">
        <v>6167</v>
      </c>
      <c r="G195" s="110" t="s">
        <v>6168</v>
      </c>
      <c r="H195" s="110" t="s">
        <v>147</v>
      </c>
    </row>
    <row r="196" spans="1:8">
      <c r="A196" s="110" t="s">
        <v>227</v>
      </c>
      <c r="B196" s="110" t="s">
        <v>376</v>
      </c>
      <c r="C196" s="110" t="s">
        <v>6323</v>
      </c>
      <c r="D196" s="110" t="s">
        <v>9265</v>
      </c>
      <c r="E196" s="110" t="s">
        <v>616</v>
      </c>
      <c r="F196" s="110" t="s">
        <v>6167</v>
      </c>
      <c r="G196" s="110" t="s">
        <v>6168</v>
      </c>
      <c r="H196" s="110" t="s">
        <v>142</v>
      </c>
    </row>
    <row r="197" spans="1:8">
      <c r="A197" s="110" t="s">
        <v>312</v>
      </c>
      <c r="B197" s="110" t="s">
        <v>320</v>
      </c>
      <c r="C197" s="110" t="s">
        <v>6324</v>
      </c>
      <c r="D197" s="110" t="s">
        <v>9266</v>
      </c>
      <c r="E197" s="110" t="s">
        <v>616</v>
      </c>
      <c r="F197" s="110" t="s">
        <v>6167</v>
      </c>
      <c r="G197" s="110" t="s">
        <v>6168</v>
      </c>
      <c r="H197" s="110" t="s">
        <v>150</v>
      </c>
    </row>
    <row r="198" spans="1:8">
      <c r="A198" s="110" t="s">
        <v>233</v>
      </c>
      <c r="B198" s="110" t="s">
        <v>439</v>
      </c>
      <c r="C198" s="110" t="s">
        <v>9267</v>
      </c>
      <c r="D198" s="110" t="s">
        <v>9268</v>
      </c>
      <c r="E198" s="110" t="s">
        <v>617</v>
      </c>
      <c r="F198" s="110" t="s">
        <v>6167</v>
      </c>
      <c r="G198" s="110" t="s">
        <v>6168</v>
      </c>
      <c r="H198" s="110" t="s">
        <v>146</v>
      </c>
    </row>
    <row r="199" spans="1:8">
      <c r="A199" s="110" t="s">
        <v>234</v>
      </c>
      <c r="B199" s="110" t="s">
        <v>440</v>
      </c>
      <c r="C199" s="110" t="s">
        <v>6325</v>
      </c>
      <c r="D199" s="110" t="s">
        <v>9269</v>
      </c>
      <c r="E199" s="110" t="s">
        <v>617</v>
      </c>
      <c r="F199" s="110" t="s">
        <v>6167</v>
      </c>
      <c r="G199" s="110" t="s">
        <v>6168</v>
      </c>
      <c r="H199" s="110" t="s">
        <v>146</v>
      </c>
    </row>
    <row r="200" spans="1:8">
      <c r="A200" s="110" t="s">
        <v>233</v>
      </c>
      <c r="B200" s="110" t="s">
        <v>440</v>
      </c>
      <c r="C200" s="110" t="s">
        <v>6326</v>
      </c>
      <c r="D200" s="110" t="s">
        <v>9270</v>
      </c>
      <c r="E200" s="110" t="s">
        <v>618</v>
      </c>
      <c r="F200" s="110" t="s">
        <v>6167</v>
      </c>
      <c r="G200" s="110" t="s">
        <v>6168</v>
      </c>
      <c r="H200" s="110" t="s">
        <v>146</v>
      </c>
    </row>
    <row r="201" spans="1:8" ht="30">
      <c r="A201" s="110" t="s">
        <v>322</v>
      </c>
      <c r="B201" s="110" t="s">
        <v>488</v>
      </c>
      <c r="C201" s="110" t="s">
        <v>6327</v>
      </c>
      <c r="D201" s="110" t="s">
        <v>9271</v>
      </c>
      <c r="E201" s="110" t="s">
        <v>618</v>
      </c>
      <c r="F201" s="110" t="s">
        <v>6167</v>
      </c>
      <c r="G201" s="110" t="s">
        <v>6168</v>
      </c>
      <c r="H201" s="110" t="s">
        <v>149</v>
      </c>
    </row>
    <row r="202" spans="1:8">
      <c r="A202" s="110" t="s">
        <v>233</v>
      </c>
      <c r="B202" s="110" t="s">
        <v>184</v>
      </c>
      <c r="C202" s="110" t="s">
        <v>9272</v>
      </c>
      <c r="D202" s="110" t="s">
        <v>9273</v>
      </c>
      <c r="E202" s="110" t="s">
        <v>619</v>
      </c>
      <c r="F202" s="110" t="s">
        <v>6167</v>
      </c>
      <c r="G202" s="110" t="s">
        <v>6168</v>
      </c>
      <c r="H202" s="110" t="s">
        <v>146</v>
      </c>
    </row>
    <row r="203" spans="1:8">
      <c r="A203" s="110" t="s">
        <v>234</v>
      </c>
      <c r="B203" s="110" t="s">
        <v>184</v>
      </c>
      <c r="C203" s="110" t="s">
        <v>6328</v>
      </c>
      <c r="D203" s="110" t="s">
        <v>9274</v>
      </c>
      <c r="E203" s="110" t="s">
        <v>619</v>
      </c>
      <c r="F203" s="110" t="s">
        <v>6167</v>
      </c>
      <c r="G203" s="110" t="s">
        <v>6168</v>
      </c>
      <c r="H203" s="110" t="s">
        <v>146</v>
      </c>
    </row>
    <row r="204" spans="1:8">
      <c r="A204" s="110" t="s">
        <v>254</v>
      </c>
      <c r="B204" s="110" t="s">
        <v>270</v>
      </c>
      <c r="C204" s="110" t="s">
        <v>6329</v>
      </c>
      <c r="D204" s="110" t="s">
        <v>9275</v>
      </c>
      <c r="E204" s="110" t="s">
        <v>619</v>
      </c>
      <c r="F204" s="110" t="s">
        <v>6167</v>
      </c>
      <c r="G204" s="110" t="s">
        <v>6168</v>
      </c>
      <c r="H204" s="110" t="s">
        <v>145</v>
      </c>
    </row>
    <row r="205" spans="1:8">
      <c r="A205" s="110" t="s">
        <v>254</v>
      </c>
      <c r="B205" s="110" t="s">
        <v>271</v>
      </c>
      <c r="C205" s="110" t="s">
        <v>6330</v>
      </c>
      <c r="D205" s="110" t="s">
        <v>9276</v>
      </c>
      <c r="E205" s="110" t="s">
        <v>619</v>
      </c>
      <c r="F205" s="110" t="s">
        <v>6167</v>
      </c>
      <c r="G205" s="110" t="s">
        <v>6168</v>
      </c>
      <c r="H205" s="110" t="s">
        <v>145</v>
      </c>
    </row>
    <row r="206" spans="1:8">
      <c r="A206" s="110" t="s">
        <v>221</v>
      </c>
      <c r="B206" s="110" t="s">
        <v>440</v>
      </c>
      <c r="C206" s="110" t="s">
        <v>6331</v>
      </c>
      <c r="D206" s="110" t="s">
        <v>9277</v>
      </c>
      <c r="E206" s="110" t="s">
        <v>6164</v>
      </c>
      <c r="F206" s="110" t="s">
        <v>6165</v>
      </c>
      <c r="G206" s="110" t="s">
        <v>6166</v>
      </c>
      <c r="H206" s="110" t="s">
        <v>141</v>
      </c>
    </row>
    <row r="207" spans="1:8">
      <c r="A207" s="110" t="s">
        <v>179</v>
      </c>
      <c r="B207" s="110" t="s">
        <v>3908</v>
      </c>
      <c r="C207" s="110" t="s">
        <v>9278</v>
      </c>
      <c r="D207" s="110" t="s">
        <v>9279</v>
      </c>
      <c r="E207" s="110" t="s">
        <v>6169</v>
      </c>
      <c r="F207" s="110" t="s">
        <v>6165</v>
      </c>
      <c r="G207" s="110" t="s">
        <v>6166</v>
      </c>
      <c r="H207" s="110" t="s">
        <v>139</v>
      </c>
    </row>
    <row r="208" spans="1:8">
      <c r="A208" s="110" t="s">
        <v>179</v>
      </c>
      <c r="B208" s="110" t="s">
        <v>3906</v>
      </c>
      <c r="C208" s="110" t="s">
        <v>6332</v>
      </c>
      <c r="D208" s="110" t="s">
        <v>9280</v>
      </c>
      <c r="E208" s="110" t="s">
        <v>6169</v>
      </c>
      <c r="F208" s="110" t="s">
        <v>6165</v>
      </c>
      <c r="G208" s="110" t="s">
        <v>6166</v>
      </c>
      <c r="H208" s="110" t="s">
        <v>139</v>
      </c>
    </row>
    <row r="209" spans="1:8">
      <c r="A209" s="110" t="s">
        <v>178</v>
      </c>
      <c r="B209" s="110" t="s">
        <v>555</v>
      </c>
      <c r="C209" s="110" t="s">
        <v>9281</v>
      </c>
      <c r="D209" s="110" t="s">
        <v>9282</v>
      </c>
      <c r="E209" s="110" t="s">
        <v>6169</v>
      </c>
      <c r="F209" s="110" t="s">
        <v>6165</v>
      </c>
      <c r="G209" s="110" t="s">
        <v>6166</v>
      </c>
      <c r="H209" s="110" t="s">
        <v>139</v>
      </c>
    </row>
    <row r="210" spans="1:8">
      <c r="A210" s="110" t="s">
        <v>154</v>
      </c>
      <c r="B210" s="110" t="s">
        <v>456</v>
      </c>
      <c r="C210" s="110" t="s">
        <v>6334</v>
      </c>
      <c r="D210" s="110" t="s">
        <v>9283</v>
      </c>
      <c r="E210" s="110" t="s">
        <v>6164</v>
      </c>
      <c r="F210" s="110" t="s">
        <v>6165</v>
      </c>
      <c r="G210" s="110" t="s">
        <v>6166</v>
      </c>
      <c r="H210" s="110" t="s">
        <v>144</v>
      </c>
    </row>
    <row r="211" spans="1:8">
      <c r="A211" s="110" t="s">
        <v>178</v>
      </c>
      <c r="B211" s="110" t="s">
        <v>558</v>
      </c>
      <c r="C211" s="110" t="s">
        <v>9284</v>
      </c>
      <c r="D211" s="110" t="s">
        <v>9285</v>
      </c>
      <c r="E211" s="110" t="s">
        <v>6164</v>
      </c>
      <c r="F211" s="110" t="s">
        <v>6165</v>
      </c>
      <c r="G211" s="110" t="s">
        <v>6166</v>
      </c>
      <c r="H211" s="110" t="s">
        <v>139</v>
      </c>
    </row>
    <row r="212" spans="1:8">
      <c r="A212" s="110" t="s">
        <v>179</v>
      </c>
      <c r="B212" s="110" t="s">
        <v>648</v>
      </c>
      <c r="C212" s="110" t="s">
        <v>6335</v>
      </c>
      <c r="D212" s="110" t="s">
        <v>6336</v>
      </c>
      <c r="E212" s="110" t="s">
        <v>6164</v>
      </c>
      <c r="F212" s="110" t="s">
        <v>6165</v>
      </c>
      <c r="G212" s="110" t="s">
        <v>6166</v>
      </c>
      <c r="H212" s="110" t="s">
        <v>139</v>
      </c>
    </row>
    <row r="213" spans="1:8">
      <c r="A213" s="110" t="s">
        <v>179</v>
      </c>
      <c r="B213" s="110" t="s">
        <v>440</v>
      </c>
      <c r="C213" s="110" t="s">
        <v>9286</v>
      </c>
      <c r="D213" s="110" t="s">
        <v>9287</v>
      </c>
      <c r="E213" s="110" t="s">
        <v>6164</v>
      </c>
      <c r="F213" s="110" t="s">
        <v>6165</v>
      </c>
      <c r="G213" s="110" t="s">
        <v>6166</v>
      </c>
      <c r="H213" s="110" t="s">
        <v>139</v>
      </c>
    </row>
    <row r="214" spans="1:8">
      <c r="A214" s="110" t="s">
        <v>179</v>
      </c>
      <c r="B214" s="110" t="s">
        <v>649</v>
      </c>
      <c r="C214" s="110" t="s">
        <v>6337</v>
      </c>
      <c r="D214" s="110" t="s">
        <v>9288</v>
      </c>
      <c r="E214" s="110" t="s">
        <v>6164</v>
      </c>
      <c r="F214" s="110" t="s">
        <v>6165</v>
      </c>
      <c r="G214" s="110" t="s">
        <v>6166</v>
      </c>
      <c r="H214" s="110" t="s">
        <v>139</v>
      </c>
    </row>
    <row r="215" spans="1:8">
      <c r="A215" s="110" t="s">
        <v>178</v>
      </c>
      <c r="B215" s="110" t="s">
        <v>51</v>
      </c>
      <c r="C215" s="110" t="s">
        <v>6338</v>
      </c>
      <c r="D215" s="110" t="s">
        <v>9289</v>
      </c>
      <c r="E215" s="110" t="s">
        <v>6164</v>
      </c>
      <c r="F215" s="110" t="s">
        <v>6165</v>
      </c>
      <c r="G215" s="110" t="s">
        <v>6166</v>
      </c>
      <c r="H215" s="110" t="s">
        <v>139</v>
      </c>
    </row>
    <row r="216" spans="1:8">
      <c r="A216" s="110" t="s">
        <v>178</v>
      </c>
      <c r="B216" s="110" t="s">
        <v>648</v>
      </c>
      <c r="C216" s="110" t="s">
        <v>6339</v>
      </c>
      <c r="D216" s="110" t="s">
        <v>9290</v>
      </c>
      <c r="E216" s="110" t="s">
        <v>6164</v>
      </c>
      <c r="F216" s="110" t="s">
        <v>6165</v>
      </c>
      <c r="G216" s="110" t="s">
        <v>6166</v>
      </c>
      <c r="H216" s="110" t="s">
        <v>139</v>
      </c>
    </row>
    <row r="217" spans="1:8">
      <c r="A217" s="110" t="s">
        <v>178</v>
      </c>
      <c r="B217" s="110" t="s">
        <v>440</v>
      </c>
      <c r="C217" s="110" t="s">
        <v>6340</v>
      </c>
      <c r="D217" s="110" t="s">
        <v>9291</v>
      </c>
      <c r="E217" s="110" t="s">
        <v>6164</v>
      </c>
      <c r="F217" s="110" t="s">
        <v>6165</v>
      </c>
      <c r="G217" s="110" t="s">
        <v>6166</v>
      </c>
      <c r="H217" s="110" t="s">
        <v>139</v>
      </c>
    </row>
    <row r="218" spans="1:8">
      <c r="A218" s="110" t="s">
        <v>178</v>
      </c>
      <c r="B218" s="110" t="s">
        <v>649</v>
      </c>
      <c r="C218" s="110" t="s">
        <v>6341</v>
      </c>
      <c r="D218" s="110" t="s">
        <v>9292</v>
      </c>
      <c r="E218" s="110" t="s">
        <v>6164</v>
      </c>
      <c r="F218" s="110" t="s">
        <v>6165</v>
      </c>
      <c r="G218" s="110" t="s">
        <v>6166</v>
      </c>
      <c r="H218" s="110" t="s">
        <v>139</v>
      </c>
    </row>
    <row r="219" spans="1:8">
      <c r="A219" s="110" t="s">
        <v>179</v>
      </c>
      <c r="B219" s="110" t="s">
        <v>496</v>
      </c>
      <c r="C219" s="110" t="s">
        <v>6342</v>
      </c>
      <c r="D219" s="110" t="s">
        <v>9293</v>
      </c>
      <c r="E219" s="110" t="s">
        <v>6164</v>
      </c>
      <c r="F219" s="110" t="s">
        <v>6165</v>
      </c>
      <c r="G219" s="110" t="s">
        <v>6166</v>
      </c>
      <c r="H219" s="110" t="s">
        <v>139</v>
      </c>
    </row>
    <row r="220" spans="1:8">
      <c r="A220" s="110" t="s">
        <v>178</v>
      </c>
      <c r="B220" s="110" t="s">
        <v>496</v>
      </c>
      <c r="C220" s="110" t="s">
        <v>6343</v>
      </c>
      <c r="D220" s="110" t="s">
        <v>9294</v>
      </c>
      <c r="E220" s="110" t="s">
        <v>6164</v>
      </c>
      <c r="F220" s="110" t="s">
        <v>6165</v>
      </c>
      <c r="G220" s="110" t="s">
        <v>6166</v>
      </c>
      <c r="H220" s="110" t="s">
        <v>139</v>
      </c>
    </row>
    <row r="221" spans="1:8">
      <c r="A221" s="110" t="s">
        <v>154</v>
      </c>
      <c r="B221" s="110" t="s">
        <v>650</v>
      </c>
      <c r="C221" s="110" t="s">
        <v>6344</v>
      </c>
      <c r="D221" s="110" t="s">
        <v>9295</v>
      </c>
      <c r="E221" s="110" t="s">
        <v>6164</v>
      </c>
      <c r="F221" s="110" t="s">
        <v>6165</v>
      </c>
      <c r="G221" s="110" t="s">
        <v>6166</v>
      </c>
      <c r="H221" s="110" t="s">
        <v>144</v>
      </c>
    </row>
    <row r="222" spans="1:8">
      <c r="A222" s="110" t="s">
        <v>209</v>
      </c>
      <c r="B222" s="110" t="s">
        <v>553</v>
      </c>
      <c r="C222" s="110" t="s">
        <v>6345</v>
      </c>
      <c r="D222" s="110" t="s">
        <v>9296</v>
      </c>
      <c r="E222" s="110" t="s">
        <v>6164</v>
      </c>
      <c r="F222" s="110" t="s">
        <v>6165</v>
      </c>
      <c r="G222" s="110" t="s">
        <v>6166</v>
      </c>
      <c r="H222" s="110" t="s">
        <v>141</v>
      </c>
    </row>
    <row r="223" spans="1:8">
      <c r="A223" s="110" t="s">
        <v>209</v>
      </c>
      <c r="B223" s="110" t="s">
        <v>440</v>
      </c>
      <c r="C223" s="110" t="s">
        <v>6346</v>
      </c>
      <c r="D223" s="110" t="s">
        <v>9297</v>
      </c>
      <c r="E223" s="110" t="s">
        <v>6164</v>
      </c>
      <c r="F223" s="110" t="s">
        <v>6165</v>
      </c>
      <c r="G223" s="110" t="s">
        <v>6166</v>
      </c>
      <c r="H223" s="110" t="s">
        <v>141</v>
      </c>
    </row>
    <row r="224" spans="1:8">
      <c r="A224" s="110" t="s">
        <v>221</v>
      </c>
      <c r="B224" s="110" t="s">
        <v>553</v>
      </c>
      <c r="C224" s="110" t="s">
        <v>9298</v>
      </c>
      <c r="D224" s="110" t="s">
        <v>9299</v>
      </c>
      <c r="E224" s="110" t="s">
        <v>6164</v>
      </c>
      <c r="F224" s="110" t="s">
        <v>6165</v>
      </c>
      <c r="G224" s="110" t="s">
        <v>6166</v>
      </c>
      <c r="H224" s="110" t="s">
        <v>141</v>
      </c>
    </row>
    <row r="225" spans="1:8">
      <c r="A225" s="110" t="s">
        <v>154</v>
      </c>
      <c r="B225" s="110" t="s">
        <v>652</v>
      </c>
      <c r="C225" s="110" t="s">
        <v>6347</v>
      </c>
      <c r="D225" s="110" t="s">
        <v>9300</v>
      </c>
      <c r="E225" s="110" t="s">
        <v>6164</v>
      </c>
      <c r="F225" s="110" t="s">
        <v>6165</v>
      </c>
      <c r="G225" s="110" t="s">
        <v>6166</v>
      </c>
      <c r="H225" s="110" t="s">
        <v>144</v>
      </c>
    </row>
    <row r="226" spans="1:8" ht="30">
      <c r="A226" s="110" t="s">
        <v>222</v>
      </c>
      <c r="B226" s="110" t="s">
        <v>416</v>
      </c>
      <c r="C226" s="110" t="s">
        <v>6348</v>
      </c>
      <c r="D226" s="110" t="s">
        <v>9301</v>
      </c>
      <c r="E226" s="110" t="s">
        <v>6164</v>
      </c>
      <c r="F226" s="110" t="s">
        <v>6165</v>
      </c>
      <c r="G226" s="110" t="s">
        <v>6166</v>
      </c>
      <c r="H226" s="110" t="s">
        <v>141</v>
      </c>
    </row>
    <row r="227" spans="1:8" ht="30">
      <c r="A227" s="110" t="s">
        <v>222</v>
      </c>
      <c r="B227" s="110" t="s">
        <v>417</v>
      </c>
      <c r="C227" s="110" t="s">
        <v>6349</v>
      </c>
      <c r="D227" s="110" t="s">
        <v>9302</v>
      </c>
      <c r="E227" s="110" t="s">
        <v>6164</v>
      </c>
      <c r="F227" s="110" t="s">
        <v>6165</v>
      </c>
      <c r="G227" s="110" t="s">
        <v>6166</v>
      </c>
      <c r="H227" s="110" t="s">
        <v>141</v>
      </c>
    </row>
    <row r="228" spans="1:8">
      <c r="A228" s="110" t="s">
        <v>222</v>
      </c>
      <c r="B228" s="110" t="s">
        <v>414</v>
      </c>
      <c r="C228" s="110" t="s">
        <v>6350</v>
      </c>
      <c r="D228" s="110" t="s">
        <v>9303</v>
      </c>
      <c r="E228" s="110" t="s">
        <v>6164</v>
      </c>
      <c r="F228" s="110" t="s">
        <v>6165</v>
      </c>
      <c r="G228" s="110" t="s">
        <v>6166</v>
      </c>
      <c r="H228" s="110" t="s">
        <v>141</v>
      </c>
    </row>
    <row r="229" spans="1:8">
      <c r="A229" s="110" t="s">
        <v>222</v>
      </c>
      <c r="B229" s="110" t="s">
        <v>553</v>
      </c>
      <c r="C229" s="110" t="s">
        <v>6351</v>
      </c>
      <c r="D229" s="110" t="s">
        <v>9304</v>
      </c>
      <c r="E229" s="110" t="s">
        <v>6164</v>
      </c>
      <c r="F229" s="110" t="s">
        <v>6165</v>
      </c>
      <c r="G229" s="110" t="s">
        <v>6166</v>
      </c>
      <c r="H229" s="110" t="s">
        <v>141</v>
      </c>
    </row>
    <row r="230" spans="1:8">
      <c r="A230" s="110" t="s">
        <v>222</v>
      </c>
      <c r="B230" s="110" t="s">
        <v>440</v>
      </c>
      <c r="C230" s="110" t="s">
        <v>6352</v>
      </c>
      <c r="D230" s="110" t="s">
        <v>9305</v>
      </c>
      <c r="E230" s="110" t="s">
        <v>6164</v>
      </c>
      <c r="F230" s="110" t="s">
        <v>6165</v>
      </c>
      <c r="G230" s="110" t="s">
        <v>6166</v>
      </c>
      <c r="H230" s="110" t="s">
        <v>141</v>
      </c>
    </row>
    <row r="231" spans="1:8">
      <c r="A231" s="110" t="s">
        <v>154</v>
      </c>
      <c r="B231" s="110" t="s">
        <v>450</v>
      </c>
      <c r="C231" s="110" t="s">
        <v>6353</v>
      </c>
      <c r="D231" s="110" t="s">
        <v>9306</v>
      </c>
      <c r="E231" s="110" t="s">
        <v>6164</v>
      </c>
      <c r="F231" s="110" t="s">
        <v>6165</v>
      </c>
      <c r="G231" s="110" t="s">
        <v>6166</v>
      </c>
      <c r="H231" s="110" t="s">
        <v>144</v>
      </c>
    </row>
    <row r="232" spans="1:8">
      <c r="A232" s="110" t="s">
        <v>175</v>
      </c>
      <c r="B232" s="110" t="s">
        <v>653</v>
      </c>
      <c r="C232" s="110" t="s">
        <v>9307</v>
      </c>
      <c r="D232" s="110" t="s">
        <v>9308</v>
      </c>
      <c r="E232" s="110" t="s">
        <v>6164</v>
      </c>
      <c r="F232" s="110" t="s">
        <v>6165</v>
      </c>
      <c r="G232" s="110" t="s">
        <v>6166</v>
      </c>
      <c r="H232" s="110" t="s">
        <v>138</v>
      </c>
    </row>
    <row r="233" spans="1:8">
      <c r="A233" s="110" t="s">
        <v>175</v>
      </c>
      <c r="B233" s="110" t="s">
        <v>440</v>
      </c>
      <c r="C233" s="110" t="s">
        <v>6354</v>
      </c>
      <c r="D233" s="110" t="s">
        <v>9309</v>
      </c>
      <c r="E233" s="110" t="s">
        <v>6164</v>
      </c>
      <c r="F233" s="110" t="s">
        <v>6165</v>
      </c>
      <c r="G233" s="110" t="s">
        <v>6166</v>
      </c>
      <c r="H233" s="110" t="s">
        <v>138</v>
      </c>
    </row>
    <row r="234" spans="1:8">
      <c r="A234" s="110" t="s">
        <v>174</v>
      </c>
      <c r="B234" s="110" t="s">
        <v>653</v>
      </c>
      <c r="C234" s="110" t="s">
        <v>6355</v>
      </c>
      <c r="D234" s="110" t="s">
        <v>9310</v>
      </c>
      <c r="E234" s="110" t="s">
        <v>6164</v>
      </c>
      <c r="F234" s="110" t="s">
        <v>6165</v>
      </c>
      <c r="G234" s="110" t="s">
        <v>6166</v>
      </c>
      <c r="H234" s="110" t="s">
        <v>138</v>
      </c>
    </row>
    <row r="235" spans="1:8">
      <c r="A235" s="110" t="s">
        <v>174</v>
      </c>
      <c r="B235" s="110" t="s">
        <v>655</v>
      </c>
      <c r="C235" s="110" t="s">
        <v>6356</v>
      </c>
      <c r="D235" s="110" t="s">
        <v>9311</v>
      </c>
      <c r="E235" s="110" t="s">
        <v>6164</v>
      </c>
      <c r="F235" s="110" t="s">
        <v>6165</v>
      </c>
      <c r="G235" s="110" t="s">
        <v>6166</v>
      </c>
      <c r="H235" s="110" t="s">
        <v>138</v>
      </c>
    </row>
    <row r="236" spans="1:8">
      <c r="A236" s="110" t="s">
        <v>174</v>
      </c>
      <c r="B236" s="110" t="s">
        <v>440</v>
      </c>
      <c r="C236" s="110" t="s">
        <v>6357</v>
      </c>
      <c r="D236" s="110" t="s">
        <v>9312</v>
      </c>
      <c r="E236" s="110" t="s">
        <v>6164</v>
      </c>
      <c r="F236" s="110" t="s">
        <v>6165</v>
      </c>
      <c r="G236" s="110" t="s">
        <v>6166</v>
      </c>
      <c r="H236" s="110" t="s">
        <v>138</v>
      </c>
    </row>
    <row r="237" spans="1:8">
      <c r="A237" s="110" t="s">
        <v>151</v>
      </c>
      <c r="B237" s="110" t="s">
        <v>184</v>
      </c>
      <c r="C237" s="110" t="s">
        <v>6358</v>
      </c>
      <c r="D237" s="110" t="s">
        <v>9313</v>
      </c>
      <c r="E237" s="110" t="s">
        <v>6164</v>
      </c>
      <c r="F237" s="110" t="s">
        <v>6165</v>
      </c>
      <c r="G237" s="110" t="s">
        <v>6166</v>
      </c>
      <c r="H237" s="110" t="s">
        <v>138</v>
      </c>
    </row>
    <row r="238" spans="1:8">
      <c r="A238" s="110" t="s">
        <v>154</v>
      </c>
      <c r="B238" s="110" t="s">
        <v>458</v>
      </c>
      <c r="C238" s="110" t="s">
        <v>6359</v>
      </c>
      <c r="D238" s="110" t="s">
        <v>9314</v>
      </c>
      <c r="E238" s="110" t="s">
        <v>6164</v>
      </c>
      <c r="F238" s="110" t="s">
        <v>6165</v>
      </c>
      <c r="G238" s="110" t="s">
        <v>6166</v>
      </c>
      <c r="H238" s="110" t="s">
        <v>144</v>
      </c>
    </row>
    <row r="239" spans="1:8">
      <c r="A239" s="110" t="s">
        <v>154</v>
      </c>
      <c r="B239" s="110" t="s">
        <v>656</v>
      </c>
      <c r="C239" s="110" t="s">
        <v>6360</v>
      </c>
      <c r="D239" s="110" t="s">
        <v>9315</v>
      </c>
      <c r="E239" s="110" t="s">
        <v>6164</v>
      </c>
      <c r="F239" s="110" t="s">
        <v>6165</v>
      </c>
      <c r="G239" s="110" t="s">
        <v>6166</v>
      </c>
      <c r="H239" s="110" t="s">
        <v>144</v>
      </c>
    </row>
    <row r="240" spans="1:8">
      <c r="A240" s="110" t="s">
        <v>233</v>
      </c>
      <c r="B240" s="110" t="s">
        <v>553</v>
      </c>
      <c r="C240" s="110" t="s">
        <v>6361</v>
      </c>
      <c r="D240" s="110" t="s">
        <v>9316</v>
      </c>
      <c r="E240" s="110" t="s">
        <v>6164</v>
      </c>
      <c r="F240" s="110" t="s">
        <v>6165</v>
      </c>
      <c r="G240" s="110" t="s">
        <v>6166</v>
      </c>
      <c r="H240" s="110" t="s">
        <v>146</v>
      </c>
    </row>
    <row r="241" spans="1:8" ht="30">
      <c r="A241" s="110" t="s">
        <v>236</v>
      </c>
      <c r="B241" s="110" t="s">
        <v>553</v>
      </c>
      <c r="C241" s="110" t="s">
        <v>6362</v>
      </c>
      <c r="D241" s="110" t="s">
        <v>9317</v>
      </c>
      <c r="E241" s="110" t="s">
        <v>6164</v>
      </c>
      <c r="F241" s="110" t="s">
        <v>6165</v>
      </c>
      <c r="G241" s="110" t="s">
        <v>6166</v>
      </c>
      <c r="H241" s="110" t="s">
        <v>147</v>
      </c>
    </row>
    <row r="242" spans="1:8">
      <c r="A242" s="110" t="s">
        <v>234</v>
      </c>
      <c r="B242" s="110" t="s">
        <v>445</v>
      </c>
      <c r="C242" s="110" t="s">
        <v>9318</v>
      </c>
      <c r="D242" s="110" t="s">
        <v>9319</v>
      </c>
      <c r="E242" s="110" t="s">
        <v>6164</v>
      </c>
      <c r="F242" s="110" t="s">
        <v>6165</v>
      </c>
      <c r="G242" s="110" t="s">
        <v>6166</v>
      </c>
      <c r="H242" s="110" t="s">
        <v>146</v>
      </c>
    </row>
    <row r="243" spans="1:8">
      <c r="A243" s="110" t="s">
        <v>234</v>
      </c>
      <c r="B243" s="110" t="s">
        <v>553</v>
      </c>
      <c r="C243" s="110" t="s">
        <v>6363</v>
      </c>
      <c r="D243" s="110" t="s">
        <v>9320</v>
      </c>
      <c r="E243" s="110" t="s">
        <v>6164</v>
      </c>
      <c r="F243" s="110" t="s">
        <v>6165</v>
      </c>
      <c r="G243" s="110" t="s">
        <v>6166</v>
      </c>
      <c r="H243" s="110" t="s">
        <v>146</v>
      </c>
    </row>
    <row r="244" spans="1:8">
      <c r="A244" s="110" t="s">
        <v>232</v>
      </c>
      <c r="B244" s="110" t="s">
        <v>553</v>
      </c>
      <c r="C244" s="110" t="s">
        <v>6364</v>
      </c>
      <c r="D244" s="110" t="s">
        <v>9321</v>
      </c>
      <c r="E244" s="110" t="s">
        <v>6164</v>
      </c>
      <c r="F244" s="110" t="s">
        <v>6165</v>
      </c>
      <c r="G244" s="110" t="s">
        <v>6166</v>
      </c>
      <c r="H244" s="110" t="s">
        <v>147</v>
      </c>
    </row>
    <row r="245" spans="1:8">
      <c r="A245" s="110" t="s">
        <v>237</v>
      </c>
      <c r="B245" s="110" t="s">
        <v>553</v>
      </c>
      <c r="C245" s="110" t="s">
        <v>6365</v>
      </c>
      <c r="D245" s="110" t="s">
        <v>9322</v>
      </c>
      <c r="E245" s="110" t="s">
        <v>6164</v>
      </c>
      <c r="F245" s="110" t="s">
        <v>6165</v>
      </c>
      <c r="G245" s="110" t="s">
        <v>6166</v>
      </c>
      <c r="H245" s="110" t="s">
        <v>147</v>
      </c>
    </row>
    <row r="246" spans="1:8">
      <c r="A246" s="110" t="s">
        <v>238</v>
      </c>
      <c r="B246" s="110" t="s">
        <v>553</v>
      </c>
      <c r="C246" s="110" t="s">
        <v>9323</v>
      </c>
      <c r="D246" s="110" t="s">
        <v>9324</v>
      </c>
      <c r="E246" s="110" t="s">
        <v>6164</v>
      </c>
      <c r="F246" s="110" t="s">
        <v>6165</v>
      </c>
      <c r="G246" s="110" t="s">
        <v>6166</v>
      </c>
      <c r="H246" s="110" t="s">
        <v>147</v>
      </c>
    </row>
    <row r="247" spans="1:8" ht="30">
      <c r="A247" s="110" t="s">
        <v>235</v>
      </c>
      <c r="B247" s="110" t="s">
        <v>657</v>
      </c>
      <c r="C247" s="110" t="s">
        <v>6366</v>
      </c>
      <c r="D247" s="110" t="s">
        <v>9325</v>
      </c>
      <c r="E247" s="110" t="s">
        <v>6164</v>
      </c>
      <c r="F247" s="110" t="s">
        <v>6165</v>
      </c>
      <c r="G247" s="110" t="s">
        <v>6166</v>
      </c>
      <c r="H247" s="110" t="s">
        <v>146</v>
      </c>
    </row>
    <row r="248" spans="1:8" ht="30">
      <c r="A248" s="110" t="s">
        <v>235</v>
      </c>
      <c r="B248" s="110" t="s">
        <v>658</v>
      </c>
      <c r="C248" s="110" t="s">
        <v>6367</v>
      </c>
      <c r="D248" s="110" t="s">
        <v>9326</v>
      </c>
      <c r="E248" s="110" t="s">
        <v>6164</v>
      </c>
      <c r="F248" s="110" t="s">
        <v>6165</v>
      </c>
      <c r="G248" s="110" t="s">
        <v>6166</v>
      </c>
      <c r="H248" s="110" t="s">
        <v>146</v>
      </c>
    </row>
    <row r="249" spans="1:8" ht="30">
      <c r="A249" s="110" t="s">
        <v>235</v>
      </c>
      <c r="B249" s="110" t="s">
        <v>82</v>
      </c>
      <c r="C249" s="110" t="s">
        <v>6368</v>
      </c>
      <c r="D249" s="110" t="s">
        <v>9327</v>
      </c>
      <c r="E249" s="110" t="s">
        <v>6164</v>
      </c>
      <c r="F249" s="110" t="s">
        <v>6165</v>
      </c>
      <c r="G249" s="110" t="s">
        <v>6166</v>
      </c>
      <c r="H249" s="110" t="s">
        <v>146</v>
      </c>
    </row>
    <row r="250" spans="1:8">
      <c r="A250" s="110" t="s">
        <v>156</v>
      </c>
      <c r="B250" s="110" t="s">
        <v>84</v>
      </c>
      <c r="C250" s="110" t="s">
        <v>6369</v>
      </c>
      <c r="D250" s="110" t="s">
        <v>9328</v>
      </c>
      <c r="E250" s="110" t="s">
        <v>6164</v>
      </c>
      <c r="F250" s="110" t="s">
        <v>6165</v>
      </c>
      <c r="G250" s="110" t="s">
        <v>6166</v>
      </c>
      <c r="H250" s="110" t="s">
        <v>146</v>
      </c>
    </row>
    <row r="251" spans="1:8" ht="30">
      <c r="A251" s="110" t="s">
        <v>156</v>
      </c>
      <c r="B251" s="110" t="s">
        <v>86</v>
      </c>
      <c r="C251" s="110" t="s">
        <v>9329</v>
      </c>
      <c r="D251" s="110" t="s">
        <v>9330</v>
      </c>
      <c r="E251" s="110" t="s">
        <v>6164</v>
      </c>
      <c r="F251" s="110" t="s">
        <v>6165</v>
      </c>
      <c r="G251" s="110" t="s">
        <v>6166</v>
      </c>
      <c r="H251" s="110" t="s">
        <v>146</v>
      </c>
    </row>
    <row r="252" spans="1:8">
      <c r="A252" s="110" t="s">
        <v>208</v>
      </c>
      <c r="B252" s="110" t="s">
        <v>659</v>
      </c>
      <c r="C252" s="110" t="s">
        <v>6370</v>
      </c>
      <c r="D252" s="110" t="s">
        <v>9331</v>
      </c>
      <c r="E252" s="110" t="s">
        <v>6164</v>
      </c>
      <c r="F252" s="110" t="s">
        <v>6165</v>
      </c>
      <c r="G252" s="110" t="s">
        <v>6166</v>
      </c>
      <c r="H252" s="110" t="s">
        <v>140</v>
      </c>
    </row>
    <row r="253" spans="1:8">
      <c r="A253" s="110" t="s">
        <v>296</v>
      </c>
      <c r="B253" s="110" t="s">
        <v>660</v>
      </c>
      <c r="C253" s="110" t="s">
        <v>6371</v>
      </c>
      <c r="D253" s="110" t="s">
        <v>9332</v>
      </c>
      <c r="E253" s="110" t="s">
        <v>6164</v>
      </c>
      <c r="F253" s="110" t="s">
        <v>6165</v>
      </c>
      <c r="G253" s="110" t="s">
        <v>6166</v>
      </c>
      <c r="H253" s="110" t="s">
        <v>146</v>
      </c>
    </row>
    <row r="254" spans="1:8">
      <c r="A254" s="110" t="s">
        <v>297</v>
      </c>
      <c r="B254" s="110" t="s">
        <v>661</v>
      </c>
      <c r="C254" s="110" t="s">
        <v>6372</v>
      </c>
      <c r="D254" s="110" t="s">
        <v>9333</v>
      </c>
      <c r="E254" s="110" t="s">
        <v>6164</v>
      </c>
      <c r="F254" s="110" t="s">
        <v>6165</v>
      </c>
      <c r="G254" s="110" t="s">
        <v>6166</v>
      </c>
      <c r="H254" s="110" t="s">
        <v>146</v>
      </c>
    </row>
    <row r="255" spans="1:8">
      <c r="A255" s="110" t="s">
        <v>300</v>
      </c>
      <c r="B255" s="110" t="s">
        <v>91</v>
      </c>
      <c r="C255" s="110" t="s">
        <v>6373</v>
      </c>
      <c r="D255" s="110" t="s">
        <v>9334</v>
      </c>
      <c r="E255" s="110" t="s">
        <v>6164</v>
      </c>
      <c r="F255" s="110" t="s">
        <v>6165</v>
      </c>
      <c r="G255" s="110" t="s">
        <v>6166</v>
      </c>
      <c r="H255" s="110" t="s">
        <v>146</v>
      </c>
    </row>
    <row r="256" spans="1:8" ht="30">
      <c r="A256" s="110" t="s">
        <v>299</v>
      </c>
      <c r="B256" s="110" t="s">
        <v>662</v>
      </c>
      <c r="C256" s="110" t="s">
        <v>6374</v>
      </c>
      <c r="D256" s="110" t="s">
        <v>9335</v>
      </c>
      <c r="E256" s="110" t="s">
        <v>6164</v>
      </c>
      <c r="F256" s="110" t="s">
        <v>6165</v>
      </c>
      <c r="G256" s="110" t="s">
        <v>6166</v>
      </c>
      <c r="H256" s="110" t="s">
        <v>146</v>
      </c>
    </row>
    <row r="257" spans="1:8">
      <c r="A257" s="110" t="s">
        <v>298</v>
      </c>
      <c r="B257" s="110" t="s">
        <v>200</v>
      </c>
      <c r="C257" s="110" t="s">
        <v>6375</v>
      </c>
      <c r="D257" s="110" t="s">
        <v>9336</v>
      </c>
      <c r="E257" s="110" t="s">
        <v>6164</v>
      </c>
      <c r="F257" s="110" t="s">
        <v>6165</v>
      </c>
      <c r="G257" s="110" t="s">
        <v>6166</v>
      </c>
      <c r="H257" s="110" t="s">
        <v>146</v>
      </c>
    </row>
    <row r="258" spans="1:8" ht="30">
      <c r="A258" s="110" t="s">
        <v>223</v>
      </c>
      <c r="B258" s="110" t="s">
        <v>440</v>
      </c>
      <c r="C258" s="110" t="s">
        <v>6376</v>
      </c>
      <c r="D258" s="110" t="s">
        <v>9337</v>
      </c>
      <c r="E258" s="110" t="s">
        <v>6164</v>
      </c>
      <c r="F258" s="110" t="s">
        <v>6165</v>
      </c>
      <c r="G258" s="110" t="s">
        <v>6166</v>
      </c>
      <c r="H258" s="110" t="s">
        <v>142</v>
      </c>
    </row>
    <row r="259" spans="1:8" ht="30">
      <c r="A259" s="110" t="s">
        <v>224</v>
      </c>
      <c r="B259" s="110" t="s">
        <v>440</v>
      </c>
      <c r="C259" s="110" t="s">
        <v>6377</v>
      </c>
      <c r="D259" s="110" t="s">
        <v>6378</v>
      </c>
      <c r="E259" s="110" t="s">
        <v>6164</v>
      </c>
      <c r="F259" s="110" t="s">
        <v>6165</v>
      </c>
      <c r="G259" s="110" t="s">
        <v>6166</v>
      </c>
      <c r="H259" s="110" t="s">
        <v>142</v>
      </c>
    </row>
    <row r="260" spans="1:8" ht="30">
      <c r="A260" s="110" t="s">
        <v>225</v>
      </c>
      <c r="B260" s="110" t="s">
        <v>367</v>
      </c>
      <c r="C260" s="110" t="s">
        <v>6379</v>
      </c>
      <c r="D260" s="110" t="s">
        <v>9338</v>
      </c>
      <c r="E260" s="110" t="s">
        <v>6164</v>
      </c>
      <c r="F260" s="110" t="s">
        <v>6165</v>
      </c>
      <c r="G260" s="110" t="s">
        <v>6166</v>
      </c>
      <c r="H260" s="110" t="s">
        <v>142</v>
      </c>
    </row>
    <row r="261" spans="1:8" ht="30">
      <c r="A261" s="110" t="s">
        <v>225</v>
      </c>
      <c r="B261" s="110" t="s">
        <v>440</v>
      </c>
      <c r="C261" s="110" t="s">
        <v>6380</v>
      </c>
      <c r="D261" s="110" t="s">
        <v>9339</v>
      </c>
      <c r="E261" s="110" t="s">
        <v>6164</v>
      </c>
      <c r="F261" s="110" t="s">
        <v>6165</v>
      </c>
      <c r="G261" s="110" t="s">
        <v>6166</v>
      </c>
      <c r="H261" s="110" t="s">
        <v>142</v>
      </c>
    </row>
    <row r="262" spans="1:8">
      <c r="A262" s="110" t="s">
        <v>227</v>
      </c>
      <c r="B262" s="110" t="s">
        <v>440</v>
      </c>
      <c r="C262" s="110" t="s">
        <v>6381</v>
      </c>
      <c r="D262" s="110" t="s">
        <v>9340</v>
      </c>
      <c r="E262" s="110" t="s">
        <v>6164</v>
      </c>
      <c r="F262" s="110" t="s">
        <v>6165</v>
      </c>
      <c r="G262" s="110" t="s">
        <v>6166</v>
      </c>
      <c r="H262" s="110" t="s">
        <v>142</v>
      </c>
    </row>
    <row r="263" spans="1:8" ht="30">
      <c r="A263" s="110" t="s">
        <v>226</v>
      </c>
      <c r="B263" s="110" t="s">
        <v>440</v>
      </c>
      <c r="C263" s="110" t="s">
        <v>6382</v>
      </c>
      <c r="D263" s="110" t="s">
        <v>9341</v>
      </c>
      <c r="E263" s="110" t="s">
        <v>6164</v>
      </c>
      <c r="F263" s="110" t="s">
        <v>6165</v>
      </c>
      <c r="G263" s="110" t="s">
        <v>6166</v>
      </c>
      <c r="H263" s="110" t="s">
        <v>142</v>
      </c>
    </row>
    <row r="264" spans="1:8" ht="45">
      <c r="A264" s="110" t="s">
        <v>231</v>
      </c>
      <c r="B264" s="110" t="s">
        <v>440</v>
      </c>
      <c r="C264" s="110" t="s">
        <v>6383</v>
      </c>
      <c r="D264" s="110" t="s">
        <v>9342</v>
      </c>
      <c r="E264" s="110" t="s">
        <v>6164</v>
      </c>
      <c r="F264" s="110" t="s">
        <v>6165</v>
      </c>
      <c r="G264" s="110" t="s">
        <v>6166</v>
      </c>
      <c r="H264" s="110" t="s">
        <v>142</v>
      </c>
    </row>
    <row r="265" spans="1:8" ht="30">
      <c r="A265" s="110" t="s">
        <v>228</v>
      </c>
      <c r="B265" s="110" t="s">
        <v>440</v>
      </c>
      <c r="C265" s="110" t="s">
        <v>6384</v>
      </c>
      <c r="D265" s="110" t="s">
        <v>9343</v>
      </c>
      <c r="E265" s="110" t="s">
        <v>6164</v>
      </c>
      <c r="F265" s="110" t="s">
        <v>6165</v>
      </c>
      <c r="G265" s="110" t="s">
        <v>6166</v>
      </c>
      <c r="H265" s="110" t="s">
        <v>142</v>
      </c>
    </row>
    <row r="266" spans="1:8">
      <c r="A266" s="110" t="s">
        <v>229</v>
      </c>
      <c r="B266" s="110" t="s">
        <v>682</v>
      </c>
      <c r="C266" s="110" t="s">
        <v>6385</v>
      </c>
      <c r="D266" s="110" t="s">
        <v>9344</v>
      </c>
      <c r="E266" s="110" t="s">
        <v>6164</v>
      </c>
      <c r="F266" s="110" t="s">
        <v>6165</v>
      </c>
      <c r="G266" s="110" t="s">
        <v>6333</v>
      </c>
      <c r="H266" s="110" t="s">
        <v>142</v>
      </c>
    </row>
    <row r="267" spans="1:8">
      <c r="A267" s="110" t="s">
        <v>152</v>
      </c>
      <c r="B267" s="110" t="s">
        <v>663</v>
      </c>
      <c r="C267" s="110" t="s">
        <v>6386</v>
      </c>
      <c r="D267" s="110" t="s">
        <v>9345</v>
      </c>
      <c r="E267" s="110" t="s">
        <v>6164</v>
      </c>
      <c r="F267" s="110" t="s">
        <v>6165</v>
      </c>
      <c r="G267" s="110" t="s">
        <v>6166</v>
      </c>
      <c r="H267" s="110" t="s">
        <v>142</v>
      </c>
    </row>
    <row r="268" spans="1:8">
      <c r="A268" s="110" t="s">
        <v>647</v>
      </c>
      <c r="B268" s="110" t="s">
        <v>673</v>
      </c>
      <c r="C268" s="110" t="s">
        <v>6387</v>
      </c>
      <c r="D268" s="110" t="s">
        <v>6388</v>
      </c>
      <c r="E268" s="110" t="s">
        <v>6164</v>
      </c>
      <c r="F268" s="110" t="s">
        <v>6165</v>
      </c>
      <c r="G268" s="110" t="s">
        <v>6333</v>
      </c>
      <c r="H268" s="110" t="s">
        <v>682</v>
      </c>
    </row>
    <row r="269" spans="1:8">
      <c r="A269" s="110" t="s">
        <v>155</v>
      </c>
      <c r="B269" s="110" t="s">
        <v>100</v>
      </c>
      <c r="C269" s="110" t="s">
        <v>6389</v>
      </c>
      <c r="D269" s="110" t="s">
        <v>6390</v>
      </c>
      <c r="E269" s="110" t="s">
        <v>6164</v>
      </c>
      <c r="F269" s="110" t="s">
        <v>6165</v>
      </c>
      <c r="G269" s="110" t="s">
        <v>6166</v>
      </c>
      <c r="H269" s="110" t="s">
        <v>145</v>
      </c>
    </row>
    <row r="270" spans="1:8">
      <c r="A270" s="110" t="s">
        <v>155</v>
      </c>
      <c r="B270" s="110" t="s">
        <v>664</v>
      </c>
      <c r="C270" s="110" t="s">
        <v>6391</v>
      </c>
      <c r="D270" s="110" t="s">
        <v>6392</v>
      </c>
      <c r="E270" s="110" t="s">
        <v>6164</v>
      </c>
      <c r="F270" s="110" t="s">
        <v>6165</v>
      </c>
      <c r="G270" s="110" t="s">
        <v>6166</v>
      </c>
      <c r="H270" s="110" t="s">
        <v>145</v>
      </c>
    </row>
    <row r="271" spans="1:8">
      <c r="A271" s="110" t="s">
        <v>155</v>
      </c>
      <c r="B271" s="110" t="s">
        <v>665</v>
      </c>
      <c r="C271" s="110" t="s">
        <v>6393</v>
      </c>
      <c r="D271" s="110" t="s">
        <v>6394</v>
      </c>
      <c r="E271" s="110" t="s">
        <v>6164</v>
      </c>
      <c r="F271" s="110" t="s">
        <v>6165</v>
      </c>
      <c r="G271" s="110" t="s">
        <v>6166</v>
      </c>
      <c r="H271" s="110" t="s">
        <v>145</v>
      </c>
    </row>
    <row r="272" spans="1:8">
      <c r="A272" s="110" t="s">
        <v>155</v>
      </c>
      <c r="B272" s="110" t="s">
        <v>666</v>
      </c>
      <c r="C272" s="110" t="s">
        <v>6395</v>
      </c>
      <c r="D272" s="110" t="s">
        <v>6396</v>
      </c>
      <c r="E272" s="110" t="s">
        <v>6164</v>
      </c>
      <c r="F272" s="110" t="s">
        <v>6165</v>
      </c>
      <c r="G272" s="110" t="s">
        <v>6166</v>
      </c>
      <c r="H272" s="110" t="s">
        <v>145</v>
      </c>
    </row>
    <row r="273" spans="1:8">
      <c r="A273" s="110" t="s">
        <v>155</v>
      </c>
      <c r="B273" s="110" t="s">
        <v>667</v>
      </c>
      <c r="C273" s="110" t="s">
        <v>6397</v>
      </c>
      <c r="D273" s="110" t="s">
        <v>6398</v>
      </c>
      <c r="E273" s="110" t="s">
        <v>6164</v>
      </c>
      <c r="F273" s="110" t="s">
        <v>6165</v>
      </c>
      <c r="G273" s="110" t="s">
        <v>6166</v>
      </c>
      <c r="H273" s="110" t="s">
        <v>145</v>
      </c>
    </row>
    <row r="274" spans="1:8">
      <c r="A274" s="110" t="s">
        <v>155</v>
      </c>
      <c r="B274" s="110" t="s">
        <v>668</v>
      </c>
      <c r="C274" s="110" t="s">
        <v>9346</v>
      </c>
      <c r="D274" s="110" t="s">
        <v>9347</v>
      </c>
      <c r="E274" s="110" t="s">
        <v>6164</v>
      </c>
      <c r="F274" s="110" t="s">
        <v>6165</v>
      </c>
      <c r="G274" s="110" t="s">
        <v>6166</v>
      </c>
      <c r="H274" s="110" t="s">
        <v>145</v>
      </c>
    </row>
    <row r="275" spans="1:8">
      <c r="A275" s="110" t="s">
        <v>317</v>
      </c>
      <c r="B275" s="110" t="s">
        <v>669</v>
      </c>
      <c r="C275" s="110" t="s">
        <v>6399</v>
      </c>
      <c r="D275" s="110" t="s">
        <v>9348</v>
      </c>
      <c r="E275" s="110" t="s">
        <v>6164</v>
      </c>
      <c r="F275" s="110" t="s">
        <v>6165</v>
      </c>
      <c r="G275" s="110" t="s">
        <v>6166</v>
      </c>
      <c r="H275" s="110" t="s">
        <v>150</v>
      </c>
    </row>
    <row r="276" spans="1:8" ht="30">
      <c r="A276" s="110" t="s">
        <v>318</v>
      </c>
      <c r="B276" s="110" t="s">
        <v>669</v>
      </c>
      <c r="C276" s="110" t="s">
        <v>6400</v>
      </c>
      <c r="D276" s="110" t="s">
        <v>9349</v>
      </c>
      <c r="E276" s="110" t="s">
        <v>6164</v>
      </c>
      <c r="F276" s="110" t="s">
        <v>6165</v>
      </c>
      <c r="G276" s="110" t="s">
        <v>6166</v>
      </c>
      <c r="H276" s="110" t="s">
        <v>150</v>
      </c>
    </row>
    <row r="277" spans="1:8" ht="30">
      <c r="A277" s="110" t="s">
        <v>319</v>
      </c>
      <c r="B277" s="110" t="s">
        <v>669</v>
      </c>
      <c r="C277" s="110" t="s">
        <v>6401</v>
      </c>
      <c r="D277" s="110" t="s">
        <v>9350</v>
      </c>
      <c r="E277" s="110" t="s">
        <v>6164</v>
      </c>
      <c r="F277" s="110" t="s">
        <v>6165</v>
      </c>
      <c r="G277" s="110" t="s">
        <v>6166</v>
      </c>
      <c r="H277" s="110" t="s">
        <v>150</v>
      </c>
    </row>
    <row r="278" spans="1:8">
      <c r="A278" s="110" t="s">
        <v>647</v>
      </c>
      <c r="B278" s="110" t="s">
        <v>670</v>
      </c>
      <c r="C278" s="110" t="s">
        <v>6402</v>
      </c>
      <c r="D278" s="110" t="s">
        <v>9351</v>
      </c>
      <c r="E278" s="110" t="s">
        <v>6164</v>
      </c>
      <c r="F278" s="110" t="s">
        <v>6165</v>
      </c>
      <c r="G278" s="110" t="s">
        <v>6333</v>
      </c>
      <c r="H278" s="110" t="s">
        <v>682</v>
      </c>
    </row>
    <row r="279" spans="1:8">
      <c r="A279" s="110" t="s">
        <v>647</v>
      </c>
      <c r="B279" s="110" t="s">
        <v>671</v>
      </c>
      <c r="C279" s="110" t="s">
        <v>6403</v>
      </c>
      <c r="D279" s="110" t="s">
        <v>9352</v>
      </c>
      <c r="E279" s="110" t="s">
        <v>6164</v>
      </c>
      <c r="F279" s="110" t="s">
        <v>6165</v>
      </c>
      <c r="G279" s="110" t="s">
        <v>6333</v>
      </c>
      <c r="H279" s="110" t="s">
        <v>682</v>
      </c>
    </row>
    <row r="280" spans="1:8">
      <c r="A280" s="110" t="s">
        <v>647</v>
      </c>
      <c r="B280" s="110" t="s">
        <v>672</v>
      </c>
      <c r="C280" s="110" t="s">
        <v>6404</v>
      </c>
      <c r="D280" s="110" t="s">
        <v>9353</v>
      </c>
      <c r="E280" s="110" t="s">
        <v>6164</v>
      </c>
      <c r="F280" s="110" t="s">
        <v>6165</v>
      </c>
      <c r="G280" s="110" t="s">
        <v>6333</v>
      </c>
      <c r="H280" s="110" t="s">
        <v>682</v>
      </c>
    </row>
    <row r="281" spans="1:8">
      <c r="A281" s="110" t="s">
        <v>647</v>
      </c>
      <c r="B281" s="110" t="s">
        <v>114</v>
      </c>
      <c r="C281" s="110" t="s">
        <v>6405</v>
      </c>
      <c r="D281" s="110" t="s">
        <v>9354</v>
      </c>
      <c r="E281" s="110" t="s">
        <v>6164</v>
      </c>
      <c r="F281" s="110" t="s">
        <v>6165</v>
      </c>
      <c r="G281" s="110" t="s">
        <v>6333</v>
      </c>
      <c r="H281" s="110" t="s">
        <v>682</v>
      </c>
    </row>
    <row r="282" spans="1:8">
      <c r="A282" s="110" t="s">
        <v>647</v>
      </c>
      <c r="B282" s="110" t="s">
        <v>674</v>
      </c>
      <c r="C282" s="110" t="s">
        <v>6406</v>
      </c>
      <c r="D282" s="110" t="s">
        <v>9355</v>
      </c>
      <c r="E282" s="110" t="s">
        <v>6164</v>
      </c>
      <c r="F282" s="110" t="s">
        <v>6165</v>
      </c>
      <c r="G282" s="110" t="s">
        <v>6333</v>
      </c>
      <c r="H282" s="110" t="s">
        <v>682</v>
      </c>
    </row>
    <row r="283" spans="1:8">
      <c r="A283" s="110" t="s">
        <v>647</v>
      </c>
      <c r="B283" s="110" t="s">
        <v>675</v>
      </c>
      <c r="C283" s="110" t="s">
        <v>6407</v>
      </c>
      <c r="D283" s="110" t="s">
        <v>9356</v>
      </c>
      <c r="E283" s="110" t="s">
        <v>6164</v>
      </c>
      <c r="F283" s="110" t="s">
        <v>6165</v>
      </c>
      <c r="G283" s="110" t="s">
        <v>6333</v>
      </c>
      <c r="H283" s="110" t="s">
        <v>682</v>
      </c>
    </row>
    <row r="284" spans="1:8">
      <c r="A284" s="110" t="s">
        <v>647</v>
      </c>
      <c r="B284" s="110" t="s">
        <v>281</v>
      </c>
      <c r="C284" s="110" t="s">
        <v>6408</v>
      </c>
      <c r="D284" s="110" t="s">
        <v>9357</v>
      </c>
      <c r="E284" s="110" t="s">
        <v>6164</v>
      </c>
      <c r="F284" s="110" t="s">
        <v>6165</v>
      </c>
      <c r="G284" s="110" t="s">
        <v>6333</v>
      </c>
      <c r="H284" s="110" t="s">
        <v>682</v>
      </c>
    </row>
    <row r="285" spans="1:8">
      <c r="A285" s="110" t="s">
        <v>647</v>
      </c>
      <c r="B285" s="110" t="s">
        <v>119</v>
      </c>
      <c r="C285" s="110" t="s">
        <v>6409</v>
      </c>
      <c r="D285" s="110" t="s">
        <v>9358</v>
      </c>
      <c r="E285" s="110" t="s">
        <v>6164</v>
      </c>
      <c r="F285" s="110" t="s">
        <v>6165</v>
      </c>
      <c r="G285" s="110" t="s">
        <v>6333</v>
      </c>
      <c r="H285" s="110" t="s">
        <v>682</v>
      </c>
    </row>
    <row r="286" spans="1:8">
      <c r="A286" s="110" t="s">
        <v>647</v>
      </c>
      <c r="B286" s="110" t="s">
        <v>676</v>
      </c>
      <c r="C286" s="110" t="s">
        <v>6410</v>
      </c>
      <c r="D286" s="110" t="s">
        <v>9359</v>
      </c>
      <c r="E286" s="110" t="s">
        <v>6164</v>
      </c>
      <c r="F286" s="110" t="s">
        <v>6165</v>
      </c>
      <c r="G286" s="110" t="s">
        <v>6333</v>
      </c>
      <c r="H286" s="110" t="s">
        <v>682</v>
      </c>
    </row>
    <row r="287" spans="1:8">
      <c r="A287" s="110" t="s">
        <v>647</v>
      </c>
      <c r="B287" s="110" t="s">
        <v>677</v>
      </c>
      <c r="C287" s="110" t="s">
        <v>6411</v>
      </c>
      <c r="D287" s="110" t="s">
        <v>6412</v>
      </c>
      <c r="E287" s="110" t="s">
        <v>6164</v>
      </c>
      <c r="F287" s="110" t="s">
        <v>6165</v>
      </c>
      <c r="G287" s="110" t="s">
        <v>6333</v>
      </c>
      <c r="H287" s="110" t="s">
        <v>682</v>
      </c>
    </row>
    <row r="288" spans="1:8">
      <c r="A288" s="110" t="s">
        <v>647</v>
      </c>
      <c r="B288" s="110" t="s">
        <v>375</v>
      </c>
      <c r="C288" s="110" t="s">
        <v>6413</v>
      </c>
      <c r="D288" s="110" t="s">
        <v>6414</v>
      </c>
      <c r="E288" s="110" t="s">
        <v>6164</v>
      </c>
      <c r="F288" s="110" t="s">
        <v>6165</v>
      </c>
      <c r="G288" s="110" t="s">
        <v>6333</v>
      </c>
      <c r="H288" s="110" t="s">
        <v>682</v>
      </c>
    </row>
    <row r="289" spans="1:8" ht="30">
      <c r="A289" s="110" t="s">
        <v>647</v>
      </c>
      <c r="B289" s="110" t="s">
        <v>678</v>
      </c>
      <c r="C289" s="110" t="s">
        <v>6415</v>
      </c>
      <c r="D289" s="110" t="s">
        <v>6416</v>
      </c>
      <c r="E289" s="110" t="s">
        <v>6164</v>
      </c>
      <c r="F289" s="110" t="s">
        <v>6165</v>
      </c>
      <c r="G289" s="110" t="s">
        <v>6333</v>
      </c>
      <c r="H289" s="110" t="s">
        <v>682</v>
      </c>
    </row>
    <row r="290" spans="1:8">
      <c r="A290" s="110" t="s">
        <v>157</v>
      </c>
      <c r="B290" s="110" t="s">
        <v>679</v>
      </c>
      <c r="C290" s="110" t="s">
        <v>6417</v>
      </c>
      <c r="D290" s="110" t="s">
        <v>9360</v>
      </c>
      <c r="E290" s="110" t="s">
        <v>6164</v>
      </c>
      <c r="F290" s="110" t="s">
        <v>6165</v>
      </c>
      <c r="G290" s="110" t="s">
        <v>6166</v>
      </c>
      <c r="H290" s="110" t="s">
        <v>148</v>
      </c>
    </row>
    <row r="291" spans="1:8">
      <c r="A291" s="110" t="s">
        <v>157</v>
      </c>
      <c r="B291" s="110" t="s">
        <v>680</v>
      </c>
      <c r="C291" s="110" t="s">
        <v>9361</v>
      </c>
      <c r="D291" s="110" t="s">
        <v>9362</v>
      </c>
      <c r="E291" s="110" t="s">
        <v>6164</v>
      </c>
      <c r="F291" s="110" t="s">
        <v>6165</v>
      </c>
      <c r="G291" s="110" t="s">
        <v>6166</v>
      </c>
      <c r="H291" s="110" t="s">
        <v>148</v>
      </c>
    </row>
    <row r="292" spans="1:8">
      <c r="A292" s="110" t="s">
        <v>153</v>
      </c>
      <c r="B292" s="110" t="s">
        <v>128</v>
      </c>
      <c r="C292" s="110" t="s">
        <v>6418</v>
      </c>
      <c r="D292" s="110" t="s">
        <v>6419</v>
      </c>
      <c r="E292" s="110" t="s">
        <v>6164</v>
      </c>
      <c r="F292" s="110" t="s">
        <v>6165</v>
      </c>
      <c r="G292" s="110" t="s">
        <v>6166</v>
      </c>
      <c r="H292" s="110" t="s">
        <v>143</v>
      </c>
    </row>
    <row r="293" spans="1:8">
      <c r="A293" s="110" t="s">
        <v>153</v>
      </c>
      <c r="B293" s="110" t="s">
        <v>130</v>
      </c>
      <c r="C293" s="110" t="s">
        <v>6420</v>
      </c>
      <c r="D293" s="110" t="s">
        <v>6421</v>
      </c>
      <c r="E293" s="110" t="s">
        <v>6164</v>
      </c>
      <c r="F293" s="110" t="s">
        <v>6165</v>
      </c>
      <c r="G293" s="110" t="s">
        <v>6166</v>
      </c>
      <c r="H293" s="110" t="s">
        <v>143</v>
      </c>
    </row>
  </sheetData>
  <autoFilter ref="A4:H293" xr:uid="{7CB1E647-50C2-4A39-A743-1B2992131B8E}"/>
  <mergeCells count="2">
    <mergeCell ref="A1:H1"/>
    <mergeCell ref="A2:H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13F1D-77BF-4335-9CE8-AADE04DBCCD2}">
  <sheetPr codeName="Sheet6"/>
  <dimension ref="A1:C61"/>
  <sheetViews>
    <sheetView topLeftCell="A36" workbookViewId="0">
      <selection activeCell="A62" sqref="A62"/>
    </sheetView>
  </sheetViews>
  <sheetFormatPr defaultRowHeight="13.8"/>
  <cols>
    <col min="1" max="1" width="52" bestFit="1" customWidth="1"/>
    <col min="3" max="3" width="58.77734375" customWidth="1"/>
  </cols>
  <sheetData>
    <row r="1" spans="1:3">
      <c r="A1" t="s">
        <v>324</v>
      </c>
    </row>
    <row r="2" spans="1:3">
      <c r="A2" t="s">
        <v>175</v>
      </c>
    </row>
    <row r="3" spans="1:3">
      <c r="A3" t="s">
        <v>177</v>
      </c>
    </row>
    <row r="4" spans="1:3" ht="15">
      <c r="A4" t="s">
        <v>174</v>
      </c>
      <c r="C4" s="98" t="s">
        <v>3893</v>
      </c>
    </row>
    <row r="5" spans="1:3" ht="15">
      <c r="A5" t="s">
        <v>176</v>
      </c>
      <c r="C5" s="98" t="s">
        <v>9061</v>
      </c>
    </row>
    <row r="6" spans="1:3" ht="15">
      <c r="A6" t="s">
        <v>178</v>
      </c>
      <c r="C6" s="98" t="s">
        <v>3892</v>
      </c>
    </row>
    <row r="7" spans="1:3" ht="15">
      <c r="A7" t="s">
        <v>179</v>
      </c>
      <c r="C7" s="98" t="s">
        <v>348</v>
      </c>
    </row>
    <row r="8" spans="1:3">
      <c r="A8" t="s">
        <v>208</v>
      </c>
    </row>
    <row r="9" spans="1:3">
      <c r="A9" t="s">
        <v>209</v>
      </c>
    </row>
    <row r="10" spans="1:3">
      <c r="A10" t="s">
        <v>221</v>
      </c>
    </row>
    <row r="11" spans="1:3">
      <c r="A11" t="s">
        <v>222</v>
      </c>
    </row>
    <row r="12" spans="1:3">
      <c r="A12" t="s">
        <v>223</v>
      </c>
    </row>
    <row r="13" spans="1:3">
      <c r="A13" t="s">
        <v>225</v>
      </c>
    </row>
    <row r="14" spans="1:3">
      <c r="A14" t="s">
        <v>226</v>
      </c>
    </row>
    <row r="15" spans="1:3">
      <c r="A15" t="s">
        <v>227</v>
      </c>
    </row>
    <row r="16" spans="1:3">
      <c r="A16" t="s">
        <v>231</v>
      </c>
    </row>
    <row r="17" spans="1:1">
      <c r="A17" t="s">
        <v>228</v>
      </c>
    </row>
    <row r="18" spans="1:1">
      <c r="A18" t="s">
        <v>224</v>
      </c>
    </row>
    <row r="19" spans="1:1">
      <c r="A19" t="s">
        <v>229</v>
      </c>
    </row>
    <row r="20" spans="1:1">
      <c r="A20" t="s">
        <v>230</v>
      </c>
    </row>
    <row r="21" spans="1:1">
      <c r="A21" t="s">
        <v>154</v>
      </c>
    </row>
    <row r="22" spans="1:1">
      <c r="A22" t="s">
        <v>247</v>
      </c>
    </row>
    <row r="23" spans="1:1">
      <c r="A23" t="s">
        <v>248</v>
      </c>
    </row>
    <row r="24" spans="1:1">
      <c r="A24" t="s">
        <v>249</v>
      </c>
    </row>
    <row r="25" spans="1:1">
      <c r="A25" t="s">
        <v>250</v>
      </c>
    </row>
    <row r="26" spans="1:1">
      <c r="A26" t="s">
        <v>251</v>
      </c>
    </row>
    <row r="27" spans="1:1">
      <c r="A27" t="s">
        <v>252</v>
      </c>
    </row>
    <row r="28" spans="1:1">
      <c r="A28" t="s">
        <v>253</v>
      </c>
    </row>
    <row r="29" spans="1:1">
      <c r="A29" t="s">
        <v>254</v>
      </c>
    </row>
    <row r="30" spans="1:1">
      <c r="A30" t="s">
        <v>297</v>
      </c>
    </row>
    <row r="31" spans="1:1">
      <c r="A31" t="s">
        <v>299</v>
      </c>
    </row>
    <row r="32" spans="1:1">
      <c r="A32" t="s">
        <v>296</v>
      </c>
    </row>
    <row r="33" spans="1:1">
      <c r="A33" t="s">
        <v>300</v>
      </c>
    </row>
    <row r="34" spans="1:1">
      <c r="A34" t="s">
        <v>233</v>
      </c>
    </row>
    <row r="35" spans="1:1">
      <c r="A35" t="s">
        <v>234</v>
      </c>
    </row>
    <row r="36" spans="1:1">
      <c r="A36" t="s">
        <v>235</v>
      </c>
    </row>
    <row r="37" spans="1:1">
      <c r="A37" t="s">
        <v>298</v>
      </c>
    </row>
    <row r="38" spans="1:1">
      <c r="A38" t="s">
        <v>329</v>
      </c>
    </row>
    <row r="39" spans="1:1">
      <c r="A39" t="s">
        <v>232</v>
      </c>
    </row>
    <row r="40" spans="1:1">
      <c r="A40" t="s">
        <v>238</v>
      </c>
    </row>
    <row r="41" spans="1:1">
      <c r="A41" t="s">
        <v>326</v>
      </c>
    </row>
    <row r="42" spans="1:1">
      <c r="A42" t="s">
        <v>237</v>
      </c>
    </row>
    <row r="43" spans="1:1">
      <c r="A43" t="s">
        <v>236</v>
      </c>
    </row>
    <row r="44" spans="1:1">
      <c r="A44" t="s">
        <v>327</v>
      </c>
    </row>
    <row r="45" spans="1:1">
      <c r="A45" t="s">
        <v>328</v>
      </c>
    </row>
    <row r="46" spans="1:1">
      <c r="A46" t="s">
        <v>322</v>
      </c>
    </row>
    <row r="47" spans="1:1">
      <c r="A47" t="s">
        <v>310</v>
      </c>
    </row>
    <row r="48" spans="1:1">
      <c r="A48" t="s">
        <v>314</v>
      </c>
    </row>
    <row r="49" spans="1:1">
      <c r="A49" t="s">
        <v>308</v>
      </c>
    </row>
    <row r="50" spans="1:1">
      <c r="A50" t="s">
        <v>317</v>
      </c>
    </row>
    <row r="51" spans="1:1">
      <c r="A51" t="s">
        <v>319</v>
      </c>
    </row>
    <row r="52" spans="1:1">
      <c r="A52" t="s">
        <v>318</v>
      </c>
    </row>
    <row r="53" spans="1:1">
      <c r="A53" t="s">
        <v>316</v>
      </c>
    </row>
    <row r="54" spans="1:1">
      <c r="A54" t="s">
        <v>313</v>
      </c>
    </row>
    <row r="55" spans="1:1">
      <c r="A55" t="s">
        <v>307</v>
      </c>
    </row>
    <row r="56" spans="1:1">
      <c r="A56" t="s">
        <v>309</v>
      </c>
    </row>
    <row r="57" spans="1:1">
      <c r="A57" t="s">
        <v>305</v>
      </c>
    </row>
    <row r="58" spans="1:1">
      <c r="A58" t="s">
        <v>315</v>
      </c>
    </row>
    <row r="59" spans="1:1">
      <c r="A59" t="s">
        <v>312</v>
      </c>
    </row>
    <row r="60" spans="1:1">
      <c r="A60" t="s">
        <v>306</v>
      </c>
    </row>
    <row r="61" spans="1:1">
      <c r="A61" t="s">
        <v>311</v>
      </c>
    </row>
  </sheetData>
  <sortState xmlns:xlrd2="http://schemas.microsoft.com/office/spreadsheetml/2017/richdata2" ref="A2:A61">
    <sortCondition ref="A2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C228B-3FAA-4899-9218-1C0765A97112}">
  <sheetPr codeName="Sheet5"/>
  <dimension ref="A1:G1061"/>
  <sheetViews>
    <sheetView workbookViewId="0"/>
  </sheetViews>
  <sheetFormatPr defaultRowHeight="13.8"/>
  <sheetData>
    <row r="1" spans="1:7">
      <c r="A1" t="s">
        <v>324</v>
      </c>
      <c r="B1" t="s">
        <v>349</v>
      </c>
      <c r="C1" t="s">
        <v>350</v>
      </c>
      <c r="D1" t="s">
        <v>351</v>
      </c>
      <c r="G1" t="s">
        <v>597</v>
      </c>
    </row>
    <row r="2" spans="1:7">
      <c r="A2" t="s">
        <v>310</v>
      </c>
      <c r="B2" t="s">
        <v>352</v>
      </c>
      <c r="C2">
        <v>46580</v>
      </c>
      <c r="D2" t="s">
        <v>352</v>
      </c>
      <c r="G2" t="s">
        <v>5075</v>
      </c>
    </row>
    <row r="3" spans="1:7">
      <c r="A3" t="s">
        <v>310</v>
      </c>
      <c r="B3" t="s">
        <v>320</v>
      </c>
      <c r="C3">
        <v>46580</v>
      </c>
      <c r="D3" t="s">
        <v>352</v>
      </c>
      <c r="G3" s="99">
        <v>46304.503854166665</v>
      </c>
    </row>
    <row r="4" spans="1:7">
      <c r="A4" t="s">
        <v>310</v>
      </c>
      <c r="B4" t="s">
        <v>353</v>
      </c>
      <c r="C4">
        <v>46582</v>
      </c>
      <c r="D4" t="s">
        <v>352</v>
      </c>
    </row>
    <row r="5" spans="1:7">
      <c r="A5" t="s">
        <v>310</v>
      </c>
      <c r="B5" t="s">
        <v>354</v>
      </c>
      <c r="C5">
        <v>46584</v>
      </c>
      <c r="D5" t="s">
        <v>352</v>
      </c>
    </row>
    <row r="6" spans="1:7">
      <c r="A6" t="s">
        <v>310</v>
      </c>
      <c r="B6" t="s">
        <v>355</v>
      </c>
      <c r="C6">
        <v>46616</v>
      </c>
      <c r="D6" t="s">
        <v>352</v>
      </c>
    </row>
    <row r="7" spans="1:7">
      <c r="A7" t="s">
        <v>310</v>
      </c>
      <c r="B7" t="s">
        <v>356</v>
      </c>
      <c r="C7">
        <v>46623</v>
      </c>
      <c r="D7" t="s">
        <v>352</v>
      </c>
    </row>
    <row r="8" spans="1:7">
      <c r="A8" t="s">
        <v>310</v>
      </c>
      <c r="B8" t="s">
        <v>357</v>
      </c>
      <c r="C8">
        <v>46637</v>
      </c>
      <c r="D8" t="s">
        <v>352</v>
      </c>
    </row>
    <row r="9" spans="1:7">
      <c r="A9" t="s">
        <v>310</v>
      </c>
      <c r="B9" t="s">
        <v>358</v>
      </c>
      <c r="C9">
        <v>46637</v>
      </c>
      <c r="D9" t="s">
        <v>352</v>
      </c>
    </row>
    <row r="10" spans="1:7">
      <c r="A10" t="s">
        <v>310</v>
      </c>
      <c r="B10" t="s">
        <v>359</v>
      </c>
      <c r="C10">
        <v>46645</v>
      </c>
      <c r="D10" t="s">
        <v>352</v>
      </c>
    </row>
    <row r="11" spans="1:7">
      <c r="A11" t="s">
        <v>310</v>
      </c>
      <c r="B11" t="s">
        <v>360</v>
      </c>
      <c r="C11">
        <v>46623</v>
      </c>
      <c r="D11" t="s">
        <v>352</v>
      </c>
    </row>
    <row r="12" spans="1:7">
      <c r="A12" t="s">
        <v>310</v>
      </c>
      <c r="B12" t="s">
        <v>361</v>
      </c>
      <c r="C12">
        <v>46644</v>
      </c>
      <c r="D12" t="s">
        <v>352</v>
      </c>
    </row>
    <row r="13" spans="1:7">
      <c r="A13" t="s">
        <v>223</v>
      </c>
      <c r="B13" t="s">
        <v>352</v>
      </c>
      <c r="C13">
        <v>46535</v>
      </c>
      <c r="D13" t="s">
        <v>352</v>
      </c>
    </row>
    <row r="14" spans="1:7">
      <c r="A14" t="s">
        <v>223</v>
      </c>
      <c r="B14" t="s">
        <v>362</v>
      </c>
      <c r="C14">
        <v>46535</v>
      </c>
      <c r="D14" t="s">
        <v>352</v>
      </c>
    </row>
    <row r="15" spans="1:7">
      <c r="A15" t="s">
        <v>223</v>
      </c>
      <c r="B15" t="s">
        <v>363</v>
      </c>
      <c r="C15">
        <v>46538</v>
      </c>
      <c r="D15" t="s">
        <v>352</v>
      </c>
    </row>
    <row r="16" spans="1:7">
      <c r="A16" t="s">
        <v>223</v>
      </c>
      <c r="B16" t="s">
        <v>364</v>
      </c>
      <c r="C16">
        <v>46550</v>
      </c>
      <c r="D16" t="s">
        <v>352</v>
      </c>
    </row>
    <row r="17" spans="1:4">
      <c r="A17" t="s">
        <v>223</v>
      </c>
      <c r="B17" t="s">
        <v>365</v>
      </c>
      <c r="C17">
        <v>46544</v>
      </c>
      <c r="D17" t="s">
        <v>352</v>
      </c>
    </row>
    <row r="18" spans="1:4">
      <c r="A18" t="s">
        <v>223</v>
      </c>
      <c r="B18" t="s">
        <v>366</v>
      </c>
      <c r="C18">
        <v>46547</v>
      </c>
      <c r="D18" t="s">
        <v>352</v>
      </c>
    </row>
    <row r="19" spans="1:4">
      <c r="A19" t="s">
        <v>223</v>
      </c>
      <c r="B19" t="s">
        <v>119</v>
      </c>
      <c r="C19">
        <v>46558</v>
      </c>
      <c r="D19" t="s">
        <v>352</v>
      </c>
    </row>
    <row r="20" spans="1:4">
      <c r="A20" t="s">
        <v>223</v>
      </c>
      <c r="B20" t="s">
        <v>367</v>
      </c>
      <c r="C20">
        <v>46541</v>
      </c>
      <c r="D20" t="s">
        <v>352</v>
      </c>
    </row>
    <row r="21" spans="1:4">
      <c r="A21" t="s">
        <v>223</v>
      </c>
      <c r="B21" t="s">
        <v>368</v>
      </c>
      <c r="C21">
        <v>46544</v>
      </c>
      <c r="D21" t="s">
        <v>352</v>
      </c>
    </row>
    <row r="22" spans="1:4">
      <c r="A22" t="s">
        <v>223</v>
      </c>
      <c r="B22" t="s">
        <v>369</v>
      </c>
      <c r="C22">
        <v>46555</v>
      </c>
      <c r="D22" t="s">
        <v>352</v>
      </c>
    </row>
    <row r="23" spans="1:4">
      <c r="A23" t="s">
        <v>223</v>
      </c>
      <c r="B23" t="s">
        <v>370</v>
      </c>
      <c r="C23">
        <v>46542</v>
      </c>
      <c r="D23" t="s">
        <v>352</v>
      </c>
    </row>
    <row r="24" spans="1:4">
      <c r="A24" t="s">
        <v>223</v>
      </c>
      <c r="B24" t="s">
        <v>371</v>
      </c>
      <c r="C24">
        <v>46555</v>
      </c>
      <c r="D24" t="s">
        <v>352</v>
      </c>
    </row>
    <row r="25" spans="1:4">
      <c r="A25" t="s">
        <v>223</v>
      </c>
      <c r="B25" t="s">
        <v>372</v>
      </c>
      <c r="C25">
        <v>46552</v>
      </c>
      <c r="D25" t="s">
        <v>352</v>
      </c>
    </row>
    <row r="26" spans="1:4">
      <c r="A26" t="s">
        <v>223</v>
      </c>
      <c r="B26" t="s">
        <v>373</v>
      </c>
      <c r="C26">
        <v>46552</v>
      </c>
      <c r="D26" t="s">
        <v>352</v>
      </c>
    </row>
    <row r="27" spans="1:4">
      <c r="A27" t="s">
        <v>223</v>
      </c>
      <c r="B27" t="s">
        <v>374</v>
      </c>
      <c r="C27">
        <v>46552</v>
      </c>
      <c r="D27" t="s">
        <v>352</v>
      </c>
    </row>
    <row r="28" spans="1:4">
      <c r="A28" t="s">
        <v>223</v>
      </c>
      <c r="B28" t="s">
        <v>375</v>
      </c>
      <c r="C28">
        <v>46596</v>
      </c>
      <c r="D28" t="s">
        <v>352</v>
      </c>
    </row>
    <row r="29" spans="1:4">
      <c r="A29" t="s">
        <v>223</v>
      </c>
      <c r="B29" t="s">
        <v>376</v>
      </c>
      <c r="C29">
        <v>46552</v>
      </c>
      <c r="D29" t="s">
        <v>352</v>
      </c>
    </row>
    <row r="30" spans="1:4">
      <c r="A30" t="s">
        <v>223</v>
      </c>
      <c r="B30" t="s">
        <v>377</v>
      </c>
      <c r="C30">
        <v>46550</v>
      </c>
      <c r="D30" t="s">
        <v>352</v>
      </c>
    </row>
    <row r="31" spans="1:4">
      <c r="A31" t="s">
        <v>223</v>
      </c>
      <c r="B31" t="s">
        <v>378</v>
      </c>
      <c r="C31">
        <v>46569</v>
      </c>
      <c r="D31" t="s">
        <v>352</v>
      </c>
    </row>
    <row r="32" spans="1:4">
      <c r="A32" t="s">
        <v>223</v>
      </c>
      <c r="B32" t="s">
        <v>379</v>
      </c>
      <c r="C32">
        <v>46562</v>
      </c>
      <c r="D32" t="s">
        <v>352</v>
      </c>
    </row>
    <row r="33" spans="1:4">
      <c r="A33" t="s">
        <v>223</v>
      </c>
      <c r="B33" t="s">
        <v>380</v>
      </c>
      <c r="C33">
        <v>46581</v>
      </c>
      <c r="D33" t="s">
        <v>352</v>
      </c>
    </row>
    <row r="34" spans="1:4">
      <c r="A34" t="s">
        <v>223</v>
      </c>
      <c r="B34" t="s">
        <v>381</v>
      </c>
      <c r="C34">
        <v>46582</v>
      </c>
      <c r="D34" t="s">
        <v>352</v>
      </c>
    </row>
    <row r="35" spans="1:4">
      <c r="A35" t="s">
        <v>223</v>
      </c>
      <c r="B35" t="s">
        <v>382</v>
      </c>
      <c r="C35">
        <v>46597</v>
      </c>
      <c r="D35" t="s">
        <v>352</v>
      </c>
    </row>
    <row r="36" spans="1:4">
      <c r="A36" t="s">
        <v>223</v>
      </c>
      <c r="B36" t="s">
        <v>383</v>
      </c>
      <c r="C36">
        <v>46596</v>
      </c>
      <c r="D36" t="s">
        <v>352</v>
      </c>
    </row>
    <row r="37" spans="1:4">
      <c r="A37" t="s">
        <v>223</v>
      </c>
      <c r="B37" t="s">
        <v>384</v>
      </c>
      <c r="C37">
        <v>46597</v>
      </c>
      <c r="D37" t="s">
        <v>352</v>
      </c>
    </row>
    <row r="38" spans="1:4">
      <c r="A38" t="s">
        <v>224</v>
      </c>
      <c r="B38" t="s">
        <v>352</v>
      </c>
      <c r="C38">
        <v>46506</v>
      </c>
      <c r="D38" t="s">
        <v>352</v>
      </c>
    </row>
    <row r="39" spans="1:4">
      <c r="A39" t="s">
        <v>224</v>
      </c>
      <c r="B39" t="s">
        <v>362</v>
      </c>
      <c r="C39">
        <v>46506</v>
      </c>
      <c r="D39" t="s">
        <v>352</v>
      </c>
    </row>
    <row r="40" spans="1:4">
      <c r="A40" t="s">
        <v>224</v>
      </c>
      <c r="B40" t="s">
        <v>363</v>
      </c>
      <c r="C40">
        <v>46507</v>
      </c>
      <c r="D40" t="s">
        <v>352</v>
      </c>
    </row>
    <row r="41" spans="1:4">
      <c r="A41" t="s">
        <v>224</v>
      </c>
      <c r="B41" t="s">
        <v>364</v>
      </c>
      <c r="C41">
        <v>46530</v>
      </c>
      <c r="D41" t="s">
        <v>352</v>
      </c>
    </row>
    <row r="42" spans="1:4">
      <c r="A42" t="s">
        <v>224</v>
      </c>
      <c r="B42" t="s">
        <v>365</v>
      </c>
      <c r="C42">
        <v>46520</v>
      </c>
      <c r="D42" t="s">
        <v>352</v>
      </c>
    </row>
    <row r="43" spans="1:4">
      <c r="A43" t="s">
        <v>224</v>
      </c>
      <c r="B43" t="s">
        <v>366</v>
      </c>
      <c r="C43">
        <v>46528</v>
      </c>
      <c r="D43" t="s">
        <v>352</v>
      </c>
    </row>
    <row r="44" spans="1:4">
      <c r="A44" t="s">
        <v>224</v>
      </c>
      <c r="B44" t="s">
        <v>119</v>
      </c>
      <c r="C44">
        <v>46551</v>
      </c>
      <c r="D44" t="s">
        <v>352</v>
      </c>
    </row>
    <row r="45" spans="1:4">
      <c r="A45" t="s">
        <v>224</v>
      </c>
      <c r="B45" t="s">
        <v>367</v>
      </c>
      <c r="C45">
        <v>46513</v>
      </c>
      <c r="D45" t="s">
        <v>352</v>
      </c>
    </row>
    <row r="46" spans="1:4">
      <c r="A46" t="s">
        <v>224</v>
      </c>
      <c r="B46" t="s">
        <v>368</v>
      </c>
      <c r="C46">
        <v>46520</v>
      </c>
      <c r="D46" t="s">
        <v>352</v>
      </c>
    </row>
    <row r="47" spans="1:4">
      <c r="A47" t="s">
        <v>224</v>
      </c>
      <c r="B47" t="s">
        <v>369</v>
      </c>
      <c r="C47">
        <v>46546</v>
      </c>
      <c r="D47" t="s">
        <v>352</v>
      </c>
    </row>
    <row r="48" spans="1:4">
      <c r="A48" t="s">
        <v>224</v>
      </c>
      <c r="B48" t="s">
        <v>370</v>
      </c>
      <c r="C48">
        <v>46531</v>
      </c>
      <c r="D48" t="s">
        <v>352</v>
      </c>
    </row>
    <row r="49" spans="1:4">
      <c r="A49" t="s">
        <v>224</v>
      </c>
      <c r="B49" t="s">
        <v>371</v>
      </c>
      <c r="C49">
        <v>46553</v>
      </c>
      <c r="D49" t="s">
        <v>352</v>
      </c>
    </row>
    <row r="50" spans="1:4">
      <c r="A50" t="s">
        <v>224</v>
      </c>
      <c r="B50" t="s">
        <v>372</v>
      </c>
      <c r="C50">
        <v>46542</v>
      </c>
      <c r="D50" t="s">
        <v>352</v>
      </c>
    </row>
    <row r="51" spans="1:4">
      <c r="A51" t="s">
        <v>224</v>
      </c>
      <c r="B51" t="s">
        <v>373</v>
      </c>
      <c r="C51">
        <v>46542</v>
      </c>
      <c r="D51" t="s">
        <v>352</v>
      </c>
    </row>
    <row r="52" spans="1:4">
      <c r="A52" t="s">
        <v>224</v>
      </c>
      <c r="B52" t="s">
        <v>374</v>
      </c>
      <c r="C52">
        <v>46542</v>
      </c>
      <c r="D52" t="s">
        <v>352</v>
      </c>
    </row>
    <row r="53" spans="1:4">
      <c r="A53" t="s">
        <v>224</v>
      </c>
      <c r="B53" t="s">
        <v>375</v>
      </c>
      <c r="C53">
        <v>46594</v>
      </c>
      <c r="D53" t="s">
        <v>352</v>
      </c>
    </row>
    <row r="54" spans="1:4">
      <c r="A54" t="s">
        <v>224</v>
      </c>
      <c r="B54" t="s">
        <v>376</v>
      </c>
      <c r="C54">
        <v>46530</v>
      </c>
      <c r="D54" t="s">
        <v>352</v>
      </c>
    </row>
    <row r="55" spans="1:4">
      <c r="A55" t="s">
        <v>224</v>
      </c>
      <c r="B55" t="s">
        <v>377</v>
      </c>
      <c r="C55">
        <v>46524</v>
      </c>
      <c r="D55" t="s">
        <v>352</v>
      </c>
    </row>
    <row r="56" spans="1:4">
      <c r="A56" t="s">
        <v>224</v>
      </c>
      <c r="B56" t="s">
        <v>378</v>
      </c>
      <c r="C56">
        <v>46567</v>
      </c>
      <c r="D56" t="s">
        <v>352</v>
      </c>
    </row>
    <row r="57" spans="1:4">
      <c r="A57" t="s">
        <v>224</v>
      </c>
      <c r="B57" t="s">
        <v>379</v>
      </c>
      <c r="C57">
        <v>46560</v>
      </c>
      <c r="D57" t="s">
        <v>352</v>
      </c>
    </row>
    <row r="58" spans="1:4">
      <c r="A58" t="s">
        <v>224</v>
      </c>
      <c r="B58" t="s">
        <v>380</v>
      </c>
      <c r="C58">
        <v>46577</v>
      </c>
      <c r="D58" t="s">
        <v>352</v>
      </c>
    </row>
    <row r="59" spans="1:4">
      <c r="A59" t="s">
        <v>224</v>
      </c>
      <c r="B59" t="s">
        <v>381</v>
      </c>
      <c r="C59">
        <v>46580</v>
      </c>
      <c r="D59" t="s">
        <v>352</v>
      </c>
    </row>
    <row r="60" spans="1:4">
      <c r="A60" t="s">
        <v>224</v>
      </c>
      <c r="B60" t="s">
        <v>382</v>
      </c>
      <c r="C60">
        <v>46595</v>
      </c>
      <c r="D60" t="s">
        <v>352</v>
      </c>
    </row>
    <row r="61" spans="1:4">
      <c r="A61" t="s">
        <v>224</v>
      </c>
      <c r="B61" t="s">
        <v>383</v>
      </c>
      <c r="C61">
        <v>46594</v>
      </c>
      <c r="D61" t="s">
        <v>352</v>
      </c>
    </row>
    <row r="62" spans="1:4">
      <c r="A62" t="s">
        <v>224</v>
      </c>
      <c r="B62" t="s">
        <v>384</v>
      </c>
      <c r="C62">
        <v>46595</v>
      </c>
      <c r="D62" t="s">
        <v>352</v>
      </c>
    </row>
    <row r="63" spans="1:4">
      <c r="A63" t="s">
        <v>225</v>
      </c>
      <c r="B63" t="s">
        <v>352</v>
      </c>
      <c r="C63">
        <v>46519</v>
      </c>
      <c r="D63" t="s">
        <v>352</v>
      </c>
    </row>
    <row r="64" spans="1:4">
      <c r="A64" t="s">
        <v>225</v>
      </c>
      <c r="B64" t="s">
        <v>362</v>
      </c>
      <c r="C64">
        <v>46519</v>
      </c>
      <c r="D64" t="s">
        <v>352</v>
      </c>
    </row>
    <row r="65" spans="1:4">
      <c r="A65" t="s">
        <v>225</v>
      </c>
      <c r="B65" t="s">
        <v>363</v>
      </c>
      <c r="C65">
        <v>46525</v>
      </c>
      <c r="D65" t="s">
        <v>352</v>
      </c>
    </row>
    <row r="66" spans="1:4">
      <c r="A66" t="s">
        <v>225</v>
      </c>
      <c r="B66" t="s">
        <v>364</v>
      </c>
      <c r="C66">
        <v>46544</v>
      </c>
      <c r="D66" t="s">
        <v>352</v>
      </c>
    </row>
    <row r="67" spans="1:4">
      <c r="A67" t="s">
        <v>225</v>
      </c>
      <c r="B67" t="s">
        <v>365</v>
      </c>
      <c r="C67">
        <v>46531</v>
      </c>
      <c r="D67" t="s">
        <v>352</v>
      </c>
    </row>
    <row r="68" spans="1:4">
      <c r="A68" t="s">
        <v>225</v>
      </c>
      <c r="B68" t="s">
        <v>366</v>
      </c>
      <c r="C68">
        <v>46538</v>
      </c>
      <c r="D68" t="s">
        <v>352</v>
      </c>
    </row>
    <row r="69" spans="1:4">
      <c r="A69" t="s">
        <v>225</v>
      </c>
      <c r="B69" t="s">
        <v>119</v>
      </c>
      <c r="C69">
        <v>46555</v>
      </c>
      <c r="D69" t="s">
        <v>352</v>
      </c>
    </row>
    <row r="70" spans="1:4">
      <c r="A70" t="s">
        <v>225</v>
      </c>
      <c r="B70" t="s">
        <v>368</v>
      </c>
      <c r="C70">
        <v>46531</v>
      </c>
      <c r="D70" t="s">
        <v>352</v>
      </c>
    </row>
    <row r="71" spans="1:4">
      <c r="A71" t="s">
        <v>225</v>
      </c>
      <c r="B71" t="s">
        <v>369</v>
      </c>
      <c r="C71">
        <v>46556</v>
      </c>
      <c r="D71" t="s">
        <v>352</v>
      </c>
    </row>
    <row r="72" spans="1:4">
      <c r="A72" t="s">
        <v>225</v>
      </c>
      <c r="B72" t="s">
        <v>385</v>
      </c>
      <c r="C72">
        <v>46568</v>
      </c>
      <c r="D72" t="s">
        <v>352</v>
      </c>
    </row>
    <row r="73" spans="1:4">
      <c r="A73" t="s">
        <v>225</v>
      </c>
      <c r="B73" t="s">
        <v>386</v>
      </c>
      <c r="C73">
        <v>46568</v>
      </c>
      <c r="D73" t="s">
        <v>352</v>
      </c>
    </row>
    <row r="74" spans="1:4">
      <c r="A74" t="s">
        <v>225</v>
      </c>
      <c r="B74" t="s">
        <v>370</v>
      </c>
      <c r="C74">
        <v>46520</v>
      </c>
      <c r="D74" t="s">
        <v>352</v>
      </c>
    </row>
    <row r="75" spans="1:4">
      <c r="A75" t="s">
        <v>225</v>
      </c>
      <c r="B75" t="s">
        <v>371</v>
      </c>
      <c r="C75">
        <v>46556</v>
      </c>
      <c r="D75" t="s">
        <v>352</v>
      </c>
    </row>
    <row r="76" spans="1:4">
      <c r="A76" t="s">
        <v>225</v>
      </c>
      <c r="B76" t="s">
        <v>387</v>
      </c>
      <c r="C76">
        <v>46525</v>
      </c>
      <c r="D76" t="s">
        <v>352</v>
      </c>
    </row>
    <row r="77" spans="1:4">
      <c r="A77" t="s">
        <v>225</v>
      </c>
      <c r="B77" t="s">
        <v>373</v>
      </c>
      <c r="C77">
        <v>46549</v>
      </c>
      <c r="D77" t="s">
        <v>352</v>
      </c>
    </row>
    <row r="78" spans="1:4">
      <c r="A78" t="s">
        <v>225</v>
      </c>
      <c r="B78" t="s">
        <v>374</v>
      </c>
      <c r="C78">
        <v>46549</v>
      </c>
      <c r="D78" t="s">
        <v>352</v>
      </c>
    </row>
    <row r="79" spans="1:4">
      <c r="A79" t="s">
        <v>225</v>
      </c>
      <c r="B79" t="s">
        <v>375</v>
      </c>
      <c r="C79">
        <v>46611</v>
      </c>
      <c r="D79" t="s">
        <v>352</v>
      </c>
    </row>
    <row r="80" spans="1:4">
      <c r="A80" t="s">
        <v>225</v>
      </c>
      <c r="B80" t="s">
        <v>376</v>
      </c>
      <c r="C80">
        <v>46544</v>
      </c>
      <c r="D80" t="s">
        <v>352</v>
      </c>
    </row>
    <row r="81" spans="1:4">
      <c r="A81" t="s">
        <v>225</v>
      </c>
      <c r="B81" t="s">
        <v>377</v>
      </c>
      <c r="C81">
        <v>46538</v>
      </c>
      <c r="D81" t="s">
        <v>352</v>
      </c>
    </row>
    <row r="82" spans="1:4">
      <c r="A82" t="s">
        <v>225</v>
      </c>
      <c r="B82" t="s">
        <v>378</v>
      </c>
      <c r="C82">
        <v>46584</v>
      </c>
      <c r="D82" t="s">
        <v>352</v>
      </c>
    </row>
    <row r="83" spans="1:4">
      <c r="A83" t="s">
        <v>225</v>
      </c>
      <c r="B83" t="s">
        <v>379</v>
      </c>
      <c r="C83">
        <v>46563</v>
      </c>
      <c r="D83" t="s">
        <v>352</v>
      </c>
    </row>
    <row r="84" spans="1:4">
      <c r="A84" t="s">
        <v>225</v>
      </c>
      <c r="B84" t="s">
        <v>380</v>
      </c>
      <c r="C84">
        <v>46596</v>
      </c>
      <c r="D84" t="s">
        <v>352</v>
      </c>
    </row>
    <row r="85" spans="1:4">
      <c r="A85" t="s">
        <v>225</v>
      </c>
      <c r="B85" t="s">
        <v>381</v>
      </c>
      <c r="C85">
        <v>46597</v>
      </c>
      <c r="D85" t="s">
        <v>352</v>
      </c>
    </row>
    <row r="86" spans="1:4">
      <c r="A86" t="s">
        <v>225</v>
      </c>
      <c r="B86" t="s">
        <v>382</v>
      </c>
      <c r="C86">
        <v>46612</v>
      </c>
      <c r="D86" t="s">
        <v>352</v>
      </c>
    </row>
    <row r="87" spans="1:4">
      <c r="A87" t="s">
        <v>225</v>
      </c>
      <c r="B87" t="s">
        <v>383</v>
      </c>
      <c r="C87">
        <v>46611</v>
      </c>
      <c r="D87" t="s">
        <v>352</v>
      </c>
    </row>
    <row r="88" spans="1:4">
      <c r="A88" t="s">
        <v>225</v>
      </c>
      <c r="B88" t="s">
        <v>384</v>
      </c>
      <c r="C88">
        <v>46612</v>
      </c>
      <c r="D88" t="s">
        <v>352</v>
      </c>
    </row>
    <row r="89" spans="1:4">
      <c r="A89" t="s">
        <v>226</v>
      </c>
      <c r="B89" t="s">
        <v>352</v>
      </c>
      <c r="C89">
        <v>46556</v>
      </c>
      <c r="D89" t="s">
        <v>352</v>
      </c>
    </row>
    <row r="90" spans="1:4">
      <c r="A90" t="s">
        <v>226</v>
      </c>
      <c r="B90" t="s">
        <v>362</v>
      </c>
      <c r="C90">
        <v>46556</v>
      </c>
      <c r="D90" t="s">
        <v>352</v>
      </c>
    </row>
    <row r="91" spans="1:4">
      <c r="A91" t="s">
        <v>226</v>
      </c>
      <c r="B91" t="s">
        <v>363</v>
      </c>
      <c r="C91">
        <v>46559</v>
      </c>
      <c r="D91" t="s">
        <v>352</v>
      </c>
    </row>
    <row r="92" spans="1:4">
      <c r="A92" t="s">
        <v>226</v>
      </c>
      <c r="B92" t="s">
        <v>364</v>
      </c>
      <c r="C92">
        <v>46570</v>
      </c>
      <c r="D92" t="s">
        <v>352</v>
      </c>
    </row>
    <row r="93" spans="1:4">
      <c r="A93" t="s">
        <v>226</v>
      </c>
      <c r="B93" t="s">
        <v>365</v>
      </c>
      <c r="C93">
        <v>46566</v>
      </c>
      <c r="D93" t="s">
        <v>352</v>
      </c>
    </row>
    <row r="94" spans="1:4">
      <c r="A94" t="s">
        <v>226</v>
      </c>
      <c r="B94" t="s">
        <v>366</v>
      </c>
      <c r="C94">
        <v>46569</v>
      </c>
      <c r="D94" t="s">
        <v>352</v>
      </c>
    </row>
    <row r="95" spans="1:4">
      <c r="A95" t="s">
        <v>226</v>
      </c>
      <c r="B95" t="s">
        <v>119</v>
      </c>
      <c r="C95">
        <v>46580</v>
      </c>
      <c r="D95" t="s">
        <v>352</v>
      </c>
    </row>
    <row r="96" spans="1:4">
      <c r="A96" t="s">
        <v>226</v>
      </c>
      <c r="B96" t="s">
        <v>367</v>
      </c>
      <c r="C96">
        <v>46560</v>
      </c>
      <c r="D96" t="s">
        <v>352</v>
      </c>
    </row>
    <row r="97" spans="1:4">
      <c r="A97" t="s">
        <v>226</v>
      </c>
      <c r="B97" t="s">
        <v>368</v>
      </c>
      <c r="C97">
        <v>46569</v>
      </c>
      <c r="D97" t="s">
        <v>352</v>
      </c>
    </row>
    <row r="98" spans="1:4">
      <c r="A98" t="s">
        <v>226</v>
      </c>
      <c r="B98" t="s">
        <v>369</v>
      </c>
      <c r="C98">
        <v>46580</v>
      </c>
      <c r="D98" t="s">
        <v>352</v>
      </c>
    </row>
    <row r="99" spans="1:4">
      <c r="A99" t="s">
        <v>226</v>
      </c>
      <c r="B99" t="s">
        <v>370</v>
      </c>
      <c r="C99">
        <v>46570</v>
      </c>
      <c r="D99" t="s">
        <v>352</v>
      </c>
    </row>
    <row r="100" spans="1:4">
      <c r="A100" t="s">
        <v>226</v>
      </c>
      <c r="B100" t="s">
        <v>371</v>
      </c>
      <c r="C100">
        <v>46580</v>
      </c>
      <c r="D100" t="s">
        <v>352</v>
      </c>
    </row>
    <row r="101" spans="1:4">
      <c r="A101" t="s">
        <v>226</v>
      </c>
      <c r="B101" t="s">
        <v>372</v>
      </c>
      <c r="C101">
        <v>46576</v>
      </c>
      <c r="D101" t="s">
        <v>352</v>
      </c>
    </row>
    <row r="102" spans="1:4">
      <c r="A102" t="s">
        <v>226</v>
      </c>
      <c r="B102" t="s">
        <v>373</v>
      </c>
      <c r="C102">
        <v>46576</v>
      </c>
      <c r="D102" t="s">
        <v>352</v>
      </c>
    </row>
    <row r="103" spans="1:4">
      <c r="A103" t="s">
        <v>226</v>
      </c>
      <c r="B103" t="s">
        <v>374</v>
      </c>
      <c r="C103">
        <v>46576</v>
      </c>
      <c r="D103" t="s">
        <v>352</v>
      </c>
    </row>
    <row r="104" spans="1:4">
      <c r="A104" t="s">
        <v>226</v>
      </c>
      <c r="B104" t="s">
        <v>375</v>
      </c>
      <c r="C104">
        <v>46611</v>
      </c>
      <c r="D104" t="s">
        <v>352</v>
      </c>
    </row>
    <row r="105" spans="1:4">
      <c r="A105" t="s">
        <v>226</v>
      </c>
      <c r="B105" t="s">
        <v>376</v>
      </c>
      <c r="C105">
        <v>46571</v>
      </c>
      <c r="D105" t="s">
        <v>352</v>
      </c>
    </row>
    <row r="106" spans="1:4">
      <c r="A106" t="s">
        <v>226</v>
      </c>
      <c r="B106" t="s">
        <v>377</v>
      </c>
      <c r="C106">
        <v>46567</v>
      </c>
      <c r="D106" t="s">
        <v>352</v>
      </c>
    </row>
    <row r="107" spans="1:4">
      <c r="A107" t="s">
        <v>226</v>
      </c>
      <c r="B107" t="s">
        <v>378</v>
      </c>
      <c r="C107">
        <v>46584</v>
      </c>
      <c r="D107" t="s">
        <v>352</v>
      </c>
    </row>
    <row r="108" spans="1:4">
      <c r="A108" t="s">
        <v>226</v>
      </c>
      <c r="B108" t="s">
        <v>379</v>
      </c>
      <c r="C108">
        <v>46577</v>
      </c>
      <c r="D108" t="s">
        <v>352</v>
      </c>
    </row>
    <row r="109" spans="1:4">
      <c r="A109" t="s">
        <v>226</v>
      </c>
      <c r="B109" t="s">
        <v>380</v>
      </c>
      <c r="C109">
        <v>46596</v>
      </c>
      <c r="D109" t="s">
        <v>352</v>
      </c>
    </row>
    <row r="110" spans="1:4">
      <c r="A110" t="s">
        <v>226</v>
      </c>
      <c r="B110" t="s">
        <v>381</v>
      </c>
      <c r="C110">
        <v>46597</v>
      </c>
      <c r="D110" t="s">
        <v>352</v>
      </c>
    </row>
    <row r="111" spans="1:4">
      <c r="A111" t="s">
        <v>226</v>
      </c>
      <c r="B111" t="s">
        <v>382</v>
      </c>
      <c r="C111">
        <v>46612</v>
      </c>
      <c r="D111" t="s">
        <v>352</v>
      </c>
    </row>
    <row r="112" spans="1:4">
      <c r="A112" t="s">
        <v>226</v>
      </c>
      <c r="B112" t="s">
        <v>383</v>
      </c>
      <c r="C112">
        <v>46611</v>
      </c>
      <c r="D112" t="s">
        <v>352</v>
      </c>
    </row>
    <row r="113" spans="1:4">
      <c r="A113" t="s">
        <v>226</v>
      </c>
      <c r="B113" t="s">
        <v>384</v>
      </c>
      <c r="C113">
        <v>46612</v>
      </c>
      <c r="D113" t="s">
        <v>352</v>
      </c>
    </row>
    <row r="114" spans="1:4">
      <c r="A114" t="s">
        <v>227</v>
      </c>
      <c r="B114" t="s">
        <v>352</v>
      </c>
      <c r="C114">
        <v>46583</v>
      </c>
      <c r="D114" t="s">
        <v>352</v>
      </c>
    </row>
    <row r="115" spans="1:4">
      <c r="A115" t="s">
        <v>227</v>
      </c>
      <c r="B115" t="s">
        <v>362</v>
      </c>
      <c r="C115">
        <v>46583</v>
      </c>
      <c r="D115" t="s">
        <v>352</v>
      </c>
    </row>
    <row r="116" spans="1:4">
      <c r="A116" t="s">
        <v>227</v>
      </c>
      <c r="B116" t="s">
        <v>365</v>
      </c>
      <c r="C116">
        <v>46590</v>
      </c>
      <c r="D116" t="s">
        <v>352</v>
      </c>
    </row>
    <row r="117" spans="1:4">
      <c r="A117" t="s">
        <v>227</v>
      </c>
      <c r="B117" t="s">
        <v>119</v>
      </c>
      <c r="C117">
        <v>46603</v>
      </c>
      <c r="D117" t="s">
        <v>352</v>
      </c>
    </row>
    <row r="118" spans="1:4">
      <c r="A118" t="s">
        <v>227</v>
      </c>
      <c r="B118" t="s">
        <v>368</v>
      </c>
      <c r="C118">
        <v>46588</v>
      </c>
      <c r="D118" t="s">
        <v>352</v>
      </c>
    </row>
    <row r="119" spans="1:4">
      <c r="A119" t="s">
        <v>227</v>
      </c>
      <c r="B119" t="s">
        <v>370</v>
      </c>
      <c r="C119">
        <v>46584</v>
      </c>
      <c r="D119" t="s">
        <v>352</v>
      </c>
    </row>
    <row r="120" spans="1:4">
      <c r="A120" t="s">
        <v>227</v>
      </c>
      <c r="B120" t="s">
        <v>371</v>
      </c>
      <c r="C120">
        <v>46603</v>
      </c>
      <c r="D120" t="s">
        <v>352</v>
      </c>
    </row>
    <row r="121" spans="1:4">
      <c r="A121" t="s">
        <v>227</v>
      </c>
      <c r="B121" t="s">
        <v>373</v>
      </c>
      <c r="C121">
        <v>46597</v>
      </c>
      <c r="D121" t="s">
        <v>352</v>
      </c>
    </row>
    <row r="122" spans="1:4">
      <c r="A122" t="s">
        <v>227</v>
      </c>
      <c r="B122" t="s">
        <v>376</v>
      </c>
      <c r="C122">
        <v>46597</v>
      </c>
      <c r="D122" t="s">
        <v>352</v>
      </c>
    </row>
    <row r="123" spans="1:4">
      <c r="A123" t="s">
        <v>227</v>
      </c>
      <c r="B123" t="s">
        <v>378</v>
      </c>
      <c r="C123">
        <v>46617</v>
      </c>
      <c r="D123" t="s">
        <v>352</v>
      </c>
    </row>
    <row r="124" spans="1:4">
      <c r="A124" t="s">
        <v>227</v>
      </c>
      <c r="B124" t="s">
        <v>379</v>
      </c>
      <c r="C124">
        <v>46610</v>
      </c>
      <c r="D124" t="s">
        <v>352</v>
      </c>
    </row>
    <row r="125" spans="1:4">
      <c r="A125" t="s">
        <v>227</v>
      </c>
      <c r="B125" t="s">
        <v>380</v>
      </c>
      <c r="C125">
        <v>46630</v>
      </c>
      <c r="D125" t="s">
        <v>352</v>
      </c>
    </row>
    <row r="126" spans="1:4">
      <c r="A126" t="s">
        <v>227</v>
      </c>
      <c r="B126" t="s">
        <v>381</v>
      </c>
      <c r="C126">
        <v>46631</v>
      </c>
      <c r="D126" t="s">
        <v>352</v>
      </c>
    </row>
    <row r="127" spans="1:4">
      <c r="A127" t="s">
        <v>227</v>
      </c>
      <c r="B127" t="s">
        <v>382</v>
      </c>
      <c r="C127">
        <v>46645</v>
      </c>
      <c r="D127" t="s">
        <v>352</v>
      </c>
    </row>
    <row r="128" spans="1:4">
      <c r="A128" t="s">
        <v>227</v>
      </c>
      <c r="B128" t="s">
        <v>383</v>
      </c>
      <c r="C128">
        <v>46644</v>
      </c>
      <c r="D128" t="s">
        <v>352</v>
      </c>
    </row>
    <row r="129" spans="1:4">
      <c r="A129" t="s">
        <v>227</v>
      </c>
      <c r="B129" t="s">
        <v>384</v>
      </c>
      <c r="C129">
        <v>46645</v>
      </c>
      <c r="D129" t="s">
        <v>352</v>
      </c>
    </row>
    <row r="130" spans="1:4">
      <c r="A130" t="s">
        <v>228</v>
      </c>
      <c r="B130" t="s">
        <v>352</v>
      </c>
      <c r="C130">
        <v>46575</v>
      </c>
      <c r="D130" t="s">
        <v>352</v>
      </c>
    </row>
    <row r="131" spans="1:4">
      <c r="A131" t="s">
        <v>228</v>
      </c>
      <c r="B131" t="s">
        <v>362</v>
      </c>
      <c r="C131">
        <v>46575</v>
      </c>
      <c r="D131" t="s">
        <v>352</v>
      </c>
    </row>
    <row r="132" spans="1:4">
      <c r="A132" t="s">
        <v>228</v>
      </c>
      <c r="B132" t="s">
        <v>363</v>
      </c>
      <c r="C132">
        <v>46576</v>
      </c>
      <c r="D132" t="s">
        <v>352</v>
      </c>
    </row>
    <row r="133" spans="1:4">
      <c r="A133" t="s">
        <v>228</v>
      </c>
      <c r="B133" t="s">
        <v>364</v>
      </c>
      <c r="C133">
        <v>46586</v>
      </c>
      <c r="D133" t="s">
        <v>352</v>
      </c>
    </row>
    <row r="134" spans="1:4">
      <c r="A134" t="s">
        <v>228</v>
      </c>
      <c r="B134" t="s">
        <v>365</v>
      </c>
      <c r="C134">
        <v>46581</v>
      </c>
      <c r="D134" t="s">
        <v>352</v>
      </c>
    </row>
    <row r="135" spans="1:4">
      <c r="A135" t="s">
        <v>228</v>
      </c>
      <c r="B135" t="s">
        <v>366</v>
      </c>
      <c r="C135">
        <v>46581</v>
      </c>
      <c r="D135" t="s">
        <v>352</v>
      </c>
    </row>
    <row r="136" spans="1:4">
      <c r="A136" t="s">
        <v>228</v>
      </c>
      <c r="B136" t="s">
        <v>119</v>
      </c>
      <c r="C136">
        <v>46592</v>
      </c>
      <c r="D136" t="s">
        <v>352</v>
      </c>
    </row>
    <row r="137" spans="1:4">
      <c r="A137" t="s">
        <v>228</v>
      </c>
      <c r="B137" t="s">
        <v>367</v>
      </c>
      <c r="C137">
        <v>46577</v>
      </c>
      <c r="D137" t="s">
        <v>352</v>
      </c>
    </row>
    <row r="138" spans="1:4">
      <c r="A138" t="s">
        <v>228</v>
      </c>
      <c r="B138" t="s">
        <v>368</v>
      </c>
      <c r="C138">
        <v>46580</v>
      </c>
      <c r="D138" t="s">
        <v>352</v>
      </c>
    </row>
    <row r="139" spans="1:4">
      <c r="A139" t="s">
        <v>228</v>
      </c>
      <c r="B139" t="s">
        <v>388</v>
      </c>
      <c r="C139">
        <v>46580</v>
      </c>
      <c r="D139" t="s">
        <v>352</v>
      </c>
    </row>
    <row r="140" spans="1:4">
      <c r="A140" t="s">
        <v>228</v>
      </c>
      <c r="B140" t="s">
        <v>389</v>
      </c>
      <c r="C140">
        <v>46580</v>
      </c>
      <c r="D140" t="s">
        <v>352</v>
      </c>
    </row>
    <row r="141" spans="1:4">
      <c r="A141" t="s">
        <v>228</v>
      </c>
      <c r="B141" t="s">
        <v>369</v>
      </c>
      <c r="C141">
        <v>46592</v>
      </c>
      <c r="D141" t="s">
        <v>352</v>
      </c>
    </row>
    <row r="142" spans="1:4">
      <c r="A142" t="s">
        <v>228</v>
      </c>
      <c r="B142" t="s">
        <v>390</v>
      </c>
      <c r="C142">
        <v>46599</v>
      </c>
      <c r="D142" t="s">
        <v>352</v>
      </c>
    </row>
    <row r="143" spans="1:4">
      <c r="A143" t="s">
        <v>228</v>
      </c>
      <c r="B143" t="s">
        <v>385</v>
      </c>
      <c r="C143">
        <v>46597</v>
      </c>
      <c r="D143" t="s">
        <v>352</v>
      </c>
    </row>
    <row r="144" spans="1:4">
      <c r="A144" t="s">
        <v>228</v>
      </c>
      <c r="B144" t="s">
        <v>386</v>
      </c>
      <c r="C144">
        <v>46597</v>
      </c>
      <c r="D144" t="s">
        <v>352</v>
      </c>
    </row>
    <row r="145" spans="1:4">
      <c r="A145" t="s">
        <v>228</v>
      </c>
      <c r="B145" t="s">
        <v>370</v>
      </c>
      <c r="C145">
        <v>46581</v>
      </c>
      <c r="D145" t="s">
        <v>352</v>
      </c>
    </row>
    <row r="146" spans="1:4">
      <c r="A146" t="s">
        <v>228</v>
      </c>
      <c r="B146" t="s">
        <v>371</v>
      </c>
      <c r="C146">
        <v>46592</v>
      </c>
      <c r="D146" t="s">
        <v>352</v>
      </c>
    </row>
    <row r="147" spans="1:4">
      <c r="A147" t="s">
        <v>228</v>
      </c>
      <c r="B147" t="s">
        <v>391</v>
      </c>
      <c r="C147">
        <v>46592</v>
      </c>
      <c r="D147" t="s">
        <v>352</v>
      </c>
    </row>
    <row r="148" spans="1:4">
      <c r="A148" t="s">
        <v>228</v>
      </c>
      <c r="B148" t="s">
        <v>372</v>
      </c>
      <c r="C148">
        <v>46586</v>
      </c>
      <c r="D148" t="s">
        <v>352</v>
      </c>
    </row>
    <row r="149" spans="1:4">
      <c r="A149" t="s">
        <v>228</v>
      </c>
      <c r="B149" t="s">
        <v>373</v>
      </c>
      <c r="C149">
        <v>46586</v>
      </c>
      <c r="D149" t="s">
        <v>352</v>
      </c>
    </row>
    <row r="150" spans="1:4">
      <c r="A150" t="s">
        <v>228</v>
      </c>
      <c r="B150" t="s">
        <v>374</v>
      </c>
      <c r="C150">
        <v>46586</v>
      </c>
      <c r="D150" t="s">
        <v>352</v>
      </c>
    </row>
    <row r="151" spans="1:4">
      <c r="A151" t="s">
        <v>228</v>
      </c>
      <c r="B151" t="s">
        <v>375</v>
      </c>
      <c r="C151">
        <v>46626</v>
      </c>
      <c r="D151" t="s">
        <v>352</v>
      </c>
    </row>
    <row r="152" spans="1:4">
      <c r="A152" t="s">
        <v>228</v>
      </c>
      <c r="B152" t="s">
        <v>376</v>
      </c>
      <c r="C152">
        <v>46586</v>
      </c>
      <c r="D152" t="s">
        <v>352</v>
      </c>
    </row>
    <row r="153" spans="1:4">
      <c r="A153" t="s">
        <v>228</v>
      </c>
      <c r="B153" t="s">
        <v>377</v>
      </c>
      <c r="C153">
        <v>46583</v>
      </c>
      <c r="D153" t="s">
        <v>352</v>
      </c>
    </row>
    <row r="154" spans="1:4">
      <c r="A154" t="s">
        <v>228</v>
      </c>
      <c r="B154" t="s">
        <v>378</v>
      </c>
      <c r="C154">
        <v>46601</v>
      </c>
      <c r="D154" t="s">
        <v>352</v>
      </c>
    </row>
    <row r="155" spans="1:4">
      <c r="A155" t="s">
        <v>228</v>
      </c>
      <c r="B155" t="s">
        <v>379</v>
      </c>
      <c r="C155">
        <v>46594</v>
      </c>
      <c r="D155" t="s">
        <v>352</v>
      </c>
    </row>
    <row r="156" spans="1:4">
      <c r="A156" t="s">
        <v>228</v>
      </c>
      <c r="B156" t="s">
        <v>380</v>
      </c>
      <c r="C156">
        <v>46611</v>
      </c>
      <c r="D156" t="s">
        <v>352</v>
      </c>
    </row>
    <row r="157" spans="1:4">
      <c r="A157" t="s">
        <v>228</v>
      </c>
      <c r="B157" t="s">
        <v>381</v>
      </c>
      <c r="C157">
        <v>46612</v>
      </c>
      <c r="D157" t="s">
        <v>352</v>
      </c>
    </row>
    <row r="158" spans="1:4">
      <c r="A158" t="s">
        <v>228</v>
      </c>
      <c r="B158" t="s">
        <v>382</v>
      </c>
      <c r="C158">
        <v>46627</v>
      </c>
      <c r="D158" t="s">
        <v>352</v>
      </c>
    </row>
    <row r="159" spans="1:4">
      <c r="A159" t="s">
        <v>228</v>
      </c>
      <c r="B159" t="s">
        <v>383</v>
      </c>
      <c r="C159">
        <v>46626</v>
      </c>
      <c r="D159" t="s">
        <v>352</v>
      </c>
    </row>
    <row r="160" spans="1:4">
      <c r="A160" t="s">
        <v>228</v>
      </c>
      <c r="B160" t="s">
        <v>384</v>
      </c>
      <c r="C160">
        <v>46627</v>
      </c>
      <c r="D160" t="s">
        <v>352</v>
      </c>
    </row>
    <row r="161" spans="1:4">
      <c r="A161" t="s">
        <v>229</v>
      </c>
      <c r="B161" t="s">
        <v>352</v>
      </c>
      <c r="C161">
        <v>46553</v>
      </c>
      <c r="D161" t="s">
        <v>352</v>
      </c>
    </row>
    <row r="162" spans="1:4">
      <c r="A162" t="s">
        <v>229</v>
      </c>
      <c r="B162" t="s">
        <v>362</v>
      </c>
      <c r="C162">
        <v>46553</v>
      </c>
      <c r="D162" t="s">
        <v>352</v>
      </c>
    </row>
    <row r="163" spans="1:4">
      <c r="A163" t="s">
        <v>229</v>
      </c>
      <c r="B163" t="s">
        <v>363</v>
      </c>
      <c r="C163">
        <v>46554</v>
      </c>
      <c r="D163" t="s">
        <v>352</v>
      </c>
    </row>
    <row r="164" spans="1:4">
      <c r="A164" t="s">
        <v>229</v>
      </c>
      <c r="B164" t="s">
        <v>366</v>
      </c>
      <c r="C164">
        <v>46561</v>
      </c>
      <c r="D164" t="s">
        <v>352</v>
      </c>
    </row>
    <row r="165" spans="1:4">
      <c r="A165" t="s">
        <v>229</v>
      </c>
      <c r="B165" t="s">
        <v>367</v>
      </c>
      <c r="C165">
        <v>46559</v>
      </c>
      <c r="D165" t="s">
        <v>352</v>
      </c>
    </row>
    <row r="166" spans="1:4">
      <c r="A166" t="s">
        <v>229</v>
      </c>
      <c r="B166" t="s">
        <v>369</v>
      </c>
      <c r="C166">
        <v>46575</v>
      </c>
      <c r="D166" t="s">
        <v>352</v>
      </c>
    </row>
    <row r="167" spans="1:4">
      <c r="A167" t="s">
        <v>229</v>
      </c>
      <c r="B167" t="s">
        <v>390</v>
      </c>
      <c r="C167">
        <v>46599</v>
      </c>
      <c r="D167" t="s">
        <v>352</v>
      </c>
    </row>
    <row r="168" spans="1:4">
      <c r="A168" t="s">
        <v>229</v>
      </c>
      <c r="B168" t="s">
        <v>385</v>
      </c>
      <c r="C168">
        <v>46598</v>
      </c>
      <c r="D168" t="s">
        <v>352</v>
      </c>
    </row>
    <row r="169" spans="1:4">
      <c r="A169" t="s">
        <v>229</v>
      </c>
      <c r="B169" t="s">
        <v>386</v>
      </c>
      <c r="C169">
        <v>46598</v>
      </c>
      <c r="D169" t="s">
        <v>352</v>
      </c>
    </row>
    <row r="170" spans="1:4">
      <c r="A170" t="s">
        <v>229</v>
      </c>
      <c r="B170" t="s">
        <v>371</v>
      </c>
      <c r="C170">
        <v>46587</v>
      </c>
      <c r="D170" t="s">
        <v>352</v>
      </c>
    </row>
    <row r="171" spans="1:4">
      <c r="A171" t="s">
        <v>229</v>
      </c>
      <c r="B171" t="s">
        <v>372</v>
      </c>
      <c r="C171">
        <v>46568</v>
      </c>
      <c r="D171" t="s">
        <v>352</v>
      </c>
    </row>
    <row r="172" spans="1:4">
      <c r="A172" t="s">
        <v>229</v>
      </c>
      <c r="B172" t="s">
        <v>373</v>
      </c>
      <c r="C172">
        <v>46568</v>
      </c>
      <c r="D172" t="s">
        <v>352</v>
      </c>
    </row>
    <row r="173" spans="1:4">
      <c r="A173" t="s">
        <v>229</v>
      </c>
      <c r="B173" t="s">
        <v>374</v>
      </c>
      <c r="C173">
        <v>46568</v>
      </c>
      <c r="D173" t="s">
        <v>352</v>
      </c>
    </row>
    <row r="174" spans="1:4">
      <c r="A174" t="s">
        <v>229</v>
      </c>
      <c r="B174" t="s">
        <v>378</v>
      </c>
      <c r="C174">
        <v>46601</v>
      </c>
      <c r="D174" t="s">
        <v>352</v>
      </c>
    </row>
    <row r="175" spans="1:4">
      <c r="A175" t="s">
        <v>229</v>
      </c>
      <c r="B175" t="s">
        <v>379</v>
      </c>
      <c r="C175">
        <v>46594</v>
      </c>
      <c r="D175" t="s">
        <v>352</v>
      </c>
    </row>
    <row r="176" spans="1:4">
      <c r="A176" t="s">
        <v>229</v>
      </c>
      <c r="B176" t="s">
        <v>380</v>
      </c>
      <c r="C176">
        <v>46612</v>
      </c>
      <c r="D176" t="s">
        <v>352</v>
      </c>
    </row>
    <row r="177" spans="1:4">
      <c r="A177" t="s">
        <v>229</v>
      </c>
      <c r="B177" t="s">
        <v>381</v>
      </c>
      <c r="C177">
        <v>46615</v>
      </c>
      <c r="D177" t="s">
        <v>352</v>
      </c>
    </row>
    <row r="178" spans="1:4">
      <c r="A178" t="s">
        <v>229</v>
      </c>
      <c r="B178" t="s">
        <v>382</v>
      </c>
      <c r="C178">
        <v>46627</v>
      </c>
      <c r="D178" t="s">
        <v>352</v>
      </c>
    </row>
    <row r="179" spans="1:4">
      <c r="A179" t="s">
        <v>229</v>
      </c>
      <c r="B179" t="s">
        <v>383</v>
      </c>
      <c r="C179">
        <v>46626</v>
      </c>
      <c r="D179" t="s">
        <v>352</v>
      </c>
    </row>
    <row r="180" spans="1:4">
      <c r="A180" t="s">
        <v>229</v>
      </c>
      <c r="B180" t="s">
        <v>384</v>
      </c>
      <c r="C180">
        <v>46627</v>
      </c>
      <c r="D180" t="s">
        <v>352</v>
      </c>
    </row>
    <row r="181" spans="1:4">
      <c r="A181" t="s">
        <v>230</v>
      </c>
      <c r="B181" t="s">
        <v>352</v>
      </c>
      <c r="C181">
        <v>46552</v>
      </c>
      <c r="D181" t="s">
        <v>352</v>
      </c>
    </row>
    <row r="182" spans="1:4">
      <c r="A182" t="s">
        <v>230</v>
      </c>
      <c r="B182" t="s">
        <v>362</v>
      </c>
      <c r="C182">
        <v>46552</v>
      </c>
      <c r="D182" t="s">
        <v>352</v>
      </c>
    </row>
    <row r="183" spans="1:4">
      <c r="A183" t="s">
        <v>230</v>
      </c>
      <c r="B183" t="s">
        <v>363</v>
      </c>
      <c r="C183">
        <v>46553</v>
      </c>
      <c r="D183" t="s">
        <v>352</v>
      </c>
    </row>
    <row r="184" spans="1:4">
      <c r="A184" t="s">
        <v>230</v>
      </c>
      <c r="B184" t="s">
        <v>366</v>
      </c>
      <c r="C184">
        <v>46560</v>
      </c>
      <c r="D184" t="s">
        <v>352</v>
      </c>
    </row>
    <row r="185" spans="1:4">
      <c r="A185" t="s">
        <v>230</v>
      </c>
      <c r="B185" t="s">
        <v>367</v>
      </c>
      <c r="C185">
        <v>46553</v>
      </c>
      <c r="D185" t="s">
        <v>352</v>
      </c>
    </row>
    <row r="186" spans="1:4">
      <c r="A186" t="s">
        <v>230</v>
      </c>
      <c r="B186" t="s">
        <v>369</v>
      </c>
      <c r="C186">
        <v>46580</v>
      </c>
      <c r="D186" t="s">
        <v>352</v>
      </c>
    </row>
    <row r="187" spans="1:4">
      <c r="A187" t="s">
        <v>230</v>
      </c>
      <c r="B187" t="s">
        <v>370</v>
      </c>
      <c r="C187">
        <v>46566</v>
      </c>
      <c r="D187" t="s">
        <v>352</v>
      </c>
    </row>
    <row r="188" spans="1:4">
      <c r="A188" t="s">
        <v>230</v>
      </c>
      <c r="B188" t="s">
        <v>371</v>
      </c>
      <c r="C188">
        <v>46587</v>
      </c>
      <c r="D188" t="s">
        <v>352</v>
      </c>
    </row>
    <row r="189" spans="1:4">
      <c r="A189" t="s">
        <v>230</v>
      </c>
      <c r="B189" t="s">
        <v>372</v>
      </c>
      <c r="C189">
        <v>46573</v>
      </c>
      <c r="D189" t="s">
        <v>352</v>
      </c>
    </row>
    <row r="190" spans="1:4">
      <c r="A190" t="s">
        <v>230</v>
      </c>
      <c r="B190" t="s">
        <v>373</v>
      </c>
      <c r="C190">
        <v>46573</v>
      </c>
      <c r="D190" t="s">
        <v>352</v>
      </c>
    </row>
    <row r="191" spans="1:4">
      <c r="A191" t="s">
        <v>230</v>
      </c>
      <c r="B191" t="s">
        <v>374</v>
      </c>
      <c r="C191">
        <v>46573</v>
      </c>
      <c r="D191" t="s">
        <v>352</v>
      </c>
    </row>
    <row r="192" spans="1:4">
      <c r="A192" t="s">
        <v>230</v>
      </c>
      <c r="B192" t="s">
        <v>378</v>
      </c>
      <c r="C192">
        <v>46601</v>
      </c>
      <c r="D192" t="s">
        <v>352</v>
      </c>
    </row>
    <row r="193" spans="1:4">
      <c r="A193" t="s">
        <v>230</v>
      </c>
      <c r="B193" t="s">
        <v>379</v>
      </c>
      <c r="C193">
        <v>46594</v>
      </c>
      <c r="D193" t="s">
        <v>352</v>
      </c>
    </row>
    <row r="194" spans="1:4">
      <c r="A194" t="s">
        <v>230</v>
      </c>
      <c r="B194" t="s">
        <v>380</v>
      </c>
      <c r="C194">
        <v>46612</v>
      </c>
      <c r="D194" t="s">
        <v>352</v>
      </c>
    </row>
    <row r="195" spans="1:4">
      <c r="A195" t="s">
        <v>230</v>
      </c>
      <c r="B195" t="s">
        <v>381</v>
      </c>
      <c r="C195">
        <v>46615</v>
      </c>
      <c r="D195" t="s">
        <v>352</v>
      </c>
    </row>
    <row r="196" spans="1:4">
      <c r="A196" t="s">
        <v>230</v>
      </c>
      <c r="B196" t="s">
        <v>382</v>
      </c>
      <c r="C196">
        <v>46627</v>
      </c>
      <c r="D196" t="s">
        <v>352</v>
      </c>
    </row>
    <row r="197" spans="1:4">
      <c r="A197" t="s">
        <v>230</v>
      </c>
      <c r="B197" t="s">
        <v>383</v>
      </c>
      <c r="C197">
        <v>46626</v>
      </c>
      <c r="D197" t="s">
        <v>352</v>
      </c>
    </row>
    <row r="198" spans="1:4">
      <c r="A198" t="s">
        <v>230</v>
      </c>
      <c r="B198" t="s">
        <v>384</v>
      </c>
      <c r="C198">
        <v>46627</v>
      </c>
      <c r="D198" t="s">
        <v>352</v>
      </c>
    </row>
    <row r="199" spans="1:4">
      <c r="A199" t="s">
        <v>231</v>
      </c>
      <c r="B199" t="s">
        <v>352</v>
      </c>
      <c r="C199">
        <v>46562</v>
      </c>
      <c r="D199" t="s">
        <v>352</v>
      </c>
    </row>
    <row r="200" spans="1:4">
      <c r="A200" t="s">
        <v>231</v>
      </c>
      <c r="B200" t="s">
        <v>362</v>
      </c>
      <c r="C200">
        <v>46562</v>
      </c>
      <c r="D200" t="s">
        <v>352</v>
      </c>
    </row>
    <row r="201" spans="1:4">
      <c r="A201" t="s">
        <v>231</v>
      </c>
      <c r="B201" t="s">
        <v>363</v>
      </c>
      <c r="C201">
        <v>46563</v>
      </c>
      <c r="D201" t="s">
        <v>352</v>
      </c>
    </row>
    <row r="202" spans="1:4">
      <c r="A202" t="s">
        <v>231</v>
      </c>
      <c r="B202" t="s">
        <v>364</v>
      </c>
      <c r="C202">
        <v>46577</v>
      </c>
      <c r="D202" t="s">
        <v>352</v>
      </c>
    </row>
    <row r="203" spans="1:4">
      <c r="A203" t="s">
        <v>231</v>
      </c>
      <c r="B203" t="s">
        <v>365</v>
      </c>
      <c r="C203">
        <v>46569</v>
      </c>
      <c r="D203" t="s">
        <v>352</v>
      </c>
    </row>
    <row r="204" spans="1:4">
      <c r="A204" t="s">
        <v>231</v>
      </c>
      <c r="B204" t="s">
        <v>366</v>
      </c>
      <c r="C204">
        <v>46569</v>
      </c>
      <c r="D204" t="s">
        <v>352</v>
      </c>
    </row>
    <row r="205" spans="1:4">
      <c r="A205" t="s">
        <v>231</v>
      </c>
      <c r="B205" t="s">
        <v>119</v>
      </c>
      <c r="C205">
        <v>46587</v>
      </c>
      <c r="D205" t="s">
        <v>352</v>
      </c>
    </row>
    <row r="206" spans="1:4">
      <c r="A206" t="s">
        <v>231</v>
      </c>
      <c r="B206" t="s">
        <v>367</v>
      </c>
      <c r="C206">
        <v>46566</v>
      </c>
      <c r="D206" t="s">
        <v>352</v>
      </c>
    </row>
    <row r="207" spans="1:4">
      <c r="A207" t="s">
        <v>231</v>
      </c>
      <c r="B207" t="s">
        <v>368</v>
      </c>
      <c r="C207">
        <v>46573</v>
      </c>
      <c r="D207" t="s">
        <v>352</v>
      </c>
    </row>
    <row r="208" spans="1:4">
      <c r="A208" t="s">
        <v>231</v>
      </c>
      <c r="B208" t="s">
        <v>388</v>
      </c>
      <c r="C208">
        <v>46576</v>
      </c>
      <c r="D208" t="s">
        <v>352</v>
      </c>
    </row>
    <row r="209" spans="1:4">
      <c r="A209" t="s">
        <v>231</v>
      </c>
      <c r="B209" t="s">
        <v>389</v>
      </c>
      <c r="C209">
        <v>46576</v>
      </c>
      <c r="D209" t="s">
        <v>352</v>
      </c>
    </row>
    <row r="210" spans="1:4">
      <c r="A210" t="s">
        <v>231</v>
      </c>
      <c r="B210" t="s">
        <v>369</v>
      </c>
      <c r="C210">
        <v>46587</v>
      </c>
      <c r="D210" t="s">
        <v>352</v>
      </c>
    </row>
    <row r="211" spans="1:4">
      <c r="A211" t="s">
        <v>231</v>
      </c>
      <c r="B211" t="s">
        <v>390</v>
      </c>
      <c r="C211">
        <v>46594</v>
      </c>
      <c r="D211" t="s">
        <v>352</v>
      </c>
    </row>
    <row r="212" spans="1:4">
      <c r="A212" t="s">
        <v>231</v>
      </c>
      <c r="B212" t="s">
        <v>370</v>
      </c>
      <c r="C212">
        <v>46578</v>
      </c>
      <c r="D212" t="s">
        <v>352</v>
      </c>
    </row>
    <row r="213" spans="1:4">
      <c r="A213" t="s">
        <v>231</v>
      </c>
      <c r="B213" t="s">
        <v>371</v>
      </c>
      <c r="C213">
        <v>46587</v>
      </c>
      <c r="D213" t="s">
        <v>352</v>
      </c>
    </row>
    <row r="214" spans="1:4">
      <c r="A214" t="s">
        <v>231</v>
      </c>
      <c r="B214" t="s">
        <v>391</v>
      </c>
      <c r="C214">
        <v>46587</v>
      </c>
      <c r="D214" t="s">
        <v>352</v>
      </c>
    </row>
    <row r="215" spans="1:4">
      <c r="A215" t="s">
        <v>231</v>
      </c>
      <c r="B215" t="s">
        <v>372</v>
      </c>
      <c r="C215">
        <v>46576</v>
      </c>
      <c r="D215" t="s">
        <v>352</v>
      </c>
    </row>
    <row r="216" spans="1:4">
      <c r="A216" t="s">
        <v>231</v>
      </c>
      <c r="B216" t="s">
        <v>373</v>
      </c>
      <c r="C216">
        <v>46576</v>
      </c>
      <c r="D216" t="s">
        <v>352</v>
      </c>
    </row>
    <row r="217" spans="1:4">
      <c r="A217" t="s">
        <v>231</v>
      </c>
      <c r="B217" t="s">
        <v>374</v>
      </c>
      <c r="C217">
        <v>46576</v>
      </c>
      <c r="D217" t="s">
        <v>352</v>
      </c>
    </row>
    <row r="218" spans="1:4">
      <c r="A218" t="s">
        <v>231</v>
      </c>
      <c r="B218" t="s">
        <v>375</v>
      </c>
      <c r="C218">
        <v>46611</v>
      </c>
      <c r="D218" t="s">
        <v>352</v>
      </c>
    </row>
    <row r="219" spans="1:4">
      <c r="A219" t="s">
        <v>231</v>
      </c>
      <c r="B219" t="s">
        <v>376</v>
      </c>
      <c r="C219">
        <v>46576</v>
      </c>
      <c r="D219" t="s">
        <v>352</v>
      </c>
    </row>
    <row r="220" spans="1:4">
      <c r="A220" t="s">
        <v>231</v>
      </c>
      <c r="B220" t="s">
        <v>377</v>
      </c>
      <c r="C220">
        <v>46576</v>
      </c>
      <c r="D220" t="s">
        <v>352</v>
      </c>
    </row>
    <row r="221" spans="1:4">
      <c r="A221" t="s">
        <v>231</v>
      </c>
      <c r="B221" t="s">
        <v>378</v>
      </c>
      <c r="C221">
        <v>46594</v>
      </c>
      <c r="D221" t="s">
        <v>352</v>
      </c>
    </row>
    <row r="222" spans="1:4">
      <c r="A222" t="s">
        <v>231</v>
      </c>
      <c r="B222" t="s">
        <v>379</v>
      </c>
      <c r="C222">
        <v>46577</v>
      </c>
      <c r="D222" t="s">
        <v>352</v>
      </c>
    </row>
    <row r="223" spans="1:4">
      <c r="A223" t="s">
        <v>231</v>
      </c>
      <c r="B223" t="s">
        <v>380</v>
      </c>
      <c r="C223">
        <v>46596</v>
      </c>
      <c r="D223" t="s">
        <v>352</v>
      </c>
    </row>
    <row r="224" spans="1:4">
      <c r="A224" t="s">
        <v>231</v>
      </c>
      <c r="B224" t="s">
        <v>381</v>
      </c>
      <c r="C224">
        <v>46597</v>
      </c>
      <c r="D224" t="s">
        <v>352</v>
      </c>
    </row>
    <row r="225" spans="1:4">
      <c r="A225" t="s">
        <v>231</v>
      </c>
      <c r="B225" t="s">
        <v>382</v>
      </c>
      <c r="C225">
        <v>46612</v>
      </c>
      <c r="D225" t="s">
        <v>352</v>
      </c>
    </row>
    <row r="226" spans="1:4">
      <c r="A226" t="s">
        <v>231</v>
      </c>
      <c r="B226" t="s">
        <v>383</v>
      </c>
      <c r="C226">
        <v>46611</v>
      </c>
      <c r="D226" t="s">
        <v>352</v>
      </c>
    </row>
    <row r="227" spans="1:4">
      <c r="A227" t="s">
        <v>231</v>
      </c>
      <c r="B227" t="s">
        <v>384</v>
      </c>
      <c r="C227">
        <v>46612</v>
      </c>
      <c r="D227" t="s">
        <v>352</v>
      </c>
    </row>
    <row r="228" spans="1:4">
      <c r="A228" t="s">
        <v>311</v>
      </c>
      <c r="B228" t="s">
        <v>352</v>
      </c>
      <c r="C228">
        <v>46560</v>
      </c>
      <c r="D228" t="s">
        <v>352</v>
      </c>
    </row>
    <row r="229" spans="1:4">
      <c r="A229" t="s">
        <v>311</v>
      </c>
      <c r="B229" t="s">
        <v>320</v>
      </c>
      <c r="C229">
        <v>46560</v>
      </c>
      <c r="D229" t="s">
        <v>352</v>
      </c>
    </row>
    <row r="230" spans="1:4">
      <c r="A230" t="s">
        <v>311</v>
      </c>
      <c r="B230" t="s">
        <v>353</v>
      </c>
      <c r="C230">
        <v>46562</v>
      </c>
      <c r="D230" t="s">
        <v>352</v>
      </c>
    </row>
    <row r="231" spans="1:4">
      <c r="A231" t="s">
        <v>311</v>
      </c>
      <c r="B231" t="s">
        <v>354</v>
      </c>
      <c r="C231">
        <v>46566</v>
      </c>
      <c r="D231" t="s">
        <v>352</v>
      </c>
    </row>
    <row r="232" spans="1:4">
      <c r="A232" t="s">
        <v>311</v>
      </c>
      <c r="B232" t="s">
        <v>355</v>
      </c>
      <c r="C232">
        <v>46609</v>
      </c>
      <c r="D232" t="s">
        <v>352</v>
      </c>
    </row>
    <row r="233" spans="1:4">
      <c r="A233" t="s">
        <v>311</v>
      </c>
      <c r="B233" t="s">
        <v>357</v>
      </c>
      <c r="C233">
        <v>46637</v>
      </c>
      <c r="D233" t="s">
        <v>352</v>
      </c>
    </row>
    <row r="234" spans="1:4">
      <c r="A234" t="s">
        <v>311</v>
      </c>
      <c r="B234" t="s">
        <v>358</v>
      </c>
      <c r="C234">
        <v>46637</v>
      </c>
      <c r="D234" t="s">
        <v>352</v>
      </c>
    </row>
    <row r="235" spans="1:4">
      <c r="A235" t="s">
        <v>311</v>
      </c>
      <c r="B235" t="s">
        <v>356</v>
      </c>
      <c r="C235">
        <v>46619</v>
      </c>
      <c r="D235" t="s">
        <v>352</v>
      </c>
    </row>
    <row r="236" spans="1:4">
      <c r="A236" t="s">
        <v>311</v>
      </c>
      <c r="B236" t="s">
        <v>359</v>
      </c>
      <c r="C236">
        <v>46645</v>
      </c>
      <c r="D236" t="s">
        <v>352</v>
      </c>
    </row>
    <row r="237" spans="1:4">
      <c r="A237" t="s">
        <v>311</v>
      </c>
      <c r="B237" t="s">
        <v>360</v>
      </c>
      <c r="C237">
        <v>46619</v>
      </c>
      <c r="D237" t="s">
        <v>352</v>
      </c>
    </row>
    <row r="238" spans="1:4">
      <c r="A238" t="s">
        <v>311</v>
      </c>
      <c r="B238" t="s">
        <v>361</v>
      </c>
      <c r="C238">
        <v>46644</v>
      </c>
      <c r="D238" t="s">
        <v>352</v>
      </c>
    </row>
    <row r="239" spans="1:4">
      <c r="A239" t="s">
        <v>222</v>
      </c>
      <c r="B239" t="s">
        <v>352</v>
      </c>
      <c r="C239">
        <v>46526</v>
      </c>
      <c r="D239" t="s">
        <v>352</v>
      </c>
    </row>
    <row r="240" spans="1:4">
      <c r="A240" t="s">
        <v>222</v>
      </c>
      <c r="B240" t="s">
        <v>362</v>
      </c>
      <c r="C240">
        <v>46526</v>
      </c>
      <c r="D240" t="s">
        <v>352</v>
      </c>
    </row>
    <row r="241" spans="1:4">
      <c r="A241" t="s">
        <v>222</v>
      </c>
      <c r="B241" t="s">
        <v>392</v>
      </c>
      <c r="C241">
        <v>46560</v>
      </c>
      <c r="D241" t="s">
        <v>352</v>
      </c>
    </row>
    <row r="242" spans="1:4">
      <c r="A242" t="s">
        <v>222</v>
      </c>
      <c r="B242" t="s">
        <v>393</v>
      </c>
      <c r="C242">
        <v>46561</v>
      </c>
      <c r="D242" t="s">
        <v>352</v>
      </c>
    </row>
    <row r="243" spans="1:4">
      <c r="A243" t="s">
        <v>222</v>
      </c>
      <c r="B243" t="s">
        <v>394</v>
      </c>
      <c r="C243">
        <v>46622</v>
      </c>
      <c r="D243" t="s">
        <v>352</v>
      </c>
    </row>
    <row r="244" spans="1:4">
      <c r="A244" t="s">
        <v>222</v>
      </c>
      <c r="B244" t="s">
        <v>378</v>
      </c>
      <c r="C244">
        <v>46629</v>
      </c>
      <c r="D244" t="s">
        <v>352</v>
      </c>
    </row>
    <row r="245" spans="1:4">
      <c r="A245" t="s">
        <v>222</v>
      </c>
      <c r="B245" t="s">
        <v>395</v>
      </c>
      <c r="C245">
        <v>46551</v>
      </c>
      <c r="D245" t="s">
        <v>352</v>
      </c>
    </row>
    <row r="246" spans="1:4">
      <c r="A246" t="s">
        <v>222</v>
      </c>
      <c r="B246" t="s">
        <v>396</v>
      </c>
      <c r="C246">
        <v>46542</v>
      </c>
      <c r="D246" t="s">
        <v>352</v>
      </c>
    </row>
    <row r="247" spans="1:4">
      <c r="A247" t="s">
        <v>222</v>
      </c>
      <c r="B247" t="s">
        <v>364</v>
      </c>
      <c r="C247">
        <v>46559</v>
      </c>
      <c r="D247" t="s">
        <v>352</v>
      </c>
    </row>
    <row r="248" spans="1:4">
      <c r="A248" t="s">
        <v>222</v>
      </c>
      <c r="B248" t="s">
        <v>397</v>
      </c>
      <c r="C248">
        <v>46557</v>
      </c>
      <c r="D248" t="s">
        <v>352</v>
      </c>
    </row>
    <row r="249" spans="1:4">
      <c r="A249" t="s">
        <v>222</v>
      </c>
      <c r="B249" t="s">
        <v>398</v>
      </c>
      <c r="C249">
        <v>46562</v>
      </c>
      <c r="D249" t="s">
        <v>352</v>
      </c>
    </row>
    <row r="250" spans="1:4">
      <c r="A250" t="s">
        <v>222</v>
      </c>
      <c r="B250" t="s">
        <v>399</v>
      </c>
      <c r="C250">
        <v>46564</v>
      </c>
      <c r="D250" t="s">
        <v>352</v>
      </c>
    </row>
    <row r="251" spans="1:4">
      <c r="A251" t="s">
        <v>222</v>
      </c>
      <c r="B251" t="s">
        <v>370</v>
      </c>
      <c r="C251">
        <v>46563</v>
      </c>
      <c r="D251" t="s">
        <v>352</v>
      </c>
    </row>
    <row r="252" spans="1:4">
      <c r="A252" t="s">
        <v>222</v>
      </c>
      <c r="B252" t="s">
        <v>371</v>
      </c>
      <c r="C252">
        <v>46587</v>
      </c>
      <c r="D252" t="s">
        <v>352</v>
      </c>
    </row>
    <row r="253" spans="1:4">
      <c r="A253" t="s">
        <v>222</v>
      </c>
      <c r="B253" t="s">
        <v>400</v>
      </c>
      <c r="C253">
        <v>46563</v>
      </c>
      <c r="D253" t="s">
        <v>352</v>
      </c>
    </row>
    <row r="254" spans="1:4">
      <c r="A254" t="s">
        <v>222</v>
      </c>
      <c r="B254" t="s">
        <v>401</v>
      </c>
      <c r="C254">
        <v>46527</v>
      </c>
      <c r="D254" t="s">
        <v>352</v>
      </c>
    </row>
    <row r="255" spans="1:4">
      <c r="A255" t="s">
        <v>222</v>
      </c>
      <c r="B255" t="s">
        <v>402</v>
      </c>
      <c r="C255">
        <v>46559</v>
      </c>
      <c r="D255" t="s">
        <v>352</v>
      </c>
    </row>
    <row r="256" spans="1:4">
      <c r="A256" t="s">
        <v>222</v>
      </c>
      <c r="B256" t="s">
        <v>391</v>
      </c>
      <c r="C256">
        <v>46587</v>
      </c>
      <c r="D256" t="s">
        <v>352</v>
      </c>
    </row>
    <row r="257" spans="1:4">
      <c r="A257" t="s">
        <v>222</v>
      </c>
      <c r="B257" t="s">
        <v>403</v>
      </c>
      <c r="C257">
        <v>46549</v>
      </c>
      <c r="D257" t="s">
        <v>352</v>
      </c>
    </row>
    <row r="258" spans="1:4">
      <c r="A258" t="s">
        <v>222</v>
      </c>
      <c r="B258" t="s">
        <v>404</v>
      </c>
      <c r="C258">
        <v>46550</v>
      </c>
      <c r="D258" t="s">
        <v>352</v>
      </c>
    </row>
    <row r="259" spans="1:4">
      <c r="A259" t="s">
        <v>222</v>
      </c>
      <c r="B259" t="s">
        <v>405</v>
      </c>
      <c r="C259">
        <v>46554</v>
      </c>
      <c r="D259" t="s">
        <v>352</v>
      </c>
    </row>
    <row r="260" spans="1:4">
      <c r="A260" t="s">
        <v>222</v>
      </c>
      <c r="B260" t="s">
        <v>216</v>
      </c>
      <c r="C260">
        <v>46556</v>
      </c>
      <c r="D260" t="s">
        <v>352</v>
      </c>
    </row>
    <row r="261" spans="1:4">
      <c r="A261" t="s">
        <v>222</v>
      </c>
      <c r="B261" t="s">
        <v>406</v>
      </c>
      <c r="C261">
        <v>46553</v>
      </c>
      <c r="D261" t="s">
        <v>352</v>
      </c>
    </row>
    <row r="262" spans="1:4">
      <c r="A262" t="s">
        <v>222</v>
      </c>
      <c r="B262" t="s">
        <v>407</v>
      </c>
      <c r="C262">
        <v>46563</v>
      </c>
      <c r="D262" t="s">
        <v>352</v>
      </c>
    </row>
    <row r="263" spans="1:4">
      <c r="A263" t="s">
        <v>222</v>
      </c>
      <c r="B263" t="s">
        <v>408</v>
      </c>
      <c r="C263">
        <v>46563</v>
      </c>
      <c r="D263" t="s">
        <v>352</v>
      </c>
    </row>
    <row r="264" spans="1:4">
      <c r="A264" t="s">
        <v>222</v>
      </c>
      <c r="B264" t="s">
        <v>409</v>
      </c>
      <c r="C264">
        <v>46563</v>
      </c>
      <c r="D264" t="s">
        <v>352</v>
      </c>
    </row>
    <row r="265" spans="1:4">
      <c r="A265" t="s">
        <v>222</v>
      </c>
      <c r="B265" t="s">
        <v>410</v>
      </c>
      <c r="C265">
        <v>46563</v>
      </c>
      <c r="D265" t="s">
        <v>352</v>
      </c>
    </row>
    <row r="266" spans="1:4">
      <c r="A266" t="s">
        <v>222</v>
      </c>
      <c r="B266" t="s">
        <v>411</v>
      </c>
      <c r="C266">
        <v>46563</v>
      </c>
      <c r="D266" t="s">
        <v>352</v>
      </c>
    </row>
    <row r="267" spans="1:4">
      <c r="A267" t="s">
        <v>222</v>
      </c>
      <c r="B267" t="s">
        <v>412</v>
      </c>
      <c r="C267">
        <v>46563</v>
      </c>
      <c r="D267" t="s">
        <v>352</v>
      </c>
    </row>
    <row r="268" spans="1:4">
      <c r="A268" t="s">
        <v>222</v>
      </c>
      <c r="B268" t="s">
        <v>184</v>
      </c>
      <c r="C268">
        <v>46590</v>
      </c>
      <c r="D268" t="s">
        <v>352</v>
      </c>
    </row>
    <row r="269" spans="1:4">
      <c r="A269" t="s">
        <v>222</v>
      </c>
      <c r="B269" t="s">
        <v>413</v>
      </c>
      <c r="C269">
        <v>46622</v>
      </c>
      <c r="D269" t="s">
        <v>352</v>
      </c>
    </row>
    <row r="270" spans="1:4">
      <c r="A270" t="s">
        <v>222</v>
      </c>
      <c r="B270" t="s">
        <v>379</v>
      </c>
      <c r="C270">
        <v>46594</v>
      </c>
      <c r="D270" t="s">
        <v>352</v>
      </c>
    </row>
    <row r="271" spans="1:4">
      <c r="A271" t="s">
        <v>222</v>
      </c>
      <c r="B271" t="s">
        <v>381</v>
      </c>
      <c r="C271">
        <v>46635</v>
      </c>
      <c r="D271" t="s">
        <v>352</v>
      </c>
    </row>
    <row r="272" spans="1:4">
      <c r="A272" t="s">
        <v>222</v>
      </c>
      <c r="B272" t="s">
        <v>375</v>
      </c>
      <c r="C272">
        <v>46633</v>
      </c>
      <c r="D272" t="s">
        <v>352</v>
      </c>
    </row>
    <row r="273" spans="1:4">
      <c r="A273" t="s">
        <v>222</v>
      </c>
      <c r="B273" t="s">
        <v>380</v>
      </c>
      <c r="C273">
        <v>46629</v>
      </c>
      <c r="D273" t="s">
        <v>352</v>
      </c>
    </row>
    <row r="274" spans="1:4">
      <c r="A274" t="s">
        <v>222</v>
      </c>
      <c r="B274" t="s">
        <v>382</v>
      </c>
      <c r="C274">
        <v>46634</v>
      </c>
      <c r="D274" t="s">
        <v>352</v>
      </c>
    </row>
    <row r="275" spans="1:4">
      <c r="A275" t="s">
        <v>222</v>
      </c>
      <c r="B275" t="s">
        <v>383</v>
      </c>
      <c r="C275">
        <v>46629</v>
      </c>
      <c r="D275" t="s">
        <v>352</v>
      </c>
    </row>
    <row r="276" spans="1:4">
      <c r="A276" t="s">
        <v>222</v>
      </c>
      <c r="B276" t="s">
        <v>384</v>
      </c>
      <c r="C276">
        <v>46634</v>
      </c>
      <c r="D276" t="s">
        <v>352</v>
      </c>
    </row>
    <row r="277" spans="1:4">
      <c r="A277" t="s">
        <v>312</v>
      </c>
      <c r="B277" t="s">
        <v>352</v>
      </c>
      <c r="C277">
        <v>46594</v>
      </c>
      <c r="D277" t="s">
        <v>352</v>
      </c>
    </row>
    <row r="278" spans="1:4">
      <c r="A278" t="s">
        <v>312</v>
      </c>
      <c r="B278" t="s">
        <v>320</v>
      </c>
      <c r="C278">
        <v>46594</v>
      </c>
      <c r="D278" t="s">
        <v>352</v>
      </c>
    </row>
    <row r="279" spans="1:4">
      <c r="A279" t="s">
        <v>312</v>
      </c>
      <c r="B279" t="s">
        <v>353</v>
      </c>
      <c r="C279">
        <v>46596</v>
      </c>
      <c r="D279" t="s">
        <v>352</v>
      </c>
    </row>
    <row r="280" spans="1:4">
      <c r="A280" t="s">
        <v>312</v>
      </c>
      <c r="B280" t="s">
        <v>354</v>
      </c>
      <c r="C280">
        <v>46598</v>
      </c>
      <c r="D280" t="s">
        <v>352</v>
      </c>
    </row>
    <row r="281" spans="1:4">
      <c r="A281" t="s">
        <v>312</v>
      </c>
      <c r="B281" t="s">
        <v>355</v>
      </c>
      <c r="C281">
        <v>46617</v>
      </c>
      <c r="D281" t="s">
        <v>352</v>
      </c>
    </row>
    <row r="282" spans="1:4">
      <c r="A282" t="s">
        <v>312</v>
      </c>
      <c r="B282" t="s">
        <v>356</v>
      </c>
      <c r="C282">
        <v>46623</v>
      </c>
      <c r="D282" t="s">
        <v>352</v>
      </c>
    </row>
    <row r="283" spans="1:4">
      <c r="A283" t="s">
        <v>312</v>
      </c>
      <c r="B283" t="s">
        <v>357</v>
      </c>
      <c r="C283">
        <v>46632</v>
      </c>
      <c r="D283" t="s">
        <v>352</v>
      </c>
    </row>
    <row r="284" spans="1:4">
      <c r="A284" t="s">
        <v>312</v>
      </c>
      <c r="B284" t="s">
        <v>358</v>
      </c>
      <c r="C284">
        <v>46632</v>
      </c>
      <c r="D284" t="s">
        <v>352</v>
      </c>
    </row>
    <row r="285" spans="1:4">
      <c r="A285" t="s">
        <v>312</v>
      </c>
      <c r="B285" t="s">
        <v>359</v>
      </c>
      <c r="C285">
        <v>46646</v>
      </c>
      <c r="D285" t="s">
        <v>352</v>
      </c>
    </row>
    <row r="286" spans="1:4">
      <c r="A286" t="s">
        <v>312</v>
      </c>
      <c r="B286" t="s">
        <v>360</v>
      </c>
      <c r="C286">
        <v>46623</v>
      </c>
      <c r="D286" t="s">
        <v>352</v>
      </c>
    </row>
    <row r="287" spans="1:4">
      <c r="A287" t="s">
        <v>312</v>
      </c>
      <c r="B287" t="s">
        <v>361</v>
      </c>
      <c r="C287">
        <v>46637</v>
      </c>
      <c r="D287" t="s">
        <v>352</v>
      </c>
    </row>
    <row r="288" spans="1:4">
      <c r="A288" t="s">
        <v>221</v>
      </c>
      <c r="B288" t="s">
        <v>352</v>
      </c>
      <c r="C288">
        <v>46512</v>
      </c>
      <c r="D288" t="s">
        <v>352</v>
      </c>
    </row>
    <row r="289" spans="1:4">
      <c r="A289" t="s">
        <v>221</v>
      </c>
      <c r="B289" t="s">
        <v>362</v>
      </c>
      <c r="C289">
        <v>46512</v>
      </c>
      <c r="D289" t="s">
        <v>352</v>
      </c>
    </row>
    <row r="290" spans="1:4">
      <c r="A290" t="s">
        <v>221</v>
      </c>
      <c r="B290" t="s">
        <v>414</v>
      </c>
      <c r="C290">
        <v>46543</v>
      </c>
      <c r="D290" t="s">
        <v>352</v>
      </c>
    </row>
    <row r="291" spans="1:4">
      <c r="A291" t="s">
        <v>221</v>
      </c>
      <c r="B291" t="s">
        <v>393</v>
      </c>
      <c r="C291">
        <v>46545</v>
      </c>
      <c r="D291" t="s">
        <v>352</v>
      </c>
    </row>
    <row r="292" spans="1:4">
      <c r="A292" t="s">
        <v>221</v>
      </c>
      <c r="B292" t="s">
        <v>394</v>
      </c>
      <c r="C292">
        <v>46604</v>
      </c>
      <c r="D292" t="s">
        <v>352</v>
      </c>
    </row>
    <row r="293" spans="1:4">
      <c r="A293" t="s">
        <v>221</v>
      </c>
      <c r="B293" t="s">
        <v>378</v>
      </c>
      <c r="C293">
        <v>46609</v>
      </c>
      <c r="D293" t="s">
        <v>352</v>
      </c>
    </row>
    <row r="294" spans="1:4">
      <c r="A294" t="s">
        <v>221</v>
      </c>
      <c r="B294" t="s">
        <v>395</v>
      </c>
      <c r="C294">
        <v>46535</v>
      </c>
      <c r="D294" t="s">
        <v>352</v>
      </c>
    </row>
    <row r="295" spans="1:4">
      <c r="A295" t="s">
        <v>221</v>
      </c>
      <c r="B295" t="s">
        <v>396</v>
      </c>
      <c r="C295">
        <v>46526</v>
      </c>
      <c r="D295" t="s">
        <v>352</v>
      </c>
    </row>
    <row r="296" spans="1:4">
      <c r="A296" t="s">
        <v>221</v>
      </c>
      <c r="B296" t="s">
        <v>364</v>
      </c>
      <c r="C296">
        <v>46542</v>
      </c>
      <c r="D296" t="s">
        <v>352</v>
      </c>
    </row>
    <row r="297" spans="1:4">
      <c r="A297" t="s">
        <v>221</v>
      </c>
      <c r="B297" t="s">
        <v>397</v>
      </c>
      <c r="C297">
        <v>46540</v>
      </c>
      <c r="D297" t="s">
        <v>352</v>
      </c>
    </row>
    <row r="298" spans="1:4">
      <c r="A298" t="s">
        <v>221</v>
      </c>
      <c r="B298" t="s">
        <v>398</v>
      </c>
      <c r="C298">
        <v>46546</v>
      </c>
      <c r="D298" t="s">
        <v>352</v>
      </c>
    </row>
    <row r="299" spans="1:4">
      <c r="A299" t="s">
        <v>221</v>
      </c>
      <c r="B299" t="s">
        <v>399</v>
      </c>
      <c r="C299">
        <v>46559</v>
      </c>
      <c r="D299" t="s">
        <v>352</v>
      </c>
    </row>
    <row r="300" spans="1:4">
      <c r="A300" t="s">
        <v>221</v>
      </c>
      <c r="B300" t="s">
        <v>370</v>
      </c>
      <c r="C300">
        <v>46550</v>
      </c>
      <c r="D300" t="s">
        <v>352</v>
      </c>
    </row>
    <row r="301" spans="1:4">
      <c r="A301" t="s">
        <v>221</v>
      </c>
      <c r="B301" t="s">
        <v>371</v>
      </c>
      <c r="C301">
        <v>46567</v>
      </c>
      <c r="D301" t="s">
        <v>352</v>
      </c>
    </row>
    <row r="302" spans="1:4">
      <c r="A302" t="s">
        <v>221</v>
      </c>
      <c r="B302" t="s">
        <v>400</v>
      </c>
      <c r="C302">
        <v>46548</v>
      </c>
      <c r="D302" t="s">
        <v>352</v>
      </c>
    </row>
    <row r="303" spans="1:4">
      <c r="A303" t="s">
        <v>221</v>
      </c>
      <c r="B303" t="s">
        <v>415</v>
      </c>
      <c r="C303">
        <v>46513</v>
      </c>
      <c r="D303" t="s">
        <v>352</v>
      </c>
    </row>
    <row r="304" spans="1:4">
      <c r="A304" t="s">
        <v>221</v>
      </c>
      <c r="B304" t="s">
        <v>402</v>
      </c>
      <c r="C304">
        <v>46542</v>
      </c>
      <c r="D304" t="s">
        <v>352</v>
      </c>
    </row>
    <row r="305" spans="1:4">
      <c r="A305" t="s">
        <v>221</v>
      </c>
      <c r="B305" t="s">
        <v>391</v>
      </c>
      <c r="C305">
        <v>46567</v>
      </c>
      <c r="D305" t="s">
        <v>352</v>
      </c>
    </row>
    <row r="306" spans="1:4">
      <c r="A306" t="s">
        <v>221</v>
      </c>
      <c r="B306" t="s">
        <v>403</v>
      </c>
      <c r="C306">
        <v>46532</v>
      </c>
      <c r="D306" t="s">
        <v>352</v>
      </c>
    </row>
    <row r="307" spans="1:4">
      <c r="A307" t="s">
        <v>221</v>
      </c>
      <c r="B307" t="s">
        <v>416</v>
      </c>
      <c r="C307">
        <v>46533</v>
      </c>
      <c r="D307" t="s">
        <v>352</v>
      </c>
    </row>
    <row r="308" spans="1:4">
      <c r="A308" t="s">
        <v>221</v>
      </c>
      <c r="B308" t="s">
        <v>417</v>
      </c>
      <c r="C308">
        <v>46536</v>
      </c>
      <c r="D308" t="s">
        <v>352</v>
      </c>
    </row>
    <row r="309" spans="1:4">
      <c r="A309" t="s">
        <v>221</v>
      </c>
      <c r="B309" t="s">
        <v>216</v>
      </c>
      <c r="C309">
        <v>46539</v>
      </c>
      <c r="D309" t="s">
        <v>352</v>
      </c>
    </row>
    <row r="310" spans="1:4">
      <c r="A310" t="s">
        <v>221</v>
      </c>
      <c r="B310" t="s">
        <v>406</v>
      </c>
      <c r="C310">
        <v>46537</v>
      </c>
      <c r="D310" t="s">
        <v>352</v>
      </c>
    </row>
    <row r="311" spans="1:4">
      <c r="A311" t="s">
        <v>221</v>
      </c>
      <c r="B311" t="s">
        <v>407</v>
      </c>
      <c r="C311">
        <v>46549</v>
      </c>
      <c r="D311" t="s">
        <v>352</v>
      </c>
    </row>
    <row r="312" spans="1:4">
      <c r="A312" t="s">
        <v>221</v>
      </c>
      <c r="B312" t="s">
        <v>408</v>
      </c>
      <c r="C312">
        <v>46549</v>
      </c>
      <c r="D312" t="s">
        <v>352</v>
      </c>
    </row>
    <row r="313" spans="1:4">
      <c r="A313" t="s">
        <v>221</v>
      </c>
      <c r="B313" t="s">
        <v>409</v>
      </c>
      <c r="C313">
        <v>46549</v>
      </c>
      <c r="D313" t="s">
        <v>352</v>
      </c>
    </row>
    <row r="314" spans="1:4">
      <c r="A314" t="s">
        <v>221</v>
      </c>
      <c r="B314" t="s">
        <v>410</v>
      </c>
      <c r="C314">
        <v>46549</v>
      </c>
      <c r="D314" t="s">
        <v>352</v>
      </c>
    </row>
    <row r="315" spans="1:4">
      <c r="A315" t="s">
        <v>221</v>
      </c>
      <c r="B315" t="s">
        <v>411</v>
      </c>
      <c r="C315">
        <v>46549</v>
      </c>
      <c r="D315" t="s">
        <v>352</v>
      </c>
    </row>
    <row r="316" spans="1:4">
      <c r="A316" t="s">
        <v>221</v>
      </c>
      <c r="B316" t="s">
        <v>412</v>
      </c>
      <c r="C316">
        <v>46549</v>
      </c>
      <c r="D316" t="s">
        <v>352</v>
      </c>
    </row>
    <row r="317" spans="1:4">
      <c r="A317" t="s">
        <v>221</v>
      </c>
      <c r="B317" t="s">
        <v>184</v>
      </c>
      <c r="C317">
        <v>46573</v>
      </c>
      <c r="D317" t="s">
        <v>352</v>
      </c>
    </row>
    <row r="318" spans="1:4">
      <c r="A318" t="s">
        <v>221</v>
      </c>
      <c r="B318" t="s">
        <v>413</v>
      </c>
      <c r="C318">
        <v>46604</v>
      </c>
      <c r="D318" t="s">
        <v>352</v>
      </c>
    </row>
    <row r="319" spans="1:4">
      <c r="A319" t="s">
        <v>221</v>
      </c>
      <c r="B319" t="s">
        <v>379</v>
      </c>
      <c r="C319">
        <v>46574</v>
      </c>
      <c r="D319" t="s">
        <v>352</v>
      </c>
    </row>
    <row r="320" spans="1:4">
      <c r="A320" t="s">
        <v>221</v>
      </c>
      <c r="B320" t="s">
        <v>381</v>
      </c>
      <c r="C320">
        <v>46617</v>
      </c>
      <c r="D320" t="s">
        <v>352</v>
      </c>
    </row>
    <row r="321" spans="1:4">
      <c r="A321" t="s">
        <v>221</v>
      </c>
      <c r="B321" t="s">
        <v>375</v>
      </c>
      <c r="C321">
        <v>46615</v>
      </c>
      <c r="D321" t="s">
        <v>352</v>
      </c>
    </row>
    <row r="322" spans="1:4">
      <c r="A322" t="s">
        <v>221</v>
      </c>
      <c r="B322" t="s">
        <v>380</v>
      </c>
      <c r="C322">
        <v>46610</v>
      </c>
      <c r="D322" t="s">
        <v>352</v>
      </c>
    </row>
    <row r="323" spans="1:4">
      <c r="A323" t="s">
        <v>221</v>
      </c>
      <c r="B323" t="s">
        <v>382</v>
      </c>
      <c r="C323">
        <v>46616</v>
      </c>
      <c r="D323" t="s">
        <v>352</v>
      </c>
    </row>
    <row r="324" spans="1:4">
      <c r="A324" t="s">
        <v>221</v>
      </c>
      <c r="B324" t="s">
        <v>383</v>
      </c>
      <c r="C324">
        <v>46609</v>
      </c>
      <c r="D324" t="s">
        <v>352</v>
      </c>
    </row>
    <row r="325" spans="1:4">
      <c r="A325" t="s">
        <v>221</v>
      </c>
      <c r="B325" t="s">
        <v>384</v>
      </c>
      <c r="C325">
        <v>46616</v>
      </c>
      <c r="D325" t="s">
        <v>352</v>
      </c>
    </row>
    <row r="326" spans="1:4">
      <c r="A326" t="s">
        <v>313</v>
      </c>
      <c r="B326" t="s">
        <v>352</v>
      </c>
      <c r="C326">
        <v>46574</v>
      </c>
      <c r="D326" t="s">
        <v>352</v>
      </c>
    </row>
    <row r="327" spans="1:4">
      <c r="A327" t="s">
        <v>313</v>
      </c>
      <c r="B327" t="s">
        <v>320</v>
      </c>
      <c r="C327">
        <v>46574</v>
      </c>
      <c r="D327" t="s">
        <v>352</v>
      </c>
    </row>
    <row r="328" spans="1:4">
      <c r="A328" t="s">
        <v>313</v>
      </c>
      <c r="B328" t="s">
        <v>353</v>
      </c>
      <c r="C328">
        <v>46575</v>
      </c>
      <c r="D328" t="s">
        <v>352</v>
      </c>
    </row>
    <row r="329" spans="1:4">
      <c r="A329" t="s">
        <v>313</v>
      </c>
      <c r="B329" t="s">
        <v>354</v>
      </c>
      <c r="C329">
        <v>46577</v>
      </c>
      <c r="D329" t="s">
        <v>352</v>
      </c>
    </row>
    <row r="330" spans="1:4">
      <c r="A330" t="s">
        <v>313</v>
      </c>
      <c r="B330" t="s">
        <v>355</v>
      </c>
      <c r="C330">
        <v>46598</v>
      </c>
      <c r="D330" t="s">
        <v>352</v>
      </c>
    </row>
    <row r="331" spans="1:4">
      <c r="A331" t="s">
        <v>313</v>
      </c>
      <c r="B331" t="s">
        <v>356</v>
      </c>
      <c r="C331">
        <v>46604</v>
      </c>
      <c r="D331" t="s">
        <v>352</v>
      </c>
    </row>
    <row r="332" spans="1:4">
      <c r="A332" t="s">
        <v>313</v>
      </c>
      <c r="B332" t="s">
        <v>357</v>
      </c>
      <c r="C332">
        <v>46612</v>
      </c>
      <c r="D332" t="s">
        <v>352</v>
      </c>
    </row>
    <row r="333" spans="1:4">
      <c r="A333" t="s">
        <v>313</v>
      </c>
      <c r="B333" t="s">
        <v>358</v>
      </c>
      <c r="C333">
        <v>46612</v>
      </c>
      <c r="D333" t="s">
        <v>352</v>
      </c>
    </row>
    <row r="334" spans="1:4">
      <c r="A334" t="s">
        <v>313</v>
      </c>
      <c r="B334" t="s">
        <v>359</v>
      </c>
      <c r="C334">
        <v>46646</v>
      </c>
      <c r="D334" t="s">
        <v>352</v>
      </c>
    </row>
    <row r="335" spans="1:4">
      <c r="A335" t="s">
        <v>313</v>
      </c>
      <c r="B335" t="s">
        <v>360</v>
      </c>
      <c r="C335">
        <v>46604</v>
      </c>
      <c r="D335" t="s">
        <v>352</v>
      </c>
    </row>
    <row r="336" spans="1:4">
      <c r="A336" t="s">
        <v>313</v>
      </c>
      <c r="B336" t="s">
        <v>361</v>
      </c>
      <c r="C336">
        <v>46619</v>
      </c>
      <c r="D336" t="s">
        <v>352</v>
      </c>
    </row>
    <row r="337" spans="1:4">
      <c r="A337" t="s">
        <v>209</v>
      </c>
      <c r="B337" t="s">
        <v>352</v>
      </c>
      <c r="C337">
        <v>46491</v>
      </c>
      <c r="D337" t="s">
        <v>352</v>
      </c>
    </row>
    <row r="338" spans="1:4">
      <c r="A338" t="s">
        <v>209</v>
      </c>
      <c r="B338" t="s">
        <v>362</v>
      </c>
      <c r="C338">
        <v>46491</v>
      </c>
      <c r="D338" t="s">
        <v>352</v>
      </c>
    </row>
    <row r="339" spans="1:4">
      <c r="A339" t="s">
        <v>209</v>
      </c>
      <c r="B339" t="s">
        <v>414</v>
      </c>
      <c r="C339">
        <v>46524</v>
      </c>
      <c r="D339" t="s">
        <v>352</v>
      </c>
    </row>
    <row r="340" spans="1:4">
      <c r="A340" t="s">
        <v>209</v>
      </c>
      <c r="B340" t="s">
        <v>393</v>
      </c>
      <c r="C340">
        <v>46526</v>
      </c>
      <c r="D340" t="s">
        <v>352</v>
      </c>
    </row>
    <row r="341" spans="1:4">
      <c r="A341" t="s">
        <v>209</v>
      </c>
      <c r="B341" t="s">
        <v>394</v>
      </c>
      <c r="C341">
        <v>46584</v>
      </c>
      <c r="D341" t="s">
        <v>352</v>
      </c>
    </row>
    <row r="342" spans="1:4">
      <c r="A342" t="s">
        <v>209</v>
      </c>
      <c r="B342" t="s">
        <v>378</v>
      </c>
      <c r="C342">
        <v>46590</v>
      </c>
      <c r="D342" t="s">
        <v>352</v>
      </c>
    </row>
    <row r="343" spans="1:4">
      <c r="A343" t="s">
        <v>209</v>
      </c>
      <c r="B343" t="s">
        <v>395</v>
      </c>
      <c r="C343">
        <v>46515</v>
      </c>
      <c r="D343" t="s">
        <v>352</v>
      </c>
    </row>
    <row r="344" spans="1:4">
      <c r="A344" t="s">
        <v>209</v>
      </c>
      <c r="B344" t="s">
        <v>396</v>
      </c>
      <c r="C344">
        <v>46506</v>
      </c>
      <c r="D344" t="s">
        <v>352</v>
      </c>
    </row>
    <row r="345" spans="1:4">
      <c r="A345" t="s">
        <v>209</v>
      </c>
      <c r="B345" t="s">
        <v>364</v>
      </c>
      <c r="C345">
        <v>46521</v>
      </c>
      <c r="D345" t="s">
        <v>352</v>
      </c>
    </row>
    <row r="346" spans="1:4">
      <c r="A346" t="s">
        <v>209</v>
      </c>
      <c r="B346" t="s">
        <v>397</v>
      </c>
      <c r="C346">
        <v>46511</v>
      </c>
      <c r="D346" t="s">
        <v>352</v>
      </c>
    </row>
    <row r="347" spans="1:4">
      <c r="A347" t="s">
        <v>209</v>
      </c>
      <c r="B347" t="s">
        <v>398</v>
      </c>
      <c r="C347">
        <v>46522</v>
      </c>
      <c r="D347" t="s">
        <v>352</v>
      </c>
    </row>
    <row r="348" spans="1:4">
      <c r="A348" t="s">
        <v>209</v>
      </c>
      <c r="B348" t="s">
        <v>399</v>
      </c>
      <c r="C348">
        <v>46528</v>
      </c>
      <c r="D348" t="s">
        <v>352</v>
      </c>
    </row>
    <row r="349" spans="1:4">
      <c r="A349" t="s">
        <v>209</v>
      </c>
      <c r="B349" t="s">
        <v>370</v>
      </c>
      <c r="C349">
        <v>46537</v>
      </c>
      <c r="D349" t="s">
        <v>352</v>
      </c>
    </row>
    <row r="350" spans="1:4">
      <c r="A350" t="s">
        <v>209</v>
      </c>
      <c r="B350" t="s">
        <v>371</v>
      </c>
      <c r="C350">
        <v>46548</v>
      </c>
      <c r="D350" t="s">
        <v>352</v>
      </c>
    </row>
    <row r="351" spans="1:4">
      <c r="A351" t="s">
        <v>209</v>
      </c>
      <c r="B351" t="s">
        <v>400</v>
      </c>
      <c r="C351">
        <v>46524</v>
      </c>
      <c r="D351" t="s">
        <v>352</v>
      </c>
    </row>
    <row r="352" spans="1:4">
      <c r="A352" t="s">
        <v>209</v>
      </c>
      <c r="B352" t="s">
        <v>418</v>
      </c>
      <c r="C352">
        <v>46492</v>
      </c>
      <c r="D352" t="s">
        <v>352</v>
      </c>
    </row>
    <row r="353" spans="1:4">
      <c r="A353" t="s">
        <v>209</v>
      </c>
      <c r="B353" t="s">
        <v>402</v>
      </c>
      <c r="C353">
        <v>46521</v>
      </c>
      <c r="D353" t="s">
        <v>352</v>
      </c>
    </row>
    <row r="354" spans="1:4">
      <c r="A354" t="s">
        <v>209</v>
      </c>
      <c r="B354" t="s">
        <v>391</v>
      </c>
      <c r="C354">
        <v>46555</v>
      </c>
      <c r="D354" t="s">
        <v>352</v>
      </c>
    </row>
    <row r="355" spans="1:4">
      <c r="A355" t="s">
        <v>209</v>
      </c>
      <c r="B355" t="s">
        <v>403</v>
      </c>
      <c r="C355">
        <v>46521</v>
      </c>
      <c r="D355" t="s">
        <v>352</v>
      </c>
    </row>
    <row r="356" spans="1:4">
      <c r="A356" t="s">
        <v>209</v>
      </c>
      <c r="B356" t="s">
        <v>416</v>
      </c>
      <c r="C356">
        <v>46518</v>
      </c>
      <c r="D356" t="s">
        <v>352</v>
      </c>
    </row>
    <row r="357" spans="1:4">
      <c r="A357" t="s">
        <v>209</v>
      </c>
      <c r="B357" t="s">
        <v>405</v>
      </c>
      <c r="C357">
        <v>46514</v>
      </c>
      <c r="D357" t="s">
        <v>352</v>
      </c>
    </row>
    <row r="358" spans="1:4">
      <c r="A358" t="s">
        <v>209</v>
      </c>
      <c r="B358" t="s">
        <v>216</v>
      </c>
      <c r="C358">
        <v>46513</v>
      </c>
      <c r="D358" t="s">
        <v>352</v>
      </c>
    </row>
    <row r="359" spans="1:4">
      <c r="A359" t="s">
        <v>209</v>
      </c>
      <c r="B359" t="s">
        <v>406</v>
      </c>
      <c r="C359">
        <v>46517</v>
      </c>
      <c r="D359" t="s">
        <v>352</v>
      </c>
    </row>
    <row r="360" spans="1:4">
      <c r="A360" t="s">
        <v>209</v>
      </c>
      <c r="B360" t="s">
        <v>407</v>
      </c>
      <c r="C360">
        <v>46528</v>
      </c>
      <c r="D360" t="s">
        <v>352</v>
      </c>
    </row>
    <row r="361" spans="1:4">
      <c r="A361" t="s">
        <v>209</v>
      </c>
      <c r="B361" t="s">
        <v>408</v>
      </c>
      <c r="C361">
        <v>46528</v>
      </c>
      <c r="D361" t="s">
        <v>352</v>
      </c>
    </row>
    <row r="362" spans="1:4">
      <c r="A362" t="s">
        <v>209</v>
      </c>
      <c r="B362" t="s">
        <v>409</v>
      </c>
      <c r="C362">
        <v>46528</v>
      </c>
      <c r="D362" t="s">
        <v>352</v>
      </c>
    </row>
    <row r="363" spans="1:4">
      <c r="A363" t="s">
        <v>209</v>
      </c>
      <c r="B363" t="s">
        <v>410</v>
      </c>
      <c r="C363">
        <v>46528</v>
      </c>
      <c r="D363" t="s">
        <v>352</v>
      </c>
    </row>
    <row r="364" spans="1:4">
      <c r="A364" t="s">
        <v>209</v>
      </c>
      <c r="B364" t="s">
        <v>411</v>
      </c>
      <c r="C364">
        <v>46528</v>
      </c>
      <c r="D364" t="s">
        <v>352</v>
      </c>
    </row>
    <row r="365" spans="1:4">
      <c r="A365" t="s">
        <v>209</v>
      </c>
      <c r="B365" t="s">
        <v>412</v>
      </c>
      <c r="C365">
        <v>46528</v>
      </c>
      <c r="D365" t="s">
        <v>352</v>
      </c>
    </row>
    <row r="366" spans="1:4">
      <c r="A366" t="s">
        <v>209</v>
      </c>
      <c r="B366" t="s">
        <v>184</v>
      </c>
      <c r="C366">
        <v>46556</v>
      </c>
      <c r="D366" t="s">
        <v>352</v>
      </c>
    </row>
    <row r="367" spans="1:4">
      <c r="A367" t="s">
        <v>209</v>
      </c>
      <c r="B367" t="s">
        <v>413</v>
      </c>
      <c r="C367">
        <v>46584</v>
      </c>
      <c r="D367" t="s">
        <v>352</v>
      </c>
    </row>
    <row r="368" spans="1:4">
      <c r="A368" t="s">
        <v>209</v>
      </c>
      <c r="B368" t="s">
        <v>379</v>
      </c>
      <c r="C368">
        <v>46555</v>
      </c>
      <c r="D368" t="s">
        <v>352</v>
      </c>
    </row>
    <row r="369" spans="1:4">
      <c r="A369" t="s">
        <v>209</v>
      </c>
      <c r="B369" t="s">
        <v>381</v>
      </c>
      <c r="C369">
        <v>46598</v>
      </c>
      <c r="D369" t="s">
        <v>352</v>
      </c>
    </row>
    <row r="370" spans="1:4">
      <c r="A370" t="s">
        <v>209</v>
      </c>
      <c r="B370" t="s">
        <v>375</v>
      </c>
      <c r="C370">
        <v>46596</v>
      </c>
      <c r="D370" t="s">
        <v>352</v>
      </c>
    </row>
    <row r="371" spans="1:4">
      <c r="A371" t="s">
        <v>209</v>
      </c>
      <c r="B371" t="s">
        <v>380</v>
      </c>
      <c r="C371">
        <v>46591</v>
      </c>
      <c r="D371" t="s">
        <v>352</v>
      </c>
    </row>
    <row r="372" spans="1:4">
      <c r="A372" t="s">
        <v>209</v>
      </c>
      <c r="B372" t="s">
        <v>382</v>
      </c>
      <c r="C372">
        <v>46597</v>
      </c>
      <c r="D372" t="s">
        <v>352</v>
      </c>
    </row>
    <row r="373" spans="1:4">
      <c r="A373" t="s">
        <v>209</v>
      </c>
      <c r="B373" t="s">
        <v>383</v>
      </c>
      <c r="C373">
        <v>46590</v>
      </c>
      <c r="D373" t="s">
        <v>352</v>
      </c>
    </row>
    <row r="374" spans="1:4">
      <c r="A374" t="s">
        <v>209</v>
      </c>
      <c r="B374" t="s">
        <v>384</v>
      </c>
      <c r="C374">
        <v>46597</v>
      </c>
      <c r="D374" t="s">
        <v>352</v>
      </c>
    </row>
    <row r="375" spans="1:4">
      <c r="A375" t="s">
        <v>314</v>
      </c>
      <c r="B375" t="s">
        <v>352</v>
      </c>
      <c r="C375">
        <v>46555</v>
      </c>
      <c r="D375" t="s">
        <v>352</v>
      </c>
    </row>
    <row r="376" spans="1:4">
      <c r="A376" t="s">
        <v>314</v>
      </c>
      <c r="B376" t="s">
        <v>320</v>
      </c>
      <c r="C376">
        <v>46555</v>
      </c>
      <c r="D376" t="s">
        <v>352</v>
      </c>
    </row>
    <row r="377" spans="1:4">
      <c r="A377" t="s">
        <v>314</v>
      </c>
      <c r="B377" t="s">
        <v>353</v>
      </c>
      <c r="C377">
        <v>46556</v>
      </c>
      <c r="D377" t="s">
        <v>352</v>
      </c>
    </row>
    <row r="378" spans="1:4">
      <c r="A378" t="s">
        <v>314</v>
      </c>
      <c r="B378" t="s">
        <v>354</v>
      </c>
      <c r="C378">
        <v>46560</v>
      </c>
      <c r="D378" t="s">
        <v>352</v>
      </c>
    </row>
    <row r="379" spans="1:4">
      <c r="A379" t="s">
        <v>314</v>
      </c>
      <c r="B379" t="s">
        <v>355</v>
      </c>
      <c r="C379">
        <v>46580</v>
      </c>
      <c r="D379" t="s">
        <v>352</v>
      </c>
    </row>
    <row r="380" spans="1:4">
      <c r="A380" t="s">
        <v>314</v>
      </c>
      <c r="B380" t="s">
        <v>356</v>
      </c>
      <c r="C380">
        <v>46585</v>
      </c>
      <c r="D380" t="s">
        <v>352</v>
      </c>
    </row>
    <row r="381" spans="1:4">
      <c r="A381" t="s">
        <v>314</v>
      </c>
      <c r="B381" t="s">
        <v>357</v>
      </c>
      <c r="C381">
        <v>46596</v>
      </c>
      <c r="D381" t="s">
        <v>352</v>
      </c>
    </row>
    <row r="382" spans="1:4">
      <c r="A382" t="s">
        <v>314</v>
      </c>
      <c r="B382" t="s">
        <v>358</v>
      </c>
      <c r="C382">
        <v>46596</v>
      </c>
      <c r="D382" t="s">
        <v>352</v>
      </c>
    </row>
    <row r="383" spans="1:4">
      <c r="A383" t="s">
        <v>314</v>
      </c>
      <c r="B383" t="s">
        <v>359</v>
      </c>
      <c r="C383">
        <v>46646</v>
      </c>
      <c r="D383" t="s">
        <v>352</v>
      </c>
    </row>
    <row r="384" spans="1:4">
      <c r="A384" t="s">
        <v>314</v>
      </c>
      <c r="B384" t="s">
        <v>360</v>
      </c>
      <c r="C384">
        <v>46585</v>
      </c>
      <c r="D384" t="s">
        <v>352</v>
      </c>
    </row>
    <row r="385" spans="1:4">
      <c r="A385" t="s">
        <v>314</v>
      </c>
      <c r="B385" t="s">
        <v>361</v>
      </c>
      <c r="C385">
        <v>46600</v>
      </c>
      <c r="D385" t="s">
        <v>352</v>
      </c>
    </row>
    <row r="386" spans="1:4">
      <c r="A386" t="s">
        <v>174</v>
      </c>
      <c r="B386" t="s">
        <v>352</v>
      </c>
      <c r="C386">
        <v>46507</v>
      </c>
      <c r="D386" t="s">
        <v>352</v>
      </c>
    </row>
    <row r="387" spans="1:4">
      <c r="A387" t="s">
        <v>174</v>
      </c>
      <c r="B387" t="s">
        <v>362</v>
      </c>
      <c r="C387">
        <v>46507</v>
      </c>
      <c r="D387" t="s">
        <v>352</v>
      </c>
    </row>
    <row r="388" spans="1:4">
      <c r="A388" t="s">
        <v>174</v>
      </c>
      <c r="B388" t="s">
        <v>364</v>
      </c>
      <c r="C388">
        <v>46589</v>
      </c>
      <c r="D388" t="s">
        <v>352</v>
      </c>
    </row>
    <row r="389" spans="1:4">
      <c r="A389" t="s">
        <v>174</v>
      </c>
      <c r="B389" t="s">
        <v>419</v>
      </c>
      <c r="C389">
        <v>46538</v>
      </c>
      <c r="D389" t="s">
        <v>352</v>
      </c>
    </row>
    <row r="390" spans="1:4">
      <c r="A390" t="s">
        <v>174</v>
      </c>
      <c r="B390" t="s">
        <v>420</v>
      </c>
      <c r="C390">
        <v>46532</v>
      </c>
      <c r="D390" t="s">
        <v>352</v>
      </c>
    </row>
    <row r="391" spans="1:4">
      <c r="A391" t="s">
        <v>174</v>
      </c>
      <c r="B391" t="s">
        <v>421</v>
      </c>
      <c r="C391">
        <v>46534</v>
      </c>
      <c r="D391" t="s">
        <v>352</v>
      </c>
    </row>
    <row r="392" spans="1:4">
      <c r="A392" t="s">
        <v>174</v>
      </c>
      <c r="B392" t="s">
        <v>367</v>
      </c>
      <c r="C392">
        <v>46543</v>
      </c>
      <c r="D392" t="s">
        <v>352</v>
      </c>
    </row>
    <row r="393" spans="1:4">
      <c r="A393" t="s">
        <v>174</v>
      </c>
      <c r="B393" t="s">
        <v>389</v>
      </c>
      <c r="C393">
        <v>46546</v>
      </c>
      <c r="D393" t="s">
        <v>352</v>
      </c>
    </row>
    <row r="394" spans="1:4">
      <c r="A394" t="s">
        <v>174</v>
      </c>
      <c r="B394" t="s">
        <v>388</v>
      </c>
      <c r="C394">
        <v>46546</v>
      </c>
      <c r="D394" t="s">
        <v>352</v>
      </c>
    </row>
    <row r="395" spans="1:4">
      <c r="A395" t="s">
        <v>174</v>
      </c>
      <c r="B395" t="s">
        <v>422</v>
      </c>
      <c r="C395">
        <v>46545</v>
      </c>
      <c r="D395" t="s">
        <v>352</v>
      </c>
    </row>
    <row r="396" spans="1:4">
      <c r="A396" t="s">
        <v>174</v>
      </c>
      <c r="B396" t="s">
        <v>423</v>
      </c>
      <c r="C396">
        <v>46573</v>
      </c>
      <c r="D396" t="s">
        <v>352</v>
      </c>
    </row>
    <row r="397" spans="1:4">
      <c r="A397" t="s">
        <v>174</v>
      </c>
      <c r="B397" t="s">
        <v>424</v>
      </c>
      <c r="C397">
        <v>46548</v>
      </c>
      <c r="D397" t="s">
        <v>352</v>
      </c>
    </row>
    <row r="398" spans="1:4">
      <c r="A398" t="s">
        <v>174</v>
      </c>
      <c r="B398" t="s">
        <v>425</v>
      </c>
      <c r="C398">
        <v>46550</v>
      </c>
      <c r="D398" t="s">
        <v>352</v>
      </c>
    </row>
    <row r="399" spans="1:4">
      <c r="A399" t="s">
        <v>174</v>
      </c>
      <c r="B399" t="s">
        <v>426</v>
      </c>
      <c r="C399">
        <v>46582</v>
      </c>
      <c r="D399" t="s">
        <v>352</v>
      </c>
    </row>
    <row r="400" spans="1:4">
      <c r="A400" t="s">
        <v>174</v>
      </c>
      <c r="B400" t="s">
        <v>119</v>
      </c>
      <c r="C400">
        <v>46602</v>
      </c>
      <c r="D400" t="s">
        <v>352</v>
      </c>
    </row>
    <row r="401" spans="1:4">
      <c r="A401" t="s">
        <v>174</v>
      </c>
      <c r="B401" t="s">
        <v>390</v>
      </c>
      <c r="C401">
        <v>46615</v>
      </c>
      <c r="D401" t="s">
        <v>352</v>
      </c>
    </row>
    <row r="402" spans="1:4">
      <c r="A402" t="s">
        <v>174</v>
      </c>
      <c r="B402" t="s">
        <v>385</v>
      </c>
      <c r="C402">
        <v>46587</v>
      </c>
      <c r="D402" t="s">
        <v>352</v>
      </c>
    </row>
    <row r="403" spans="1:4">
      <c r="A403" t="s">
        <v>174</v>
      </c>
      <c r="B403" t="s">
        <v>386</v>
      </c>
      <c r="C403">
        <v>46587</v>
      </c>
      <c r="D403" t="s">
        <v>352</v>
      </c>
    </row>
    <row r="404" spans="1:4">
      <c r="A404" t="s">
        <v>174</v>
      </c>
      <c r="B404" t="s">
        <v>370</v>
      </c>
      <c r="C404">
        <v>46561</v>
      </c>
      <c r="D404" t="s">
        <v>352</v>
      </c>
    </row>
    <row r="405" spans="1:4">
      <c r="A405" t="s">
        <v>174</v>
      </c>
      <c r="B405" t="s">
        <v>427</v>
      </c>
      <c r="C405">
        <v>46572</v>
      </c>
      <c r="D405" t="s">
        <v>352</v>
      </c>
    </row>
    <row r="406" spans="1:4">
      <c r="A406" t="s">
        <v>174</v>
      </c>
      <c r="B406" t="s">
        <v>371</v>
      </c>
      <c r="C406">
        <v>46594</v>
      </c>
      <c r="D406" t="s">
        <v>352</v>
      </c>
    </row>
    <row r="407" spans="1:4">
      <c r="A407" t="s">
        <v>174</v>
      </c>
      <c r="B407" t="s">
        <v>428</v>
      </c>
      <c r="C407">
        <v>46508</v>
      </c>
      <c r="D407" t="s">
        <v>352</v>
      </c>
    </row>
    <row r="408" spans="1:4">
      <c r="A408" t="s">
        <v>174</v>
      </c>
      <c r="B408" t="s">
        <v>429</v>
      </c>
      <c r="C408">
        <v>46508</v>
      </c>
      <c r="D408" t="s">
        <v>352</v>
      </c>
    </row>
    <row r="409" spans="1:4">
      <c r="A409" t="s">
        <v>174</v>
      </c>
      <c r="B409" t="s">
        <v>430</v>
      </c>
      <c r="C409">
        <v>46572</v>
      </c>
      <c r="D409" t="s">
        <v>352</v>
      </c>
    </row>
    <row r="410" spans="1:4">
      <c r="A410" t="s">
        <v>174</v>
      </c>
      <c r="B410" t="s">
        <v>431</v>
      </c>
      <c r="C410">
        <v>46581</v>
      </c>
      <c r="D410" t="s">
        <v>352</v>
      </c>
    </row>
    <row r="411" spans="1:4">
      <c r="A411" t="s">
        <v>174</v>
      </c>
      <c r="B411" t="s">
        <v>73</v>
      </c>
      <c r="C411">
        <v>46585</v>
      </c>
      <c r="D411" t="s">
        <v>352</v>
      </c>
    </row>
    <row r="412" spans="1:4">
      <c r="A412" t="s">
        <v>174</v>
      </c>
      <c r="B412" t="s">
        <v>432</v>
      </c>
      <c r="C412">
        <v>46601</v>
      </c>
      <c r="D412" t="s">
        <v>352</v>
      </c>
    </row>
    <row r="413" spans="1:4">
      <c r="A413" t="s">
        <v>174</v>
      </c>
      <c r="B413" t="s">
        <v>433</v>
      </c>
      <c r="C413">
        <v>46568</v>
      </c>
      <c r="D413" t="s">
        <v>352</v>
      </c>
    </row>
    <row r="414" spans="1:4">
      <c r="A414" t="s">
        <v>174</v>
      </c>
      <c r="B414" t="s">
        <v>372</v>
      </c>
      <c r="C414">
        <v>46584</v>
      </c>
      <c r="D414" t="s">
        <v>352</v>
      </c>
    </row>
    <row r="415" spans="1:4">
      <c r="A415" t="s">
        <v>174</v>
      </c>
      <c r="B415" t="s">
        <v>399</v>
      </c>
      <c r="C415">
        <v>46568</v>
      </c>
      <c r="D415" t="s">
        <v>352</v>
      </c>
    </row>
    <row r="416" spans="1:4">
      <c r="A416" t="s">
        <v>174</v>
      </c>
      <c r="B416" t="s">
        <v>375</v>
      </c>
      <c r="C416">
        <v>46641</v>
      </c>
      <c r="D416" t="s">
        <v>352</v>
      </c>
    </row>
    <row r="417" spans="1:4">
      <c r="A417" t="s">
        <v>174</v>
      </c>
      <c r="B417" t="s">
        <v>391</v>
      </c>
      <c r="C417">
        <v>46602</v>
      </c>
      <c r="D417" t="s">
        <v>352</v>
      </c>
    </row>
    <row r="418" spans="1:4">
      <c r="A418" t="s">
        <v>174</v>
      </c>
      <c r="B418" t="s">
        <v>434</v>
      </c>
      <c r="C418">
        <v>46560</v>
      </c>
      <c r="D418" t="s">
        <v>352</v>
      </c>
    </row>
    <row r="419" spans="1:4">
      <c r="A419" t="s">
        <v>174</v>
      </c>
      <c r="B419" t="s">
        <v>435</v>
      </c>
      <c r="C419">
        <v>46560</v>
      </c>
      <c r="D419" t="s">
        <v>352</v>
      </c>
    </row>
    <row r="420" spans="1:4">
      <c r="A420" t="s">
        <v>174</v>
      </c>
      <c r="B420" t="s">
        <v>436</v>
      </c>
      <c r="C420">
        <v>46560</v>
      </c>
      <c r="D420" t="s">
        <v>352</v>
      </c>
    </row>
    <row r="421" spans="1:4">
      <c r="A421" t="s">
        <v>174</v>
      </c>
      <c r="B421" t="s">
        <v>184</v>
      </c>
      <c r="C421">
        <v>46590</v>
      </c>
      <c r="D421" t="s">
        <v>352</v>
      </c>
    </row>
    <row r="422" spans="1:4">
      <c r="A422" t="s">
        <v>174</v>
      </c>
      <c r="B422" t="s">
        <v>378</v>
      </c>
      <c r="C422">
        <v>46629</v>
      </c>
      <c r="D422" t="s">
        <v>352</v>
      </c>
    </row>
    <row r="423" spans="1:4">
      <c r="A423" t="s">
        <v>174</v>
      </c>
      <c r="B423" t="s">
        <v>379</v>
      </c>
      <c r="C423">
        <v>46594</v>
      </c>
      <c r="D423" t="s">
        <v>352</v>
      </c>
    </row>
    <row r="424" spans="1:4">
      <c r="A424" t="s">
        <v>174</v>
      </c>
      <c r="B424" t="s">
        <v>381</v>
      </c>
      <c r="C424">
        <v>46642</v>
      </c>
      <c r="D424" t="s">
        <v>352</v>
      </c>
    </row>
    <row r="425" spans="1:4">
      <c r="A425" t="s">
        <v>174</v>
      </c>
      <c r="B425" t="s">
        <v>380</v>
      </c>
      <c r="C425">
        <v>46636</v>
      </c>
      <c r="D425" t="s">
        <v>352</v>
      </c>
    </row>
    <row r="426" spans="1:4">
      <c r="A426" t="s">
        <v>174</v>
      </c>
      <c r="B426" t="s">
        <v>382</v>
      </c>
      <c r="C426">
        <v>46641</v>
      </c>
      <c r="D426" t="s">
        <v>352</v>
      </c>
    </row>
    <row r="427" spans="1:4">
      <c r="A427" t="s">
        <v>174</v>
      </c>
      <c r="B427" t="s">
        <v>383</v>
      </c>
      <c r="C427">
        <v>46636</v>
      </c>
      <c r="D427" t="s">
        <v>352</v>
      </c>
    </row>
    <row r="428" spans="1:4">
      <c r="A428" t="s">
        <v>174</v>
      </c>
      <c r="B428" t="s">
        <v>384</v>
      </c>
      <c r="C428">
        <v>46641</v>
      </c>
      <c r="D428" t="s">
        <v>352</v>
      </c>
    </row>
    <row r="429" spans="1:4">
      <c r="A429" t="s">
        <v>175</v>
      </c>
      <c r="B429" t="s">
        <v>352</v>
      </c>
      <c r="C429">
        <v>46491</v>
      </c>
      <c r="D429" t="s">
        <v>352</v>
      </c>
    </row>
    <row r="430" spans="1:4">
      <c r="A430" t="s">
        <v>175</v>
      </c>
      <c r="B430" t="s">
        <v>362</v>
      </c>
      <c r="C430">
        <v>46491</v>
      </c>
      <c r="D430" t="s">
        <v>352</v>
      </c>
    </row>
    <row r="431" spans="1:4">
      <c r="A431" t="s">
        <v>175</v>
      </c>
      <c r="B431" t="s">
        <v>364</v>
      </c>
      <c r="C431">
        <v>46542</v>
      </c>
      <c r="D431" t="s">
        <v>352</v>
      </c>
    </row>
    <row r="432" spans="1:4">
      <c r="A432" t="s">
        <v>175</v>
      </c>
      <c r="B432" t="s">
        <v>419</v>
      </c>
      <c r="C432">
        <v>46515</v>
      </c>
      <c r="D432" t="s">
        <v>352</v>
      </c>
    </row>
    <row r="433" spans="1:4">
      <c r="A433" t="s">
        <v>175</v>
      </c>
      <c r="B433" t="s">
        <v>420</v>
      </c>
      <c r="C433">
        <v>46509</v>
      </c>
      <c r="D433" t="s">
        <v>352</v>
      </c>
    </row>
    <row r="434" spans="1:4">
      <c r="A434" t="s">
        <v>175</v>
      </c>
      <c r="B434" t="s">
        <v>421</v>
      </c>
      <c r="C434">
        <v>46512</v>
      </c>
      <c r="D434" t="s">
        <v>352</v>
      </c>
    </row>
    <row r="435" spans="1:4">
      <c r="A435" t="s">
        <v>175</v>
      </c>
      <c r="B435" t="s">
        <v>367</v>
      </c>
      <c r="C435">
        <v>46520</v>
      </c>
      <c r="D435" t="s">
        <v>352</v>
      </c>
    </row>
    <row r="436" spans="1:4">
      <c r="A436" t="s">
        <v>175</v>
      </c>
      <c r="B436" t="s">
        <v>389</v>
      </c>
      <c r="C436">
        <v>46525</v>
      </c>
      <c r="D436" t="s">
        <v>352</v>
      </c>
    </row>
    <row r="437" spans="1:4">
      <c r="A437" t="s">
        <v>175</v>
      </c>
      <c r="B437" t="s">
        <v>388</v>
      </c>
      <c r="C437">
        <v>46525</v>
      </c>
      <c r="D437" t="s">
        <v>352</v>
      </c>
    </row>
    <row r="438" spans="1:4">
      <c r="A438" t="s">
        <v>175</v>
      </c>
      <c r="B438" t="s">
        <v>422</v>
      </c>
      <c r="C438">
        <v>46524</v>
      </c>
      <c r="D438" t="s">
        <v>352</v>
      </c>
    </row>
    <row r="439" spans="1:4">
      <c r="A439" t="s">
        <v>175</v>
      </c>
      <c r="B439" t="s">
        <v>423</v>
      </c>
      <c r="C439">
        <v>46553</v>
      </c>
      <c r="D439" t="s">
        <v>352</v>
      </c>
    </row>
    <row r="440" spans="1:4">
      <c r="A440" t="s">
        <v>175</v>
      </c>
      <c r="B440" t="s">
        <v>424</v>
      </c>
      <c r="C440">
        <v>46526</v>
      </c>
      <c r="D440" t="s">
        <v>352</v>
      </c>
    </row>
    <row r="441" spans="1:4">
      <c r="A441" t="s">
        <v>175</v>
      </c>
      <c r="B441" t="s">
        <v>425</v>
      </c>
      <c r="C441">
        <v>46528</v>
      </c>
      <c r="D441" t="s">
        <v>352</v>
      </c>
    </row>
    <row r="442" spans="1:4">
      <c r="A442" t="s">
        <v>175</v>
      </c>
      <c r="B442" t="s">
        <v>426</v>
      </c>
      <c r="C442">
        <v>46530</v>
      </c>
      <c r="D442" t="s">
        <v>352</v>
      </c>
    </row>
    <row r="443" spans="1:4">
      <c r="A443" t="s">
        <v>175</v>
      </c>
      <c r="B443" t="s">
        <v>119</v>
      </c>
      <c r="C443">
        <v>46595</v>
      </c>
      <c r="D443" t="s">
        <v>352</v>
      </c>
    </row>
    <row r="444" spans="1:4">
      <c r="A444" t="s">
        <v>175</v>
      </c>
      <c r="B444" t="s">
        <v>390</v>
      </c>
      <c r="C444">
        <v>46588</v>
      </c>
      <c r="D444" t="s">
        <v>352</v>
      </c>
    </row>
    <row r="445" spans="1:4">
      <c r="A445" t="s">
        <v>175</v>
      </c>
      <c r="B445" t="s">
        <v>385</v>
      </c>
      <c r="C445">
        <v>46560</v>
      </c>
      <c r="D445" t="s">
        <v>352</v>
      </c>
    </row>
    <row r="446" spans="1:4">
      <c r="A446" t="s">
        <v>175</v>
      </c>
      <c r="B446" t="s">
        <v>386</v>
      </c>
      <c r="C446">
        <v>46573</v>
      </c>
      <c r="D446" t="s">
        <v>352</v>
      </c>
    </row>
    <row r="447" spans="1:4">
      <c r="A447" t="s">
        <v>175</v>
      </c>
      <c r="B447" t="s">
        <v>370</v>
      </c>
      <c r="C447">
        <v>46532</v>
      </c>
      <c r="D447" t="s">
        <v>352</v>
      </c>
    </row>
    <row r="448" spans="1:4">
      <c r="A448" t="s">
        <v>175</v>
      </c>
      <c r="B448" t="s">
        <v>427</v>
      </c>
      <c r="C448">
        <v>46553</v>
      </c>
      <c r="D448" t="s">
        <v>352</v>
      </c>
    </row>
    <row r="449" spans="1:4">
      <c r="A449" t="s">
        <v>175</v>
      </c>
      <c r="B449" t="s">
        <v>371</v>
      </c>
      <c r="C449">
        <v>46566</v>
      </c>
      <c r="D449" t="s">
        <v>352</v>
      </c>
    </row>
    <row r="450" spans="1:4">
      <c r="A450" t="s">
        <v>175</v>
      </c>
      <c r="B450" t="s">
        <v>428</v>
      </c>
      <c r="C450">
        <v>46492</v>
      </c>
      <c r="D450" t="s">
        <v>352</v>
      </c>
    </row>
    <row r="451" spans="1:4">
      <c r="A451" t="s">
        <v>175</v>
      </c>
      <c r="B451" t="s">
        <v>429</v>
      </c>
      <c r="C451">
        <v>46492</v>
      </c>
      <c r="D451" t="s">
        <v>352</v>
      </c>
    </row>
    <row r="452" spans="1:4">
      <c r="A452" t="s">
        <v>175</v>
      </c>
      <c r="B452" t="s">
        <v>430</v>
      </c>
      <c r="C452">
        <v>46572</v>
      </c>
      <c r="D452" t="s">
        <v>352</v>
      </c>
    </row>
    <row r="453" spans="1:4">
      <c r="A453" t="s">
        <v>175</v>
      </c>
      <c r="B453" t="s">
        <v>431</v>
      </c>
      <c r="C453">
        <v>46561</v>
      </c>
      <c r="D453" t="s">
        <v>352</v>
      </c>
    </row>
    <row r="454" spans="1:4">
      <c r="A454" t="s">
        <v>175</v>
      </c>
      <c r="B454" t="s">
        <v>73</v>
      </c>
      <c r="C454">
        <v>46580</v>
      </c>
      <c r="D454" t="s">
        <v>352</v>
      </c>
    </row>
    <row r="455" spans="1:4">
      <c r="A455" t="s">
        <v>175</v>
      </c>
      <c r="B455" t="s">
        <v>432</v>
      </c>
      <c r="C455">
        <v>46589</v>
      </c>
      <c r="D455" t="s">
        <v>352</v>
      </c>
    </row>
    <row r="456" spans="1:4">
      <c r="A456" t="s">
        <v>175</v>
      </c>
      <c r="B456" t="s">
        <v>433</v>
      </c>
      <c r="C456">
        <v>46535</v>
      </c>
      <c r="D456" t="s">
        <v>352</v>
      </c>
    </row>
    <row r="457" spans="1:4">
      <c r="A457" t="s">
        <v>175</v>
      </c>
      <c r="B457" t="s">
        <v>372</v>
      </c>
      <c r="C457">
        <v>46553</v>
      </c>
      <c r="D457" t="s">
        <v>352</v>
      </c>
    </row>
    <row r="458" spans="1:4">
      <c r="A458" t="s">
        <v>175</v>
      </c>
      <c r="B458" t="s">
        <v>399</v>
      </c>
      <c r="C458">
        <v>46535</v>
      </c>
      <c r="D458" t="s">
        <v>352</v>
      </c>
    </row>
    <row r="459" spans="1:4">
      <c r="A459" t="s">
        <v>175</v>
      </c>
      <c r="B459" t="s">
        <v>375</v>
      </c>
      <c r="C459">
        <v>46615</v>
      </c>
      <c r="D459" t="s">
        <v>352</v>
      </c>
    </row>
    <row r="460" spans="1:4">
      <c r="A460" t="s">
        <v>175</v>
      </c>
      <c r="B460" t="s">
        <v>391</v>
      </c>
      <c r="C460">
        <v>46587</v>
      </c>
      <c r="D460" t="s">
        <v>352</v>
      </c>
    </row>
    <row r="461" spans="1:4">
      <c r="A461" t="s">
        <v>175</v>
      </c>
      <c r="B461" t="s">
        <v>434</v>
      </c>
      <c r="C461">
        <v>46532</v>
      </c>
      <c r="D461" t="s">
        <v>352</v>
      </c>
    </row>
    <row r="462" spans="1:4">
      <c r="A462" t="s">
        <v>175</v>
      </c>
      <c r="B462" t="s">
        <v>435</v>
      </c>
      <c r="C462">
        <v>46532</v>
      </c>
      <c r="D462" t="s">
        <v>352</v>
      </c>
    </row>
    <row r="463" spans="1:4">
      <c r="A463" t="s">
        <v>175</v>
      </c>
      <c r="B463" t="s">
        <v>436</v>
      </c>
      <c r="C463">
        <v>46532</v>
      </c>
      <c r="D463" t="s">
        <v>352</v>
      </c>
    </row>
    <row r="464" spans="1:4">
      <c r="A464" t="s">
        <v>175</v>
      </c>
      <c r="B464" t="s">
        <v>184</v>
      </c>
      <c r="C464">
        <v>46567</v>
      </c>
      <c r="D464" t="s">
        <v>352</v>
      </c>
    </row>
    <row r="465" spans="1:4">
      <c r="A465" t="s">
        <v>175</v>
      </c>
      <c r="B465" t="s">
        <v>378</v>
      </c>
      <c r="C465">
        <v>46601</v>
      </c>
      <c r="D465" t="s">
        <v>352</v>
      </c>
    </row>
    <row r="466" spans="1:4">
      <c r="A466" t="s">
        <v>175</v>
      </c>
      <c r="B466" t="s">
        <v>379</v>
      </c>
      <c r="C466">
        <v>46573</v>
      </c>
      <c r="D466" t="s">
        <v>352</v>
      </c>
    </row>
    <row r="467" spans="1:4">
      <c r="A467" t="s">
        <v>175</v>
      </c>
      <c r="B467" t="s">
        <v>381</v>
      </c>
      <c r="C467">
        <v>46616</v>
      </c>
      <c r="D467" t="s">
        <v>352</v>
      </c>
    </row>
    <row r="468" spans="1:4">
      <c r="A468" t="s">
        <v>175</v>
      </c>
      <c r="B468" t="s">
        <v>380</v>
      </c>
      <c r="C468">
        <v>46609</v>
      </c>
      <c r="D468" t="s">
        <v>352</v>
      </c>
    </row>
    <row r="469" spans="1:4">
      <c r="A469" t="s">
        <v>175</v>
      </c>
      <c r="B469" t="s">
        <v>382</v>
      </c>
      <c r="C469">
        <v>46615</v>
      </c>
      <c r="D469" t="s">
        <v>352</v>
      </c>
    </row>
    <row r="470" spans="1:4">
      <c r="A470" t="s">
        <v>175</v>
      </c>
      <c r="B470" t="s">
        <v>383</v>
      </c>
      <c r="C470">
        <v>46608</v>
      </c>
      <c r="D470" t="s">
        <v>352</v>
      </c>
    </row>
    <row r="471" spans="1:4">
      <c r="A471" t="s">
        <v>175</v>
      </c>
      <c r="B471" t="s">
        <v>384</v>
      </c>
      <c r="C471">
        <v>46615</v>
      </c>
      <c r="D471" t="s">
        <v>352</v>
      </c>
    </row>
    <row r="472" spans="1:4">
      <c r="A472" t="s">
        <v>315</v>
      </c>
      <c r="B472" t="s">
        <v>352</v>
      </c>
      <c r="C472">
        <v>46580</v>
      </c>
      <c r="D472" t="s">
        <v>352</v>
      </c>
    </row>
    <row r="473" spans="1:4">
      <c r="A473" t="s">
        <v>315</v>
      </c>
      <c r="B473" t="s">
        <v>320</v>
      </c>
      <c r="C473">
        <v>46580</v>
      </c>
      <c r="D473" t="s">
        <v>352</v>
      </c>
    </row>
    <row r="474" spans="1:4">
      <c r="A474" t="s">
        <v>315</v>
      </c>
      <c r="B474" t="s">
        <v>355</v>
      </c>
      <c r="C474">
        <v>46617</v>
      </c>
      <c r="D474" t="s">
        <v>352</v>
      </c>
    </row>
    <row r="475" spans="1:4">
      <c r="A475" t="s">
        <v>315</v>
      </c>
      <c r="B475" t="s">
        <v>353</v>
      </c>
      <c r="C475">
        <v>46581</v>
      </c>
      <c r="D475" t="s">
        <v>352</v>
      </c>
    </row>
    <row r="476" spans="1:4">
      <c r="A476" t="s">
        <v>315</v>
      </c>
      <c r="B476" t="s">
        <v>356</v>
      </c>
      <c r="C476">
        <v>46624</v>
      </c>
      <c r="D476" t="s">
        <v>352</v>
      </c>
    </row>
    <row r="477" spans="1:4">
      <c r="A477" t="s">
        <v>315</v>
      </c>
      <c r="B477" t="s">
        <v>358</v>
      </c>
      <c r="C477">
        <v>46638</v>
      </c>
      <c r="D477" t="s">
        <v>352</v>
      </c>
    </row>
    <row r="478" spans="1:4">
      <c r="A478" t="s">
        <v>315</v>
      </c>
      <c r="B478" t="s">
        <v>359</v>
      </c>
      <c r="C478">
        <v>46645</v>
      </c>
      <c r="D478" t="s">
        <v>352</v>
      </c>
    </row>
    <row r="479" spans="1:4">
      <c r="A479" t="s">
        <v>315</v>
      </c>
      <c r="B479" t="s">
        <v>360</v>
      </c>
      <c r="C479">
        <v>46624</v>
      </c>
      <c r="D479" t="s">
        <v>352</v>
      </c>
    </row>
    <row r="480" spans="1:4">
      <c r="A480" t="s">
        <v>315</v>
      </c>
      <c r="B480" t="s">
        <v>361</v>
      </c>
      <c r="C480">
        <v>46644</v>
      </c>
      <c r="D480" t="s">
        <v>352</v>
      </c>
    </row>
    <row r="481" spans="1:4">
      <c r="A481" t="s">
        <v>315</v>
      </c>
      <c r="B481" t="s">
        <v>354</v>
      </c>
      <c r="C481">
        <v>46583</v>
      </c>
      <c r="D481" t="s">
        <v>352</v>
      </c>
    </row>
    <row r="482" spans="1:4">
      <c r="A482" t="s">
        <v>315</v>
      </c>
      <c r="B482" t="s">
        <v>357</v>
      </c>
      <c r="C482">
        <v>46638</v>
      </c>
      <c r="D482" t="s">
        <v>352</v>
      </c>
    </row>
    <row r="483" spans="1:4">
      <c r="A483" t="s">
        <v>316</v>
      </c>
      <c r="B483" t="s">
        <v>352</v>
      </c>
      <c r="C483">
        <v>46573</v>
      </c>
      <c r="D483" t="s">
        <v>352</v>
      </c>
    </row>
    <row r="484" spans="1:4">
      <c r="A484" t="s">
        <v>316</v>
      </c>
      <c r="B484" t="s">
        <v>320</v>
      </c>
      <c r="C484">
        <v>46573</v>
      </c>
      <c r="D484" t="s">
        <v>352</v>
      </c>
    </row>
    <row r="485" spans="1:4">
      <c r="A485" t="s">
        <v>316</v>
      </c>
      <c r="B485" t="s">
        <v>355</v>
      </c>
      <c r="C485">
        <v>46597</v>
      </c>
      <c r="D485" t="s">
        <v>352</v>
      </c>
    </row>
    <row r="486" spans="1:4">
      <c r="A486" t="s">
        <v>316</v>
      </c>
      <c r="B486" t="s">
        <v>353</v>
      </c>
      <c r="C486">
        <v>46574</v>
      </c>
      <c r="D486" t="s">
        <v>352</v>
      </c>
    </row>
    <row r="487" spans="1:4">
      <c r="A487" t="s">
        <v>316</v>
      </c>
      <c r="B487" t="s">
        <v>356</v>
      </c>
      <c r="C487">
        <v>46603</v>
      </c>
      <c r="D487" t="s">
        <v>352</v>
      </c>
    </row>
    <row r="488" spans="1:4">
      <c r="A488" t="s">
        <v>316</v>
      </c>
      <c r="B488" t="s">
        <v>358</v>
      </c>
      <c r="C488">
        <v>46612</v>
      </c>
      <c r="D488" t="s">
        <v>352</v>
      </c>
    </row>
    <row r="489" spans="1:4">
      <c r="A489" t="s">
        <v>316</v>
      </c>
      <c r="B489" t="s">
        <v>359</v>
      </c>
      <c r="C489">
        <v>46619</v>
      </c>
      <c r="D489" t="s">
        <v>352</v>
      </c>
    </row>
    <row r="490" spans="1:4">
      <c r="A490" t="s">
        <v>316</v>
      </c>
      <c r="B490" t="s">
        <v>360</v>
      </c>
      <c r="C490">
        <v>46603</v>
      </c>
      <c r="D490" t="s">
        <v>352</v>
      </c>
    </row>
    <row r="491" spans="1:4">
      <c r="A491" t="s">
        <v>316</v>
      </c>
      <c r="B491" t="s">
        <v>361</v>
      </c>
      <c r="C491">
        <v>46618</v>
      </c>
      <c r="D491" t="s">
        <v>352</v>
      </c>
    </row>
    <row r="492" spans="1:4">
      <c r="A492" t="s">
        <v>316</v>
      </c>
      <c r="B492" t="s">
        <v>354</v>
      </c>
      <c r="C492">
        <v>46576</v>
      </c>
      <c r="D492" t="s">
        <v>352</v>
      </c>
    </row>
    <row r="493" spans="1:4">
      <c r="A493" t="s">
        <v>316</v>
      </c>
      <c r="B493" t="s">
        <v>357</v>
      </c>
      <c r="C493">
        <v>46612</v>
      </c>
      <c r="D493" t="s">
        <v>352</v>
      </c>
    </row>
    <row r="494" spans="1:4">
      <c r="A494" t="s">
        <v>326</v>
      </c>
      <c r="B494" t="s">
        <v>352</v>
      </c>
      <c r="C494">
        <v>46548</v>
      </c>
      <c r="D494" t="s">
        <v>352</v>
      </c>
    </row>
    <row r="495" spans="1:4">
      <c r="A495" t="s">
        <v>326</v>
      </c>
      <c r="B495" t="s">
        <v>362</v>
      </c>
      <c r="C495">
        <v>46548</v>
      </c>
      <c r="D495" t="s">
        <v>352</v>
      </c>
    </row>
    <row r="496" spans="1:4">
      <c r="A496" t="s">
        <v>326</v>
      </c>
      <c r="B496" t="s">
        <v>437</v>
      </c>
      <c r="C496">
        <v>46549</v>
      </c>
      <c r="D496" t="s">
        <v>352</v>
      </c>
    </row>
    <row r="497" spans="1:4">
      <c r="A497" t="s">
        <v>326</v>
      </c>
      <c r="B497" t="s">
        <v>438</v>
      </c>
      <c r="C497">
        <v>46554</v>
      </c>
      <c r="D497" t="s">
        <v>352</v>
      </c>
    </row>
    <row r="498" spans="1:4">
      <c r="A498" t="s">
        <v>326</v>
      </c>
      <c r="B498" t="s">
        <v>439</v>
      </c>
      <c r="C498">
        <v>46561</v>
      </c>
      <c r="D498" t="s">
        <v>352</v>
      </c>
    </row>
    <row r="499" spans="1:4">
      <c r="A499" t="s">
        <v>326</v>
      </c>
      <c r="B499" t="s">
        <v>440</v>
      </c>
      <c r="C499">
        <v>46568</v>
      </c>
      <c r="D499" t="s">
        <v>352</v>
      </c>
    </row>
    <row r="500" spans="1:4">
      <c r="A500" t="s">
        <v>326</v>
      </c>
      <c r="B500" t="s">
        <v>371</v>
      </c>
      <c r="C500">
        <v>46568</v>
      </c>
      <c r="D500" t="s">
        <v>352</v>
      </c>
    </row>
    <row r="501" spans="1:4">
      <c r="A501" t="s">
        <v>326</v>
      </c>
      <c r="B501" t="s">
        <v>184</v>
      </c>
      <c r="C501">
        <v>46573</v>
      </c>
      <c r="D501" t="s">
        <v>352</v>
      </c>
    </row>
    <row r="502" spans="1:4">
      <c r="A502" t="s">
        <v>326</v>
      </c>
      <c r="B502" t="s">
        <v>378</v>
      </c>
      <c r="C502">
        <v>46590</v>
      </c>
      <c r="D502" t="s">
        <v>352</v>
      </c>
    </row>
    <row r="503" spans="1:4">
      <c r="A503" t="s">
        <v>326</v>
      </c>
      <c r="B503" t="s">
        <v>382</v>
      </c>
      <c r="C503">
        <v>46603</v>
      </c>
      <c r="D503" t="s">
        <v>352</v>
      </c>
    </row>
    <row r="504" spans="1:4">
      <c r="A504" t="s">
        <v>326</v>
      </c>
      <c r="B504" t="s">
        <v>364</v>
      </c>
      <c r="C504">
        <v>46552</v>
      </c>
      <c r="D504" t="s">
        <v>352</v>
      </c>
    </row>
    <row r="505" spans="1:4">
      <c r="A505" t="s">
        <v>326</v>
      </c>
      <c r="B505" t="s">
        <v>441</v>
      </c>
      <c r="C505">
        <v>46566</v>
      </c>
      <c r="D505" t="s">
        <v>352</v>
      </c>
    </row>
    <row r="506" spans="1:4">
      <c r="A506" t="s">
        <v>326</v>
      </c>
      <c r="B506" t="s">
        <v>442</v>
      </c>
      <c r="C506">
        <v>46561</v>
      </c>
      <c r="D506" t="s">
        <v>352</v>
      </c>
    </row>
    <row r="507" spans="1:4">
      <c r="A507" t="s">
        <v>326</v>
      </c>
      <c r="B507" t="s">
        <v>443</v>
      </c>
      <c r="C507">
        <v>46561</v>
      </c>
      <c r="D507" t="s">
        <v>352</v>
      </c>
    </row>
    <row r="508" spans="1:4">
      <c r="A508" t="s">
        <v>326</v>
      </c>
      <c r="B508" t="s">
        <v>444</v>
      </c>
      <c r="C508">
        <v>46561</v>
      </c>
      <c r="D508" t="s">
        <v>352</v>
      </c>
    </row>
    <row r="509" spans="1:4">
      <c r="A509" t="s">
        <v>326</v>
      </c>
      <c r="B509" t="s">
        <v>445</v>
      </c>
      <c r="C509">
        <v>46552</v>
      </c>
      <c r="D509" t="s">
        <v>352</v>
      </c>
    </row>
    <row r="510" spans="1:4">
      <c r="A510" t="s">
        <v>326</v>
      </c>
      <c r="B510" t="s">
        <v>379</v>
      </c>
      <c r="C510">
        <v>46575</v>
      </c>
      <c r="D510" t="s">
        <v>352</v>
      </c>
    </row>
    <row r="511" spans="1:4">
      <c r="A511" t="s">
        <v>326</v>
      </c>
      <c r="B511" t="s">
        <v>446</v>
      </c>
      <c r="C511">
        <v>46604</v>
      </c>
      <c r="D511" t="s">
        <v>352</v>
      </c>
    </row>
    <row r="512" spans="1:4">
      <c r="A512" t="s">
        <v>326</v>
      </c>
      <c r="B512" t="s">
        <v>375</v>
      </c>
      <c r="C512">
        <v>46602</v>
      </c>
      <c r="D512" t="s">
        <v>352</v>
      </c>
    </row>
    <row r="513" spans="1:4">
      <c r="A513" t="s">
        <v>326</v>
      </c>
      <c r="B513" t="s">
        <v>380</v>
      </c>
      <c r="C513">
        <v>46597</v>
      </c>
      <c r="D513" t="s">
        <v>352</v>
      </c>
    </row>
    <row r="514" spans="1:4">
      <c r="A514" t="s">
        <v>326</v>
      </c>
      <c r="B514" t="s">
        <v>383</v>
      </c>
      <c r="C514">
        <v>46598</v>
      </c>
      <c r="D514" t="s">
        <v>352</v>
      </c>
    </row>
    <row r="515" spans="1:4">
      <c r="A515" t="s">
        <v>326</v>
      </c>
      <c r="B515" t="s">
        <v>384</v>
      </c>
      <c r="C515">
        <v>46603</v>
      </c>
      <c r="D515" t="s">
        <v>352</v>
      </c>
    </row>
    <row r="516" spans="1:4">
      <c r="A516" t="s">
        <v>237</v>
      </c>
      <c r="B516" t="s">
        <v>352</v>
      </c>
      <c r="C516">
        <v>46563</v>
      </c>
      <c r="D516" t="s">
        <v>352</v>
      </c>
    </row>
    <row r="517" spans="1:4">
      <c r="A517" t="s">
        <v>237</v>
      </c>
      <c r="B517" t="s">
        <v>362</v>
      </c>
      <c r="C517">
        <v>46563</v>
      </c>
      <c r="D517" t="s">
        <v>352</v>
      </c>
    </row>
    <row r="518" spans="1:4">
      <c r="A518" t="s">
        <v>237</v>
      </c>
      <c r="B518" t="s">
        <v>437</v>
      </c>
      <c r="C518">
        <v>46566</v>
      </c>
      <c r="D518" t="s">
        <v>352</v>
      </c>
    </row>
    <row r="519" spans="1:4">
      <c r="A519" t="s">
        <v>237</v>
      </c>
      <c r="B519" t="s">
        <v>438</v>
      </c>
      <c r="C519">
        <v>46569</v>
      </c>
      <c r="D519" t="s">
        <v>352</v>
      </c>
    </row>
    <row r="520" spans="1:4">
      <c r="A520" t="s">
        <v>237</v>
      </c>
      <c r="B520" t="s">
        <v>439</v>
      </c>
      <c r="C520">
        <v>46574</v>
      </c>
      <c r="D520" t="s">
        <v>352</v>
      </c>
    </row>
    <row r="521" spans="1:4">
      <c r="A521" t="s">
        <v>237</v>
      </c>
      <c r="B521" t="s">
        <v>440</v>
      </c>
      <c r="C521">
        <v>46581</v>
      </c>
      <c r="D521" t="s">
        <v>352</v>
      </c>
    </row>
    <row r="522" spans="1:4">
      <c r="A522" t="s">
        <v>237</v>
      </c>
      <c r="B522" t="s">
        <v>371</v>
      </c>
      <c r="C522">
        <v>46581</v>
      </c>
      <c r="D522" t="s">
        <v>352</v>
      </c>
    </row>
    <row r="523" spans="1:4">
      <c r="A523" t="s">
        <v>237</v>
      </c>
      <c r="B523" t="s">
        <v>184</v>
      </c>
      <c r="C523">
        <v>46584</v>
      </c>
      <c r="D523" t="s">
        <v>352</v>
      </c>
    </row>
    <row r="524" spans="1:4">
      <c r="A524" t="s">
        <v>237</v>
      </c>
      <c r="B524" t="s">
        <v>378</v>
      </c>
      <c r="C524">
        <v>46602</v>
      </c>
      <c r="D524" t="s">
        <v>352</v>
      </c>
    </row>
    <row r="525" spans="1:4">
      <c r="A525" t="s">
        <v>237</v>
      </c>
      <c r="B525" t="s">
        <v>382</v>
      </c>
      <c r="C525">
        <v>46615</v>
      </c>
      <c r="D525" t="s">
        <v>352</v>
      </c>
    </row>
    <row r="526" spans="1:4">
      <c r="A526" t="s">
        <v>237</v>
      </c>
      <c r="B526" t="s">
        <v>364</v>
      </c>
      <c r="C526">
        <v>46567</v>
      </c>
      <c r="D526" t="s">
        <v>352</v>
      </c>
    </row>
    <row r="527" spans="1:4">
      <c r="A527" t="s">
        <v>237</v>
      </c>
      <c r="B527" t="s">
        <v>447</v>
      </c>
      <c r="C527">
        <v>46575</v>
      </c>
      <c r="D527" t="s">
        <v>352</v>
      </c>
    </row>
    <row r="528" spans="1:4">
      <c r="A528" t="s">
        <v>237</v>
      </c>
      <c r="B528" t="s">
        <v>445</v>
      </c>
      <c r="C528">
        <v>46567</v>
      </c>
      <c r="D528" t="s">
        <v>352</v>
      </c>
    </row>
    <row r="529" spans="1:4">
      <c r="A529" t="s">
        <v>237</v>
      </c>
      <c r="B529" t="s">
        <v>379</v>
      </c>
      <c r="C529">
        <v>46587</v>
      </c>
      <c r="D529" t="s">
        <v>352</v>
      </c>
    </row>
    <row r="530" spans="1:4">
      <c r="A530" t="s">
        <v>237</v>
      </c>
      <c r="B530" t="s">
        <v>446</v>
      </c>
      <c r="C530">
        <v>46616</v>
      </c>
      <c r="D530" t="s">
        <v>352</v>
      </c>
    </row>
    <row r="531" spans="1:4">
      <c r="A531" t="s">
        <v>237</v>
      </c>
      <c r="B531" t="s">
        <v>375</v>
      </c>
      <c r="C531">
        <v>46612</v>
      </c>
      <c r="D531" t="s">
        <v>352</v>
      </c>
    </row>
    <row r="532" spans="1:4">
      <c r="A532" t="s">
        <v>237</v>
      </c>
      <c r="B532" t="s">
        <v>380</v>
      </c>
      <c r="C532">
        <v>46609</v>
      </c>
      <c r="D532" t="s">
        <v>352</v>
      </c>
    </row>
    <row r="533" spans="1:4">
      <c r="A533" t="s">
        <v>237</v>
      </c>
      <c r="B533" t="s">
        <v>383</v>
      </c>
      <c r="C533">
        <v>46610</v>
      </c>
      <c r="D533" t="s">
        <v>352</v>
      </c>
    </row>
    <row r="534" spans="1:4">
      <c r="A534" t="s">
        <v>237</v>
      </c>
      <c r="B534" t="s">
        <v>384</v>
      </c>
      <c r="C534">
        <v>46615</v>
      </c>
      <c r="D534" t="s">
        <v>352</v>
      </c>
    </row>
    <row r="535" spans="1:4">
      <c r="A535" t="s">
        <v>232</v>
      </c>
      <c r="B535" t="s">
        <v>352</v>
      </c>
      <c r="C535">
        <v>46574</v>
      </c>
      <c r="D535" t="s">
        <v>352</v>
      </c>
    </row>
    <row r="536" spans="1:4">
      <c r="A536" t="s">
        <v>232</v>
      </c>
      <c r="B536" t="s">
        <v>362</v>
      </c>
      <c r="C536">
        <v>46574</v>
      </c>
      <c r="D536" t="s">
        <v>352</v>
      </c>
    </row>
    <row r="537" spans="1:4">
      <c r="A537" t="s">
        <v>232</v>
      </c>
      <c r="B537" t="s">
        <v>437</v>
      </c>
      <c r="C537">
        <v>46575</v>
      </c>
      <c r="D537" t="s">
        <v>352</v>
      </c>
    </row>
    <row r="538" spans="1:4">
      <c r="A538" t="s">
        <v>232</v>
      </c>
      <c r="B538" t="s">
        <v>438</v>
      </c>
      <c r="C538">
        <v>46580</v>
      </c>
      <c r="D538" t="s">
        <v>352</v>
      </c>
    </row>
    <row r="539" spans="1:4">
      <c r="A539" t="s">
        <v>232</v>
      </c>
      <c r="B539" t="s">
        <v>439</v>
      </c>
      <c r="C539">
        <v>46583</v>
      </c>
      <c r="D539" t="s">
        <v>352</v>
      </c>
    </row>
    <row r="540" spans="1:4">
      <c r="A540" t="s">
        <v>232</v>
      </c>
      <c r="B540" t="s">
        <v>440</v>
      </c>
      <c r="C540">
        <v>46590</v>
      </c>
      <c r="D540" t="s">
        <v>352</v>
      </c>
    </row>
    <row r="541" spans="1:4">
      <c r="A541" t="s">
        <v>232</v>
      </c>
      <c r="B541" t="s">
        <v>371</v>
      </c>
      <c r="C541">
        <v>46594</v>
      </c>
      <c r="D541" t="s">
        <v>352</v>
      </c>
    </row>
    <row r="542" spans="1:4">
      <c r="A542" t="s">
        <v>232</v>
      </c>
      <c r="B542" t="s">
        <v>184</v>
      </c>
      <c r="C542">
        <v>46595</v>
      </c>
      <c r="D542" t="s">
        <v>352</v>
      </c>
    </row>
    <row r="543" spans="1:4">
      <c r="A543" t="s">
        <v>232</v>
      </c>
      <c r="B543" t="s">
        <v>378</v>
      </c>
      <c r="C543">
        <v>46615</v>
      </c>
      <c r="D543" t="s">
        <v>352</v>
      </c>
    </row>
    <row r="544" spans="1:4">
      <c r="A544" t="s">
        <v>232</v>
      </c>
      <c r="B544" t="s">
        <v>382</v>
      </c>
      <c r="C544">
        <v>46628</v>
      </c>
      <c r="D544" t="s">
        <v>352</v>
      </c>
    </row>
    <row r="545" spans="1:4">
      <c r="A545" t="s">
        <v>232</v>
      </c>
      <c r="B545" t="s">
        <v>364</v>
      </c>
      <c r="C545">
        <v>46576</v>
      </c>
      <c r="D545" t="s">
        <v>352</v>
      </c>
    </row>
    <row r="546" spans="1:4">
      <c r="A546" t="s">
        <v>232</v>
      </c>
      <c r="B546" t="s">
        <v>441</v>
      </c>
      <c r="C546">
        <v>46588</v>
      </c>
      <c r="D546" t="s">
        <v>352</v>
      </c>
    </row>
    <row r="547" spans="1:4">
      <c r="A547" t="s">
        <v>232</v>
      </c>
      <c r="B547" t="s">
        <v>442</v>
      </c>
      <c r="C547">
        <v>46583</v>
      </c>
      <c r="D547" t="s">
        <v>352</v>
      </c>
    </row>
    <row r="548" spans="1:4">
      <c r="A548" t="s">
        <v>232</v>
      </c>
      <c r="B548" t="s">
        <v>443</v>
      </c>
      <c r="C548">
        <v>46583</v>
      </c>
      <c r="D548" t="s">
        <v>352</v>
      </c>
    </row>
    <row r="549" spans="1:4">
      <c r="A549" t="s">
        <v>232</v>
      </c>
      <c r="B549" t="s">
        <v>444</v>
      </c>
      <c r="C549">
        <v>46588</v>
      </c>
      <c r="D549" t="s">
        <v>352</v>
      </c>
    </row>
    <row r="550" spans="1:4">
      <c r="A550" t="s">
        <v>232</v>
      </c>
      <c r="B550" t="s">
        <v>445</v>
      </c>
      <c r="C550">
        <v>46576</v>
      </c>
      <c r="D550" t="s">
        <v>352</v>
      </c>
    </row>
    <row r="551" spans="1:4">
      <c r="A551" t="s">
        <v>232</v>
      </c>
      <c r="B551" t="s">
        <v>379</v>
      </c>
      <c r="C551">
        <v>46601</v>
      </c>
      <c r="D551" t="s">
        <v>352</v>
      </c>
    </row>
    <row r="552" spans="1:4">
      <c r="A552" t="s">
        <v>232</v>
      </c>
      <c r="B552" t="s">
        <v>446</v>
      </c>
      <c r="C552">
        <v>46629</v>
      </c>
      <c r="D552" t="s">
        <v>352</v>
      </c>
    </row>
    <row r="553" spans="1:4">
      <c r="A553" t="s">
        <v>232</v>
      </c>
      <c r="B553" t="s">
        <v>375</v>
      </c>
      <c r="C553">
        <v>46626</v>
      </c>
      <c r="D553" t="s">
        <v>352</v>
      </c>
    </row>
    <row r="554" spans="1:4">
      <c r="A554" t="s">
        <v>232</v>
      </c>
      <c r="B554" t="s">
        <v>380</v>
      </c>
      <c r="C554">
        <v>46622</v>
      </c>
      <c r="D554" t="s">
        <v>352</v>
      </c>
    </row>
    <row r="555" spans="1:4">
      <c r="A555" t="s">
        <v>232</v>
      </c>
      <c r="B555" t="s">
        <v>383</v>
      </c>
      <c r="C555">
        <v>46624</v>
      </c>
      <c r="D555" t="s">
        <v>352</v>
      </c>
    </row>
    <row r="556" spans="1:4">
      <c r="A556" t="s">
        <v>232</v>
      </c>
      <c r="B556" t="s">
        <v>384</v>
      </c>
      <c r="C556">
        <v>46628</v>
      </c>
      <c r="D556" t="s">
        <v>352</v>
      </c>
    </row>
    <row r="557" spans="1:4">
      <c r="A557" t="s">
        <v>238</v>
      </c>
      <c r="B557" t="s">
        <v>352</v>
      </c>
      <c r="C557">
        <v>46528</v>
      </c>
      <c r="D557" t="s">
        <v>352</v>
      </c>
    </row>
    <row r="558" spans="1:4">
      <c r="A558" t="s">
        <v>238</v>
      </c>
      <c r="B558" t="s">
        <v>362</v>
      </c>
      <c r="C558">
        <v>46528</v>
      </c>
      <c r="D558" t="s">
        <v>352</v>
      </c>
    </row>
    <row r="559" spans="1:4">
      <c r="A559" t="s">
        <v>238</v>
      </c>
      <c r="B559" t="s">
        <v>437</v>
      </c>
      <c r="C559">
        <v>46531</v>
      </c>
      <c r="D559" t="s">
        <v>352</v>
      </c>
    </row>
    <row r="560" spans="1:4">
      <c r="A560" t="s">
        <v>238</v>
      </c>
      <c r="B560" t="s">
        <v>438</v>
      </c>
      <c r="C560">
        <v>46534</v>
      </c>
      <c r="D560" t="s">
        <v>352</v>
      </c>
    </row>
    <row r="561" spans="1:4">
      <c r="A561" t="s">
        <v>238</v>
      </c>
      <c r="B561" t="s">
        <v>439</v>
      </c>
      <c r="C561">
        <v>46540</v>
      </c>
      <c r="D561" t="s">
        <v>352</v>
      </c>
    </row>
    <row r="562" spans="1:4">
      <c r="A562" t="s">
        <v>238</v>
      </c>
      <c r="B562" t="s">
        <v>440</v>
      </c>
      <c r="C562">
        <v>46547</v>
      </c>
      <c r="D562" t="s">
        <v>352</v>
      </c>
    </row>
    <row r="563" spans="1:4">
      <c r="A563" t="s">
        <v>238</v>
      </c>
      <c r="B563" t="s">
        <v>371</v>
      </c>
      <c r="C563">
        <v>46548</v>
      </c>
      <c r="D563" t="s">
        <v>352</v>
      </c>
    </row>
    <row r="564" spans="1:4">
      <c r="A564" t="s">
        <v>238</v>
      </c>
      <c r="B564" t="s">
        <v>184</v>
      </c>
      <c r="C564">
        <v>46552</v>
      </c>
      <c r="D564" t="s">
        <v>352</v>
      </c>
    </row>
    <row r="565" spans="1:4">
      <c r="A565" t="s">
        <v>238</v>
      </c>
      <c r="B565" t="s">
        <v>378</v>
      </c>
      <c r="C565">
        <v>46570</v>
      </c>
      <c r="D565" t="s">
        <v>352</v>
      </c>
    </row>
    <row r="566" spans="1:4">
      <c r="A566" t="s">
        <v>238</v>
      </c>
      <c r="B566" t="s">
        <v>382</v>
      </c>
      <c r="C566">
        <v>46583</v>
      </c>
      <c r="D566" t="s">
        <v>352</v>
      </c>
    </row>
    <row r="567" spans="1:4">
      <c r="A567" t="s">
        <v>238</v>
      </c>
      <c r="B567" t="s">
        <v>364</v>
      </c>
      <c r="C567">
        <v>46532</v>
      </c>
      <c r="D567" t="s">
        <v>352</v>
      </c>
    </row>
    <row r="568" spans="1:4">
      <c r="A568" t="s">
        <v>238</v>
      </c>
      <c r="B568" t="s">
        <v>447</v>
      </c>
      <c r="C568">
        <v>46540</v>
      </c>
      <c r="D568" t="s">
        <v>352</v>
      </c>
    </row>
    <row r="569" spans="1:4">
      <c r="A569" t="s">
        <v>238</v>
      </c>
      <c r="B569" t="s">
        <v>445</v>
      </c>
      <c r="C569">
        <v>46532</v>
      </c>
      <c r="D569" t="s">
        <v>352</v>
      </c>
    </row>
    <row r="570" spans="1:4">
      <c r="A570" t="s">
        <v>238</v>
      </c>
      <c r="B570" t="s">
        <v>379</v>
      </c>
      <c r="C570">
        <v>46555</v>
      </c>
      <c r="D570" t="s">
        <v>352</v>
      </c>
    </row>
    <row r="571" spans="1:4">
      <c r="A571" t="s">
        <v>238</v>
      </c>
      <c r="B571" t="s">
        <v>446</v>
      </c>
      <c r="C571">
        <v>46584</v>
      </c>
      <c r="D571" t="s">
        <v>352</v>
      </c>
    </row>
    <row r="572" spans="1:4">
      <c r="A572" t="s">
        <v>238</v>
      </c>
      <c r="B572" t="s">
        <v>375</v>
      </c>
      <c r="C572">
        <v>46582</v>
      </c>
      <c r="D572" t="s">
        <v>352</v>
      </c>
    </row>
    <row r="573" spans="1:4">
      <c r="A573" t="s">
        <v>238</v>
      </c>
      <c r="B573" t="s">
        <v>380</v>
      </c>
      <c r="C573">
        <v>46577</v>
      </c>
      <c r="D573" t="s">
        <v>352</v>
      </c>
    </row>
    <row r="574" spans="1:4">
      <c r="A574" t="s">
        <v>238</v>
      </c>
      <c r="B574" t="s">
        <v>383</v>
      </c>
      <c r="C574">
        <v>46580</v>
      </c>
      <c r="D574" t="s">
        <v>352</v>
      </c>
    </row>
    <row r="575" spans="1:4">
      <c r="A575" t="s">
        <v>238</v>
      </c>
      <c r="B575" t="s">
        <v>384</v>
      </c>
      <c r="C575">
        <v>46583</v>
      </c>
      <c r="D575" t="s">
        <v>352</v>
      </c>
    </row>
    <row r="576" spans="1:4">
      <c r="A576" t="s">
        <v>176</v>
      </c>
      <c r="B576" t="s">
        <v>352</v>
      </c>
      <c r="C576">
        <v>46549</v>
      </c>
      <c r="D576" t="s">
        <v>352</v>
      </c>
    </row>
    <row r="577" spans="1:4">
      <c r="A577" t="s">
        <v>176</v>
      </c>
      <c r="B577" t="s">
        <v>448</v>
      </c>
      <c r="C577">
        <v>46549</v>
      </c>
      <c r="D577" t="s">
        <v>352</v>
      </c>
    </row>
    <row r="578" spans="1:4">
      <c r="A578" t="s">
        <v>176</v>
      </c>
      <c r="B578" t="s">
        <v>449</v>
      </c>
      <c r="C578">
        <v>46591</v>
      </c>
      <c r="D578" t="s">
        <v>352</v>
      </c>
    </row>
    <row r="579" spans="1:4">
      <c r="A579" t="s">
        <v>176</v>
      </c>
      <c r="B579" t="s">
        <v>384</v>
      </c>
      <c r="C579">
        <v>46604</v>
      </c>
      <c r="D579" t="s">
        <v>352</v>
      </c>
    </row>
    <row r="580" spans="1:4">
      <c r="A580" t="s">
        <v>177</v>
      </c>
      <c r="B580" t="s">
        <v>352</v>
      </c>
      <c r="C580">
        <v>46521</v>
      </c>
      <c r="D580" t="s">
        <v>352</v>
      </c>
    </row>
    <row r="581" spans="1:4">
      <c r="A581" t="s">
        <v>177</v>
      </c>
      <c r="B581" t="s">
        <v>448</v>
      </c>
      <c r="C581">
        <v>46521</v>
      </c>
      <c r="D581" t="s">
        <v>352</v>
      </c>
    </row>
    <row r="582" spans="1:4">
      <c r="A582" t="s">
        <v>177</v>
      </c>
      <c r="B582" t="s">
        <v>449</v>
      </c>
      <c r="C582">
        <v>46542</v>
      </c>
      <c r="D582" t="s">
        <v>352</v>
      </c>
    </row>
    <row r="583" spans="1:4">
      <c r="A583" t="s">
        <v>177</v>
      </c>
      <c r="B583" t="s">
        <v>384</v>
      </c>
      <c r="C583">
        <v>46548</v>
      </c>
      <c r="D583" t="s">
        <v>352</v>
      </c>
    </row>
    <row r="584" spans="1:4">
      <c r="A584" t="s">
        <v>154</v>
      </c>
      <c r="B584" t="s">
        <v>352</v>
      </c>
      <c r="C584">
        <v>46492</v>
      </c>
      <c r="D584" t="s">
        <v>352</v>
      </c>
    </row>
    <row r="585" spans="1:4">
      <c r="A585" t="s">
        <v>154</v>
      </c>
      <c r="B585" t="s">
        <v>450</v>
      </c>
      <c r="C585">
        <v>46492</v>
      </c>
      <c r="D585" t="s">
        <v>352</v>
      </c>
    </row>
    <row r="586" spans="1:4">
      <c r="A586" t="s">
        <v>154</v>
      </c>
      <c r="B586" t="s">
        <v>451</v>
      </c>
      <c r="C586">
        <v>46507</v>
      </c>
      <c r="D586" t="s">
        <v>352</v>
      </c>
    </row>
    <row r="587" spans="1:4">
      <c r="A587" t="s">
        <v>154</v>
      </c>
      <c r="B587" t="s">
        <v>452</v>
      </c>
      <c r="C587">
        <v>46525</v>
      </c>
      <c r="D587" t="s">
        <v>352</v>
      </c>
    </row>
    <row r="588" spans="1:4">
      <c r="A588" t="s">
        <v>154</v>
      </c>
      <c r="B588" t="s">
        <v>453</v>
      </c>
      <c r="C588">
        <v>46542</v>
      </c>
      <c r="D588" t="s">
        <v>352</v>
      </c>
    </row>
    <row r="589" spans="1:4">
      <c r="A589" t="s">
        <v>154</v>
      </c>
      <c r="B589" t="s">
        <v>454</v>
      </c>
      <c r="C589">
        <v>46508</v>
      </c>
      <c r="D589" t="s">
        <v>352</v>
      </c>
    </row>
    <row r="590" spans="1:4">
      <c r="A590" t="s">
        <v>154</v>
      </c>
      <c r="B590" t="s">
        <v>455</v>
      </c>
      <c r="C590">
        <v>46497</v>
      </c>
      <c r="D590" t="s">
        <v>352</v>
      </c>
    </row>
    <row r="591" spans="1:4">
      <c r="A591" t="s">
        <v>154</v>
      </c>
      <c r="B591" t="s">
        <v>456</v>
      </c>
      <c r="C591">
        <v>46493</v>
      </c>
      <c r="D591" t="s">
        <v>352</v>
      </c>
    </row>
    <row r="592" spans="1:4">
      <c r="A592" t="s">
        <v>154</v>
      </c>
      <c r="B592" t="s">
        <v>457</v>
      </c>
      <c r="C592">
        <v>46520</v>
      </c>
      <c r="D592" t="s">
        <v>352</v>
      </c>
    </row>
    <row r="593" spans="1:4">
      <c r="A593" t="s">
        <v>154</v>
      </c>
      <c r="B593" t="s">
        <v>458</v>
      </c>
      <c r="C593">
        <v>46492</v>
      </c>
      <c r="D593" t="s">
        <v>352</v>
      </c>
    </row>
    <row r="594" spans="1:4">
      <c r="A594" t="s">
        <v>154</v>
      </c>
      <c r="B594" t="s">
        <v>459</v>
      </c>
      <c r="C594">
        <v>46547</v>
      </c>
      <c r="D594" t="s">
        <v>352</v>
      </c>
    </row>
    <row r="595" spans="1:4">
      <c r="A595" t="s">
        <v>154</v>
      </c>
      <c r="B595" t="s">
        <v>460</v>
      </c>
      <c r="C595">
        <v>46517</v>
      </c>
      <c r="D595" t="s">
        <v>352</v>
      </c>
    </row>
    <row r="596" spans="1:4">
      <c r="A596" t="s">
        <v>154</v>
      </c>
      <c r="B596" t="s">
        <v>461</v>
      </c>
      <c r="C596">
        <v>46560</v>
      </c>
      <c r="D596" t="s">
        <v>352</v>
      </c>
    </row>
    <row r="597" spans="1:4">
      <c r="A597" t="s">
        <v>154</v>
      </c>
      <c r="B597" t="s">
        <v>462</v>
      </c>
      <c r="C597">
        <v>46517</v>
      </c>
      <c r="D597" t="s">
        <v>352</v>
      </c>
    </row>
    <row r="598" spans="1:4">
      <c r="A598" t="s">
        <v>154</v>
      </c>
      <c r="B598" t="s">
        <v>463</v>
      </c>
      <c r="C598">
        <v>46572</v>
      </c>
      <c r="D598" t="s">
        <v>352</v>
      </c>
    </row>
    <row r="599" spans="1:4">
      <c r="A599" t="s">
        <v>154</v>
      </c>
      <c r="B599" t="s">
        <v>464</v>
      </c>
      <c r="C599">
        <v>46564</v>
      </c>
      <c r="D599" t="s">
        <v>352</v>
      </c>
    </row>
    <row r="600" spans="1:4">
      <c r="A600" t="s">
        <v>154</v>
      </c>
      <c r="B600" t="s">
        <v>465</v>
      </c>
      <c r="C600">
        <v>46492</v>
      </c>
      <c r="D600" t="s">
        <v>352</v>
      </c>
    </row>
    <row r="601" spans="1:4">
      <c r="A601" t="s">
        <v>154</v>
      </c>
      <c r="B601" t="s">
        <v>466</v>
      </c>
      <c r="C601">
        <v>46527</v>
      </c>
      <c r="D601" t="s">
        <v>352</v>
      </c>
    </row>
    <row r="602" spans="1:4">
      <c r="A602" t="s">
        <v>154</v>
      </c>
      <c r="B602" t="s">
        <v>467</v>
      </c>
      <c r="C602">
        <v>46513</v>
      </c>
      <c r="D602" t="s">
        <v>352</v>
      </c>
    </row>
    <row r="603" spans="1:4">
      <c r="A603" t="s">
        <v>154</v>
      </c>
      <c r="B603" t="s">
        <v>468</v>
      </c>
      <c r="C603">
        <v>46527</v>
      </c>
      <c r="D603" t="s">
        <v>352</v>
      </c>
    </row>
    <row r="604" spans="1:4">
      <c r="A604" t="s">
        <v>296</v>
      </c>
      <c r="B604" t="s">
        <v>352</v>
      </c>
      <c r="C604">
        <v>46540</v>
      </c>
      <c r="D604" t="s">
        <v>352</v>
      </c>
    </row>
    <row r="605" spans="1:4">
      <c r="A605" t="s">
        <v>296</v>
      </c>
      <c r="B605" t="s">
        <v>469</v>
      </c>
      <c r="C605">
        <v>46540</v>
      </c>
      <c r="D605" t="s">
        <v>352</v>
      </c>
    </row>
    <row r="606" spans="1:4">
      <c r="A606" t="s">
        <v>296</v>
      </c>
      <c r="B606" t="s">
        <v>470</v>
      </c>
      <c r="C606">
        <v>46540</v>
      </c>
      <c r="D606" t="s">
        <v>352</v>
      </c>
    </row>
    <row r="607" spans="1:4">
      <c r="A607" t="s">
        <v>296</v>
      </c>
      <c r="B607" t="s">
        <v>471</v>
      </c>
      <c r="C607">
        <v>46568</v>
      </c>
      <c r="D607" t="s">
        <v>352</v>
      </c>
    </row>
    <row r="608" spans="1:4">
      <c r="A608" t="s">
        <v>296</v>
      </c>
      <c r="B608" t="s">
        <v>472</v>
      </c>
      <c r="C608">
        <v>46575</v>
      </c>
      <c r="D608" t="s">
        <v>352</v>
      </c>
    </row>
    <row r="609" spans="1:4">
      <c r="A609" t="s">
        <v>296</v>
      </c>
      <c r="B609" t="s">
        <v>473</v>
      </c>
      <c r="C609">
        <v>46589</v>
      </c>
      <c r="D609" t="s">
        <v>352</v>
      </c>
    </row>
    <row r="610" spans="1:4">
      <c r="A610" t="s">
        <v>296</v>
      </c>
      <c r="B610" t="s">
        <v>474</v>
      </c>
      <c r="C610">
        <v>46595</v>
      </c>
      <c r="D610" t="s">
        <v>352</v>
      </c>
    </row>
    <row r="611" spans="1:4">
      <c r="A611" t="s">
        <v>296</v>
      </c>
      <c r="B611" t="s">
        <v>475</v>
      </c>
      <c r="C611">
        <v>46554</v>
      </c>
      <c r="D611" t="s">
        <v>352</v>
      </c>
    </row>
    <row r="612" spans="1:4">
      <c r="A612" t="s">
        <v>296</v>
      </c>
      <c r="B612" t="s">
        <v>476</v>
      </c>
      <c r="C612">
        <v>46582</v>
      </c>
      <c r="D612" t="s">
        <v>352</v>
      </c>
    </row>
    <row r="613" spans="1:4">
      <c r="A613" t="s">
        <v>296</v>
      </c>
      <c r="B613" t="s">
        <v>477</v>
      </c>
      <c r="C613">
        <v>46638</v>
      </c>
      <c r="D613" t="s">
        <v>352</v>
      </c>
    </row>
    <row r="614" spans="1:4">
      <c r="A614" t="s">
        <v>296</v>
      </c>
      <c r="B614" t="s">
        <v>478</v>
      </c>
      <c r="C614">
        <v>46667</v>
      </c>
      <c r="D614" t="s">
        <v>352</v>
      </c>
    </row>
    <row r="615" spans="1:4">
      <c r="A615" t="s">
        <v>317</v>
      </c>
      <c r="B615" t="s">
        <v>352</v>
      </c>
      <c r="C615">
        <v>46580</v>
      </c>
      <c r="D615" t="s">
        <v>352</v>
      </c>
    </row>
    <row r="616" spans="1:4">
      <c r="A616" t="s">
        <v>317</v>
      </c>
      <c r="B616" t="s">
        <v>479</v>
      </c>
      <c r="C616">
        <v>46580</v>
      </c>
      <c r="D616" t="s">
        <v>352</v>
      </c>
    </row>
    <row r="617" spans="1:4">
      <c r="A617" t="s">
        <v>317</v>
      </c>
      <c r="B617" t="s">
        <v>480</v>
      </c>
      <c r="C617">
        <v>46644</v>
      </c>
      <c r="D617" t="s">
        <v>352</v>
      </c>
    </row>
    <row r="618" spans="1:4">
      <c r="A618" t="s">
        <v>318</v>
      </c>
      <c r="B618" t="s">
        <v>352</v>
      </c>
      <c r="C618">
        <v>46555</v>
      </c>
      <c r="D618" t="s">
        <v>352</v>
      </c>
    </row>
    <row r="619" spans="1:4">
      <c r="A619" t="s">
        <v>318</v>
      </c>
      <c r="B619" t="s">
        <v>481</v>
      </c>
      <c r="C619">
        <v>46555</v>
      </c>
      <c r="D619" t="s">
        <v>352</v>
      </c>
    </row>
    <row r="620" spans="1:4">
      <c r="A620" t="s">
        <v>318</v>
      </c>
      <c r="B620" t="s">
        <v>482</v>
      </c>
      <c r="C620">
        <v>46573</v>
      </c>
      <c r="D620" t="s">
        <v>352</v>
      </c>
    </row>
    <row r="621" spans="1:4">
      <c r="A621" t="s">
        <v>318</v>
      </c>
      <c r="B621" t="s">
        <v>483</v>
      </c>
      <c r="C621">
        <v>46560</v>
      </c>
      <c r="D621" t="s">
        <v>352</v>
      </c>
    </row>
    <row r="622" spans="1:4">
      <c r="A622" t="s">
        <v>318</v>
      </c>
      <c r="B622" t="s">
        <v>484</v>
      </c>
      <c r="C622">
        <v>46555</v>
      </c>
      <c r="D622" t="s">
        <v>352</v>
      </c>
    </row>
    <row r="623" spans="1:4">
      <c r="A623" t="s">
        <v>318</v>
      </c>
      <c r="B623" t="s">
        <v>485</v>
      </c>
      <c r="C623">
        <v>46555</v>
      </c>
      <c r="D623" t="s">
        <v>352</v>
      </c>
    </row>
    <row r="624" spans="1:4">
      <c r="A624" t="s">
        <v>318</v>
      </c>
      <c r="B624" t="s">
        <v>480</v>
      </c>
      <c r="C624">
        <v>46644</v>
      </c>
      <c r="D624" t="s">
        <v>352</v>
      </c>
    </row>
    <row r="625" spans="1:4">
      <c r="A625" t="s">
        <v>319</v>
      </c>
      <c r="B625" t="s">
        <v>352</v>
      </c>
      <c r="C625">
        <v>46555</v>
      </c>
      <c r="D625" t="s">
        <v>352</v>
      </c>
    </row>
    <row r="626" spans="1:4">
      <c r="A626" t="s">
        <v>319</v>
      </c>
      <c r="B626" t="s">
        <v>481</v>
      </c>
      <c r="C626">
        <v>46555</v>
      </c>
      <c r="D626" t="s">
        <v>352</v>
      </c>
    </row>
    <row r="627" spans="1:4">
      <c r="A627" t="s">
        <v>319</v>
      </c>
      <c r="B627" t="s">
        <v>482</v>
      </c>
      <c r="C627">
        <v>46573</v>
      </c>
      <c r="D627" t="s">
        <v>352</v>
      </c>
    </row>
    <row r="628" spans="1:4">
      <c r="A628" t="s">
        <v>319</v>
      </c>
      <c r="B628" t="s">
        <v>483</v>
      </c>
      <c r="C628">
        <v>46560</v>
      </c>
      <c r="D628" t="s">
        <v>352</v>
      </c>
    </row>
    <row r="629" spans="1:4">
      <c r="A629" t="s">
        <v>319</v>
      </c>
      <c r="B629" t="s">
        <v>484</v>
      </c>
      <c r="C629">
        <v>46555</v>
      </c>
      <c r="D629" t="s">
        <v>352</v>
      </c>
    </row>
    <row r="630" spans="1:4">
      <c r="A630" t="s">
        <v>319</v>
      </c>
      <c r="B630" t="s">
        <v>479</v>
      </c>
      <c r="C630">
        <v>46580</v>
      </c>
      <c r="D630" t="s">
        <v>352</v>
      </c>
    </row>
    <row r="631" spans="1:4">
      <c r="A631" t="s">
        <v>319</v>
      </c>
      <c r="B631" t="s">
        <v>485</v>
      </c>
      <c r="C631">
        <v>46555</v>
      </c>
      <c r="D631" t="s">
        <v>352</v>
      </c>
    </row>
    <row r="632" spans="1:4">
      <c r="A632" t="s">
        <v>319</v>
      </c>
      <c r="B632" t="s">
        <v>480</v>
      </c>
      <c r="C632">
        <v>46644</v>
      </c>
      <c r="D632" t="s">
        <v>352</v>
      </c>
    </row>
    <row r="633" spans="1:4">
      <c r="A633" t="s">
        <v>322</v>
      </c>
      <c r="B633" t="s">
        <v>352</v>
      </c>
      <c r="C633">
        <v>46608</v>
      </c>
      <c r="D633" t="s">
        <v>352</v>
      </c>
    </row>
    <row r="634" spans="1:4">
      <c r="A634" t="s">
        <v>322</v>
      </c>
      <c r="B634" t="s">
        <v>486</v>
      </c>
      <c r="C634">
        <v>46615</v>
      </c>
      <c r="D634" t="s">
        <v>352</v>
      </c>
    </row>
    <row r="635" spans="1:4">
      <c r="A635" t="s">
        <v>322</v>
      </c>
      <c r="B635" t="s">
        <v>487</v>
      </c>
      <c r="C635">
        <v>46643</v>
      </c>
      <c r="D635" t="s">
        <v>352</v>
      </c>
    </row>
    <row r="636" spans="1:4">
      <c r="A636" t="s">
        <v>322</v>
      </c>
      <c r="B636" t="s">
        <v>488</v>
      </c>
      <c r="C636">
        <v>46608</v>
      </c>
      <c r="D636" t="s">
        <v>352</v>
      </c>
    </row>
    <row r="637" spans="1:4">
      <c r="A637" t="s">
        <v>322</v>
      </c>
      <c r="B637" t="s">
        <v>489</v>
      </c>
      <c r="C637">
        <v>46636</v>
      </c>
      <c r="D637" t="s">
        <v>352</v>
      </c>
    </row>
    <row r="638" spans="1:4">
      <c r="A638" t="s">
        <v>297</v>
      </c>
      <c r="B638" t="s">
        <v>352</v>
      </c>
      <c r="C638">
        <v>46521</v>
      </c>
      <c r="D638" t="s">
        <v>352</v>
      </c>
    </row>
    <row r="639" spans="1:4">
      <c r="A639" t="s">
        <v>297</v>
      </c>
      <c r="B639" t="s">
        <v>362</v>
      </c>
      <c r="C639">
        <v>46521</v>
      </c>
      <c r="D639" t="s">
        <v>352</v>
      </c>
    </row>
    <row r="640" spans="1:4">
      <c r="A640" t="s">
        <v>297</v>
      </c>
      <c r="B640" t="s">
        <v>490</v>
      </c>
      <c r="C640">
        <v>46524</v>
      </c>
      <c r="D640" t="s">
        <v>352</v>
      </c>
    </row>
    <row r="641" spans="1:4">
      <c r="A641" t="s">
        <v>297</v>
      </c>
      <c r="B641" t="s">
        <v>491</v>
      </c>
      <c r="C641">
        <v>46531</v>
      </c>
      <c r="D641" t="s">
        <v>352</v>
      </c>
    </row>
    <row r="642" spans="1:4">
      <c r="A642" t="s">
        <v>297</v>
      </c>
      <c r="B642" t="s">
        <v>492</v>
      </c>
      <c r="C642">
        <v>46538</v>
      </c>
      <c r="D642" t="s">
        <v>352</v>
      </c>
    </row>
    <row r="643" spans="1:4">
      <c r="A643" t="s">
        <v>297</v>
      </c>
      <c r="B643" t="s">
        <v>493</v>
      </c>
      <c r="C643">
        <v>46574</v>
      </c>
      <c r="D643" t="s">
        <v>352</v>
      </c>
    </row>
    <row r="644" spans="1:4">
      <c r="A644" t="s">
        <v>297</v>
      </c>
      <c r="B644" t="s">
        <v>494</v>
      </c>
      <c r="C644">
        <v>46538</v>
      </c>
      <c r="D644" t="s">
        <v>352</v>
      </c>
    </row>
    <row r="645" spans="1:4">
      <c r="A645" t="s">
        <v>297</v>
      </c>
      <c r="B645" t="s">
        <v>371</v>
      </c>
      <c r="C645">
        <v>46574</v>
      </c>
      <c r="D645" t="s">
        <v>352</v>
      </c>
    </row>
    <row r="646" spans="1:4">
      <c r="A646" t="s">
        <v>297</v>
      </c>
      <c r="B646" t="s">
        <v>379</v>
      </c>
      <c r="C646">
        <v>46588</v>
      </c>
      <c r="D646" t="s">
        <v>352</v>
      </c>
    </row>
    <row r="647" spans="1:4">
      <c r="A647" t="s">
        <v>297</v>
      </c>
      <c r="B647" t="s">
        <v>495</v>
      </c>
      <c r="C647">
        <v>46588</v>
      </c>
      <c r="D647" t="s">
        <v>352</v>
      </c>
    </row>
    <row r="648" spans="1:4">
      <c r="A648" t="s">
        <v>297</v>
      </c>
      <c r="B648" t="s">
        <v>384</v>
      </c>
      <c r="C648">
        <v>46644</v>
      </c>
      <c r="D648" t="s">
        <v>352</v>
      </c>
    </row>
    <row r="649" spans="1:4">
      <c r="A649" t="s">
        <v>298</v>
      </c>
      <c r="B649" t="s">
        <v>352</v>
      </c>
      <c r="C649">
        <v>46492</v>
      </c>
      <c r="D649" t="s">
        <v>352</v>
      </c>
    </row>
    <row r="650" spans="1:4">
      <c r="A650" t="s">
        <v>298</v>
      </c>
      <c r="B650" t="s">
        <v>362</v>
      </c>
      <c r="C650">
        <v>46492</v>
      </c>
      <c r="D650" t="s">
        <v>352</v>
      </c>
    </row>
    <row r="651" spans="1:4">
      <c r="A651" t="s">
        <v>298</v>
      </c>
      <c r="B651" t="s">
        <v>496</v>
      </c>
      <c r="C651">
        <v>46575</v>
      </c>
      <c r="D651" t="s">
        <v>352</v>
      </c>
    </row>
    <row r="652" spans="1:4">
      <c r="A652" t="s">
        <v>298</v>
      </c>
      <c r="B652" t="s">
        <v>497</v>
      </c>
      <c r="C652">
        <v>46617</v>
      </c>
      <c r="D652" t="s">
        <v>352</v>
      </c>
    </row>
    <row r="653" spans="1:4">
      <c r="A653" t="s">
        <v>298</v>
      </c>
      <c r="B653" t="s">
        <v>498</v>
      </c>
      <c r="C653">
        <v>46493</v>
      </c>
      <c r="D653" t="s">
        <v>352</v>
      </c>
    </row>
    <row r="654" spans="1:4">
      <c r="A654" t="s">
        <v>298</v>
      </c>
      <c r="B654" t="s">
        <v>371</v>
      </c>
      <c r="C654">
        <v>46568</v>
      </c>
      <c r="D654" t="s">
        <v>352</v>
      </c>
    </row>
    <row r="655" spans="1:4">
      <c r="A655" t="s">
        <v>298</v>
      </c>
      <c r="B655" t="s">
        <v>379</v>
      </c>
      <c r="C655">
        <v>46589</v>
      </c>
      <c r="D655" t="s">
        <v>352</v>
      </c>
    </row>
    <row r="656" spans="1:4">
      <c r="A656" t="s">
        <v>298</v>
      </c>
      <c r="B656" t="s">
        <v>495</v>
      </c>
      <c r="C656">
        <v>46589</v>
      </c>
      <c r="D656" t="s">
        <v>352</v>
      </c>
    </row>
    <row r="657" spans="1:4">
      <c r="A657" t="s">
        <v>298</v>
      </c>
      <c r="B657" t="s">
        <v>384</v>
      </c>
      <c r="C657">
        <v>46645</v>
      </c>
      <c r="D657" t="s">
        <v>352</v>
      </c>
    </row>
    <row r="658" spans="1:4">
      <c r="A658" t="s">
        <v>233</v>
      </c>
      <c r="B658" t="s">
        <v>352</v>
      </c>
      <c r="C658">
        <v>46590</v>
      </c>
      <c r="D658" t="s">
        <v>352</v>
      </c>
    </row>
    <row r="659" spans="1:4">
      <c r="A659" t="s">
        <v>233</v>
      </c>
      <c r="B659" t="s">
        <v>362</v>
      </c>
      <c r="C659">
        <v>46590</v>
      </c>
      <c r="D659" t="s">
        <v>352</v>
      </c>
    </row>
    <row r="660" spans="1:4">
      <c r="A660" t="s">
        <v>233</v>
      </c>
      <c r="B660" t="s">
        <v>437</v>
      </c>
      <c r="C660">
        <v>46591</v>
      </c>
      <c r="D660" t="s">
        <v>352</v>
      </c>
    </row>
    <row r="661" spans="1:4">
      <c r="A661" t="s">
        <v>233</v>
      </c>
      <c r="B661" t="s">
        <v>438</v>
      </c>
      <c r="C661">
        <v>46596</v>
      </c>
      <c r="D661" t="s">
        <v>352</v>
      </c>
    </row>
    <row r="662" spans="1:4">
      <c r="A662" t="s">
        <v>233</v>
      </c>
      <c r="B662" t="s">
        <v>439</v>
      </c>
      <c r="C662">
        <v>46604</v>
      </c>
      <c r="D662" t="s">
        <v>352</v>
      </c>
    </row>
    <row r="663" spans="1:4">
      <c r="A663" t="s">
        <v>233</v>
      </c>
      <c r="B663" t="s">
        <v>440</v>
      </c>
      <c r="C663">
        <v>46610</v>
      </c>
      <c r="D663" t="s">
        <v>352</v>
      </c>
    </row>
    <row r="664" spans="1:4">
      <c r="A664" t="s">
        <v>233</v>
      </c>
      <c r="B664" t="s">
        <v>371</v>
      </c>
      <c r="C664">
        <v>46610</v>
      </c>
      <c r="D664" t="s">
        <v>352</v>
      </c>
    </row>
    <row r="665" spans="1:4">
      <c r="A665" t="s">
        <v>233</v>
      </c>
      <c r="B665" t="s">
        <v>184</v>
      </c>
      <c r="C665">
        <v>46617</v>
      </c>
      <c r="D665" t="s">
        <v>352</v>
      </c>
    </row>
    <row r="666" spans="1:4">
      <c r="A666" t="s">
        <v>233</v>
      </c>
      <c r="B666" t="s">
        <v>378</v>
      </c>
      <c r="C666">
        <v>46638</v>
      </c>
      <c r="D666" t="s">
        <v>352</v>
      </c>
    </row>
    <row r="667" spans="1:4">
      <c r="A667" t="s">
        <v>233</v>
      </c>
      <c r="B667" t="s">
        <v>382</v>
      </c>
      <c r="C667">
        <v>46645</v>
      </c>
      <c r="D667" t="s">
        <v>352</v>
      </c>
    </row>
    <row r="668" spans="1:4">
      <c r="A668" t="s">
        <v>233</v>
      </c>
      <c r="B668" t="s">
        <v>364</v>
      </c>
      <c r="C668">
        <v>46594</v>
      </c>
      <c r="D668" t="s">
        <v>352</v>
      </c>
    </row>
    <row r="669" spans="1:4">
      <c r="A669" t="s">
        <v>233</v>
      </c>
      <c r="B669" t="s">
        <v>441</v>
      </c>
      <c r="C669">
        <v>46610</v>
      </c>
      <c r="D669" t="s">
        <v>352</v>
      </c>
    </row>
    <row r="670" spans="1:4">
      <c r="A670" t="s">
        <v>233</v>
      </c>
      <c r="B670" t="s">
        <v>499</v>
      </c>
      <c r="C670">
        <v>46610</v>
      </c>
      <c r="D670" t="s">
        <v>352</v>
      </c>
    </row>
    <row r="671" spans="1:4">
      <c r="A671" t="s">
        <v>233</v>
      </c>
      <c r="B671" t="s">
        <v>500</v>
      </c>
      <c r="C671">
        <v>46610</v>
      </c>
      <c r="D671" t="s">
        <v>352</v>
      </c>
    </row>
    <row r="672" spans="1:4">
      <c r="A672" t="s">
        <v>233</v>
      </c>
      <c r="B672" t="s">
        <v>445</v>
      </c>
      <c r="C672">
        <v>46594</v>
      </c>
      <c r="D672" t="s">
        <v>352</v>
      </c>
    </row>
    <row r="673" spans="1:4">
      <c r="A673" t="s">
        <v>233</v>
      </c>
      <c r="B673" t="s">
        <v>379</v>
      </c>
      <c r="C673">
        <v>46617</v>
      </c>
      <c r="D673" t="s">
        <v>352</v>
      </c>
    </row>
    <row r="674" spans="1:4">
      <c r="A674" t="s">
        <v>233</v>
      </c>
      <c r="B674" t="s">
        <v>446</v>
      </c>
      <c r="C674">
        <v>46646</v>
      </c>
      <c r="D674" t="s">
        <v>352</v>
      </c>
    </row>
    <row r="675" spans="1:4">
      <c r="A675" t="s">
        <v>233</v>
      </c>
      <c r="B675" t="s">
        <v>375</v>
      </c>
      <c r="C675">
        <v>46644</v>
      </c>
      <c r="D675" t="s">
        <v>352</v>
      </c>
    </row>
    <row r="676" spans="1:4">
      <c r="A676" t="s">
        <v>233</v>
      </c>
      <c r="B676" t="s">
        <v>380</v>
      </c>
      <c r="C676">
        <v>46644</v>
      </c>
      <c r="D676" t="s">
        <v>352</v>
      </c>
    </row>
    <row r="677" spans="1:4">
      <c r="A677" t="s">
        <v>233</v>
      </c>
      <c r="B677" t="s">
        <v>383</v>
      </c>
      <c r="C677">
        <v>46640</v>
      </c>
      <c r="D677" t="s">
        <v>352</v>
      </c>
    </row>
    <row r="678" spans="1:4">
      <c r="A678" t="s">
        <v>233</v>
      </c>
      <c r="B678" t="s">
        <v>384</v>
      </c>
      <c r="C678">
        <v>46645</v>
      </c>
      <c r="D678" t="s">
        <v>352</v>
      </c>
    </row>
    <row r="679" spans="1:4">
      <c r="A679" t="s">
        <v>234</v>
      </c>
      <c r="B679" t="s">
        <v>352</v>
      </c>
      <c r="C679">
        <v>46577</v>
      </c>
      <c r="D679" t="s">
        <v>352</v>
      </c>
    </row>
    <row r="680" spans="1:4">
      <c r="A680" t="s">
        <v>234</v>
      </c>
      <c r="B680" t="s">
        <v>362</v>
      </c>
      <c r="C680">
        <v>46577</v>
      </c>
      <c r="D680" t="s">
        <v>352</v>
      </c>
    </row>
    <row r="681" spans="1:4">
      <c r="A681" t="s">
        <v>234</v>
      </c>
      <c r="B681" t="s">
        <v>437</v>
      </c>
      <c r="C681">
        <v>46580</v>
      </c>
      <c r="D681" t="s">
        <v>352</v>
      </c>
    </row>
    <row r="682" spans="1:4">
      <c r="A682" t="s">
        <v>234</v>
      </c>
      <c r="B682" t="s">
        <v>438</v>
      </c>
      <c r="C682">
        <v>46587</v>
      </c>
      <c r="D682" t="s">
        <v>352</v>
      </c>
    </row>
    <row r="683" spans="1:4">
      <c r="A683" t="s">
        <v>234</v>
      </c>
      <c r="B683" t="s">
        <v>439</v>
      </c>
      <c r="C683">
        <v>46596</v>
      </c>
      <c r="D683" t="s">
        <v>352</v>
      </c>
    </row>
    <row r="684" spans="1:4">
      <c r="A684" t="s">
        <v>234</v>
      </c>
      <c r="B684" t="s">
        <v>440</v>
      </c>
      <c r="C684">
        <v>46601</v>
      </c>
      <c r="D684" t="s">
        <v>352</v>
      </c>
    </row>
    <row r="685" spans="1:4">
      <c r="A685" t="s">
        <v>234</v>
      </c>
      <c r="B685" t="s">
        <v>371</v>
      </c>
      <c r="C685">
        <v>46610</v>
      </c>
      <c r="D685" t="s">
        <v>352</v>
      </c>
    </row>
    <row r="686" spans="1:4">
      <c r="A686" t="s">
        <v>234</v>
      </c>
      <c r="B686" t="s">
        <v>184</v>
      </c>
      <c r="C686">
        <v>46616</v>
      </c>
      <c r="D686" t="s">
        <v>352</v>
      </c>
    </row>
    <row r="687" spans="1:4">
      <c r="A687" t="s">
        <v>234</v>
      </c>
      <c r="B687" t="s">
        <v>378</v>
      </c>
      <c r="C687">
        <v>46638</v>
      </c>
      <c r="D687" t="s">
        <v>352</v>
      </c>
    </row>
    <row r="688" spans="1:4">
      <c r="A688" t="s">
        <v>234</v>
      </c>
      <c r="B688" t="s">
        <v>382</v>
      </c>
      <c r="C688">
        <v>46645</v>
      </c>
      <c r="D688" t="s">
        <v>352</v>
      </c>
    </row>
    <row r="689" spans="1:4">
      <c r="A689" t="s">
        <v>234</v>
      </c>
      <c r="B689" t="s">
        <v>364</v>
      </c>
      <c r="C689">
        <v>46583</v>
      </c>
      <c r="D689" t="s">
        <v>352</v>
      </c>
    </row>
    <row r="690" spans="1:4">
      <c r="A690" t="s">
        <v>234</v>
      </c>
      <c r="B690" t="s">
        <v>441</v>
      </c>
      <c r="C690">
        <v>46609</v>
      </c>
      <c r="D690" t="s">
        <v>352</v>
      </c>
    </row>
    <row r="691" spans="1:4">
      <c r="A691" t="s">
        <v>234</v>
      </c>
      <c r="B691" t="s">
        <v>499</v>
      </c>
      <c r="C691">
        <v>46601</v>
      </c>
      <c r="D691" t="s">
        <v>352</v>
      </c>
    </row>
    <row r="692" spans="1:4">
      <c r="A692" t="s">
        <v>234</v>
      </c>
      <c r="B692" t="s">
        <v>500</v>
      </c>
      <c r="C692">
        <v>46601</v>
      </c>
      <c r="D692" t="s">
        <v>352</v>
      </c>
    </row>
    <row r="693" spans="1:4">
      <c r="A693" t="s">
        <v>234</v>
      </c>
      <c r="B693" t="s">
        <v>379</v>
      </c>
      <c r="C693">
        <v>46617</v>
      </c>
      <c r="D693" t="s">
        <v>352</v>
      </c>
    </row>
    <row r="694" spans="1:4">
      <c r="A694" t="s">
        <v>234</v>
      </c>
      <c r="B694" t="s">
        <v>446</v>
      </c>
      <c r="C694">
        <v>46646</v>
      </c>
      <c r="D694" t="s">
        <v>352</v>
      </c>
    </row>
    <row r="695" spans="1:4">
      <c r="A695" t="s">
        <v>234</v>
      </c>
      <c r="B695" t="s">
        <v>375</v>
      </c>
      <c r="C695">
        <v>46644</v>
      </c>
      <c r="D695" t="s">
        <v>352</v>
      </c>
    </row>
    <row r="696" spans="1:4">
      <c r="A696" t="s">
        <v>234</v>
      </c>
      <c r="B696" t="s">
        <v>380</v>
      </c>
      <c r="C696">
        <v>46644</v>
      </c>
      <c r="D696" t="s">
        <v>352</v>
      </c>
    </row>
    <row r="697" spans="1:4">
      <c r="A697" t="s">
        <v>234</v>
      </c>
      <c r="B697" t="s">
        <v>383</v>
      </c>
      <c r="C697">
        <v>46640</v>
      </c>
      <c r="D697" t="s">
        <v>352</v>
      </c>
    </row>
    <row r="698" spans="1:4">
      <c r="A698" t="s">
        <v>234</v>
      </c>
      <c r="B698" t="s">
        <v>384</v>
      </c>
      <c r="C698">
        <v>46645</v>
      </c>
      <c r="D698" t="s">
        <v>352</v>
      </c>
    </row>
    <row r="699" spans="1:4">
      <c r="A699" t="s">
        <v>235</v>
      </c>
      <c r="B699" t="s">
        <v>352</v>
      </c>
      <c r="C699">
        <v>46492</v>
      </c>
      <c r="D699" t="s">
        <v>352</v>
      </c>
    </row>
    <row r="700" spans="1:4">
      <c r="A700" t="s">
        <v>235</v>
      </c>
      <c r="B700" t="s">
        <v>362</v>
      </c>
      <c r="C700">
        <v>46492</v>
      </c>
      <c r="D700" t="s">
        <v>352</v>
      </c>
    </row>
    <row r="701" spans="1:4">
      <c r="A701" t="s">
        <v>235</v>
      </c>
      <c r="B701" t="s">
        <v>501</v>
      </c>
      <c r="C701">
        <v>46493</v>
      </c>
      <c r="D701" t="s">
        <v>352</v>
      </c>
    </row>
    <row r="702" spans="1:4">
      <c r="A702" t="s">
        <v>235</v>
      </c>
      <c r="B702" t="s">
        <v>502</v>
      </c>
      <c r="C702">
        <v>46547</v>
      </c>
      <c r="D702" t="s">
        <v>352</v>
      </c>
    </row>
    <row r="703" spans="1:4">
      <c r="A703" t="s">
        <v>235</v>
      </c>
      <c r="B703" t="s">
        <v>364</v>
      </c>
      <c r="C703">
        <v>46554</v>
      </c>
      <c r="D703" t="s">
        <v>352</v>
      </c>
    </row>
    <row r="704" spans="1:4">
      <c r="A704" t="s">
        <v>235</v>
      </c>
      <c r="B704" t="s">
        <v>503</v>
      </c>
      <c r="C704">
        <v>46540</v>
      </c>
      <c r="D704" t="s">
        <v>352</v>
      </c>
    </row>
    <row r="705" spans="1:4">
      <c r="A705" t="s">
        <v>235</v>
      </c>
      <c r="B705" t="s">
        <v>504</v>
      </c>
      <c r="C705">
        <v>46561</v>
      </c>
      <c r="D705" t="s">
        <v>352</v>
      </c>
    </row>
    <row r="706" spans="1:4">
      <c r="A706" t="s">
        <v>235</v>
      </c>
      <c r="B706" t="s">
        <v>505</v>
      </c>
      <c r="C706">
        <v>46589</v>
      </c>
      <c r="D706" t="s">
        <v>352</v>
      </c>
    </row>
    <row r="707" spans="1:4">
      <c r="A707" t="s">
        <v>235</v>
      </c>
      <c r="B707" t="s">
        <v>384</v>
      </c>
      <c r="C707">
        <v>46645</v>
      </c>
      <c r="D707" t="s">
        <v>352</v>
      </c>
    </row>
    <row r="708" spans="1:4">
      <c r="A708" t="s">
        <v>236</v>
      </c>
      <c r="B708" t="s">
        <v>352</v>
      </c>
      <c r="C708">
        <v>46560</v>
      </c>
      <c r="D708" t="s">
        <v>352</v>
      </c>
    </row>
    <row r="709" spans="1:4">
      <c r="A709" t="s">
        <v>236</v>
      </c>
      <c r="B709" t="s">
        <v>362</v>
      </c>
      <c r="C709">
        <v>46560</v>
      </c>
      <c r="D709" t="s">
        <v>352</v>
      </c>
    </row>
    <row r="710" spans="1:4">
      <c r="A710" t="s">
        <v>236</v>
      </c>
      <c r="B710" t="s">
        <v>437</v>
      </c>
      <c r="C710">
        <v>46561</v>
      </c>
      <c r="D710" t="s">
        <v>352</v>
      </c>
    </row>
    <row r="711" spans="1:4">
      <c r="A711" t="s">
        <v>236</v>
      </c>
      <c r="B711" t="s">
        <v>445</v>
      </c>
      <c r="C711">
        <v>46566</v>
      </c>
      <c r="D711" t="s">
        <v>352</v>
      </c>
    </row>
    <row r="712" spans="1:4">
      <c r="A712" t="s">
        <v>236</v>
      </c>
      <c r="B712" t="s">
        <v>438</v>
      </c>
      <c r="C712">
        <v>46568</v>
      </c>
      <c r="D712" t="s">
        <v>352</v>
      </c>
    </row>
    <row r="713" spans="1:4">
      <c r="A713" t="s">
        <v>236</v>
      </c>
      <c r="B713" t="s">
        <v>439</v>
      </c>
      <c r="C713">
        <v>46580</v>
      </c>
      <c r="D713" t="s">
        <v>352</v>
      </c>
    </row>
    <row r="714" spans="1:4">
      <c r="A714" t="s">
        <v>236</v>
      </c>
      <c r="B714" t="s">
        <v>440</v>
      </c>
      <c r="C714">
        <v>46587</v>
      </c>
      <c r="D714" t="s">
        <v>352</v>
      </c>
    </row>
    <row r="715" spans="1:4">
      <c r="A715" t="s">
        <v>236</v>
      </c>
      <c r="B715" t="s">
        <v>371</v>
      </c>
      <c r="C715">
        <v>46594</v>
      </c>
      <c r="D715" t="s">
        <v>352</v>
      </c>
    </row>
    <row r="716" spans="1:4">
      <c r="A716" t="s">
        <v>236</v>
      </c>
      <c r="B716" t="s">
        <v>184</v>
      </c>
      <c r="C716">
        <v>46594</v>
      </c>
      <c r="D716" t="s">
        <v>352</v>
      </c>
    </row>
    <row r="717" spans="1:4">
      <c r="A717" t="s">
        <v>236</v>
      </c>
      <c r="B717" t="s">
        <v>378</v>
      </c>
      <c r="C717">
        <v>46615</v>
      </c>
      <c r="D717" t="s">
        <v>352</v>
      </c>
    </row>
    <row r="718" spans="1:4">
      <c r="A718" t="s">
        <v>236</v>
      </c>
      <c r="B718" t="s">
        <v>382</v>
      </c>
      <c r="C718">
        <v>46628</v>
      </c>
      <c r="D718" t="s">
        <v>352</v>
      </c>
    </row>
    <row r="719" spans="1:4">
      <c r="A719" t="s">
        <v>236</v>
      </c>
      <c r="B719" t="s">
        <v>364</v>
      </c>
      <c r="C719">
        <v>46566</v>
      </c>
      <c r="D719" t="s">
        <v>352</v>
      </c>
    </row>
    <row r="720" spans="1:4">
      <c r="A720" t="s">
        <v>236</v>
      </c>
      <c r="B720" t="s">
        <v>441</v>
      </c>
      <c r="C720">
        <v>46590</v>
      </c>
      <c r="D720" t="s">
        <v>352</v>
      </c>
    </row>
    <row r="721" spans="1:4">
      <c r="A721" t="s">
        <v>236</v>
      </c>
      <c r="B721" t="s">
        <v>506</v>
      </c>
      <c r="C721">
        <v>46587</v>
      </c>
      <c r="D721" t="s">
        <v>352</v>
      </c>
    </row>
    <row r="722" spans="1:4">
      <c r="A722" t="s">
        <v>236</v>
      </c>
      <c r="B722" t="s">
        <v>507</v>
      </c>
      <c r="C722">
        <v>46587</v>
      </c>
      <c r="D722" t="s">
        <v>352</v>
      </c>
    </row>
    <row r="723" spans="1:4">
      <c r="A723" t="s">
        <v>236</v>
      </c>
      <c r="B723" t="s">
        <v>379</v>
      </c>
      <c r="C723">
        <v>46601</v>
      </c>
      <c r="D723" t="s">
        <v>352</v>
      </c>
    </row>
    <row r="724" spans="1:4">
      <c r="A724" t="s">
        <v>236</v>
      </c>
      <c r="B724" t="s">
        <v>446</v>
      </c>
      <c r="C724">
        <v>46629</v>
      </c>
      <c r="D724" t="s">
        <v>352</v>
      </c>
    </row>
    <row r="725" spans="1:4">
      <c r="A725" t="s">
        <v>236</v>
      </c>
      <c r="B725" t="s">
        <v>375</v>
      </c>
      <c r="C725">
        <v>46626</v>
      </c>
      <c r="D725" t="s">
        <v>352</v>
      </c>
    </row>
    <row r="726" spans="1:4">
      <c r="A726" t="s">
        <v>236</v>
      </c>
      <c r="B726" t="s">
        <v>380</v>
      </c>
      <c r="C726">
        <v>46622</v>
      </c>
      <c r="D726" t="s">
        <v>352</v>
      </c>
    </row>
    <row r="727" spans="1:4">
      <c r="A727" t="s">
        <v>236</v>
      </c>
      <c r="B727" t="s">
        <v>383</v>
      </c>
      <c r="C727">
        <v>46624</v>
      </c>
      <c r="D727" t="s">
        <v>352</v>
      </c>
    </row>
    <row r="728" spans="1:4">
      <c r="A728" t="s">
        <v>236</v>
      </c>
      <c r="B728" t="s">
        <v>384</v>
      </c>
      <c r="C728">
        <v>46628</v>
      </c>
      <c r="D728" t="s">
        <v>352</v>
      </c>
    </row>
    <row r="729" spans="1:4">
      <c r="A729" t="s">
        <v>305</v>
      </c>
      <c r="B729" t="s">
        <v>352</v>
      </c>
      <c r="C729">
        <v>46589</v>
      </c>
      <c r="D729" t="s">
        <v>352</v>
      </c>
    </row>
    <row r="730" spans="1:4">
      <c r="A730" t="s">
        <v>305</v>
      </c>
      <c r="B730" t="s">
        <v>320</v>
      </c>
      <c r="C730">
        <v>46589</v>
      </c>
      <c r="D730" t="s">
        <v>352</v>
      </c>
    </row>
    <row r="731" spans="1:4">
      <c r="A731" t="s">
        <v>305</v>
      </c>
      <c r="B731" t="s">
        <v>353</v>
      </c>
      <c r="C731">
        <v>46591</v>
      </c>
      <c r="D731" t="s">
        <v>352</v>
      </c>
    </row>
    <row r="732" spans="1:4">
      <c r="A732" t="s">
        <v>305</v>
      </c>
      <c r="B732" t="s">
        <v>354</v>
      </c>
      <c r="C732">
        <v>46595</v>
      </c>
      <c r="D732" t="s">
        <v>352</v>
      </c>
    </row>
    <row r="733" spans="1:4">
      <c r="A733" t="s">
        <v>305</v>
      </c>
      <c r="B733" t="s">
        <v>355</v>
      </c>
      <c r="C733">
        <v>46618</v>
      </c>
      <c r="D733" t="s">
        <v>352</v>
      </c>
    </row>
    <row r="734" spans="1:4">
      <c r="A734" t="s">
        <v>305</v>
      </c>
      <c r="B734" t="s">
        <v>356</v>
      </c>
      <c r="C734">
        <v>46625</v>
      </c>
      <c r="D734" t="s">
        <v>352</v>
      </c>
    </row>
    <row r="735" spans="1:4">
      <c r="A735" t="s">
        <v>305</v>
      </c>
      <c r="B735" t="s">
        <v>357</v>
      </c>
      <c r="C735">
        <v>46638</v>
      </c>
      <c r="D735" t="s">
        <v>352</v>
      </c>
    </row>
    <row r="736" spans="1:4">
      <c r="A736" t="s">
        <v>305</v>
      </c>
      <c r="B736" t="s">
        <v>358</v>
      </c>
      <c r="C736">
        <v>46638</v>
      </c>
      <c r="D736" t="s">
        <v>352</v>
      </c>
    </row>
    <row r="737" spans="1:4">
      <c r="A737" t="s">
        <v>305</v>
      </c>
      <c r="B737" t="s">
        <v>359</v>
      </c>
      <c r="C737">
        <v>46645</v>
      </c>
      <c r="D737" t="s">
        <v>352</v>
      </c>
    </row>
    <row r="738" spans="1:4">
      <c r="A738" t="s">
        <v>305</v>
      </c>
      <c r="B738" t="s">
        <v>360</v>
      </c>
      <c r="C738">
        <v>46625</v>
      </c>
      <c r="D738" t="s">
        <v>352</v>
      </c>
    </row>
    <row r="739" spans="1:4">
      <c r="A739" t="s">
        <v>305</v>
      </c>
      <c r="B739" t="s">
        <v>361</v>
      </c>
      <c r="C739">
        <v>46644</v>
      </c>
      <c r="D739" t="s">
        <v>352</v>
      </c>
    </row>
    <row r="740" spans="1:4">
      <c r="A740" t="s">
        <v>299</v>
      </c>
      <c r="B740" t="s">
        <v>352</v>
      </c>
      <c r="C740">
        <v>46521</v>
      </c>
      <c r="D740" t="s">
        <v>352</v>
      </c>
    </row>
    <row r="741" spans="1:4">
      <c r="A741" t="s">
        <v>299</v>
      </c>
      <c r="B741" t="s">
        <v>362</v>
      </c>
      <c r="C741">
        <v>46521</v>
      </c>
      <c r="D741" t="s">
        <v>352</v>
      </c>
    </row>
    <row r="742" spans="1:4">
      <c r="A742" t="s">
        <v>299</v>
      </c>
      <c r="B742" t="s">
        <v>508</v>
      </c>
      <c r="C742">
        <v>46524</v>
      </c>
      <c r="D742" t="s">
        <v>352</v>
      </c>
    </row>
    <row r="743" spans="1:4">
      <c r="A743" t="s">
        <v>299</v>
      </c>
      <c r="B743" t="s">
        <v>491</v>
      </c>
      <c r="C743">
        <v>46531</v>
      </c>
      <c r="D743" t="s">
        <v>352</v>
      </c>
    </row>
    <row r="744" spans="1:4">
      <c r="A744" t="s">
        <v>299</v>
      </c>
      <c r="B744" t="s">
        <v>492</v>
      </c>
      <c r="C744">
        <v>46538</v>
      </c>
      <c r="D744" t="s">
        <v>352</v>
      </c>
    </row>
    <row r="745" spans="1:4">
      <c r="A745" t="s">
        <v>299</v>
      </c>
      <c r="B745" t="s">
        <v>493</v>
      </c>
      <c r="C745">
        <v>46561</v>
      </c>
      <c r="D745" t="s">
        <v>352</v>
      </c>
    </row>
    <row r="746" spans="1:4">
      <c r="A746" t="s">
        <v>299</v>
      </c>
      <c r="B746" t="s">
        <v>494</v>
      </c>
      <c r="C746">
        <v>46538</v>
      </c>
      <c r="D746" t="s">
        <v>352</v>
      </c>
    </row>
    <row r="747" spans="1:4">
      <c r="A747" t="s">
        <v>299</v>
      </c>
      <c r="B747" t="s">
        <v>371</v>
      </c>
      <c r="C747">
        <v>46582</v>
      </c>
      <c r="D747" t="s">
        <v>352</v>
      </c>
    </row>
    <row r="748" spans="1:4">
      <c r="A748" t="s">
        <v>299</v>
      </c>
      <c r="B748" t="s">
        <v>379</v>
      </c>
      <c r="C748">
        <v>46589</v>
      </c>
      <c r="D748" t="s">
        <v>352</v>
      </c>
    </row>
    <row r="749" spans="1:4">
      <c r="A749" t="s">
        <v>299</v>
      </c>
      <c r="B749" t="s">
        <v>495</v>
      </c>
      <c r="C749">
        <v>46589</v>
      </c>
      <c r="D749" t="s">
        <v>352</v>
      </c>
    </row>
    <row r="750" spans="1:4">
      <c r="A750" t="s">
        <v>299</v>
      </c>
      <c r="B750" t="s">
        <v>384</v>
      </c>
      <c r="C750">
        <v>46644</v>
      </c>
      <c r="D750" t="s">
        <v>352</v>
      </c>
    </row>
    <row r="751" spans="1:4">
      <c r="A751" t="s">
        <v>327</v>
      </c>
      <c r="B751" t="s">
        <v>352</v>
      </c>
      <c r="C751">
        <v>46553</v>
      </c>
      <c r="D751" t="s">
        <v>352</v>
      </c>
    </row>
    <row r="752" spans="1:4">
      <c r="A752" t="s">
        <v>327</v>
      </c>
      <c r="B752" t="s">
        <v>509</v>
      </c>
      <c r="C752">
        <v>46553</v>
      </c>
      <c r="D752" t="s">
        <v>352</v>
      </c>
    </row>
    <row r="753" spans="1:4">
      <c r="A753" t="s">
        <v>327</v>
      </c>
      <c r="B753" t="s">
        <v>510</v>
      </c>
      <c r="C753">
        <v>46589</v>
      </c>
      <c r="D753" t="s">
        <v>352</v>
      </c>
    </row>
    <row r="754" spans="1:4">
      <c r="A754" t="s">
        <v>328</v>
      </c>
      <c r="B754" t="s">
        <v>352</v>
      </c>
      <c r="C754">
        <v>46574</v>
      </c>
      <c r="D754" t="s">
        <v>352</v>
      </c>
    </row>
    <row r="755" spans="1:4">
      <c r="A755" t="s">
        <v>328</v>
      </c>
      <c r="B755" t="s">
        <v>511</v>
      </c>
      <c r="C755">
        <v>46574</v>
      </c>
      <c r="D755" t="s">
        <v>352</v>
      </c>
    </row>
    <row r="756" spans="1:4">
      <c r="A756" t="s">
        <v>328</v>
      </c>
      <c r="B756" t="s">
        <v>512</v>
      </c>
      <c r="C756">
        <v>46589</v>
      </c>
      <c r="D756" t="s">
        <v>352</v>
      </c>
    </row>
    <row r="757" spans="1:4">
      <c r="A757" t="s">
        <v>329</v>
      </c>
      <c r="B757" t="s">
        <v>352</v>
      </c>
      <c r="C757">
        <v>46586</v>
      </c>
      <c r="D757" t="s">
        <v>352</v>
      </c>
    </row>
    <row r="758" spans="1:4">
      <c r="A758" t="s">
        <v>329</v>
      </c>
      <c r="B758" t="s">
        <v>119</v>
      </c>
      <c r="C758">
        <v>46586</v>
      </c>
      <c r="D758" t="s">
        <v>352</v>
      </c>
    </row>
    <row r="759" spans="1:4">
      <c r="A759" t="s">
        <v>208</v>
      </c>
      <c r="B759" t="s">
        <v>352</v>
      </c>
      <c r="C759">
        <v>46521</v>
      </c>
      <c r="D759" t="s">
        <v>352</v>
      </c>
    </row>
    <row r="760" spans="1:4">
      <c r="A760" t="s">
        <v>208</v>
      </c>
      <c r="B760" t="s">
        <v>362</v>
      </c>
      <c r="C760">
        <v>46521</v>
      </c>
      <c r="D760" t="s">
        <v>352</v>
      </c>
    </row>
    <row r="761" spans="1:4">
      <c r="A761" t="s">
        <v>208</v>
      </c>
      <c r="B761" t="s">
        <v>382</v>
      </c>
      <c r="C761">
        <v>46645</v>
      </c>
      <c r="D761" t="s">
        <v>352</v>
      </c>
    </row>
    <row r="762" spans="1:4">
      <c r="A762" t="s">
        <v>208</v>
      </c>
      <c r="B762" t="s">
        <v>513</v>
      </c>
      <c r="C762">
        <v>46636</v>
      </c>
      <c r="D762" t="s">
        <v>352</v>
      </c>
    </row>
    <row r="763" spans="1:4">
      <c r="A763" t="s">
        <v>208</v>
      </c>
      <c r="B763" t="s">
        <v>514</v>
      </c>
      <c r="C763">
        <v>46567</v>
      </c>
      <c r="D763" t="s">
        <v>352</v>
      </c>
    </row>
    <row r="764" spans="1:4">
      <c r="A764" t="s">
        <v>208</v>
      </c>
      <c r="B764" t="s">
        <v>515</v>
      </c>
      <c r="C764">
        <v>46542</v>
      </c>
      <c r="D764" t="s">
        <v>352</v>
      </c>
    </row>
    <row r="765" spans="1:4">
      <c r="A765" t="s">
        <v>208</v>
      </c>
      <c r="B765" t="s">
        <v>371</v>
      </c>
      <c r="C765">
        <v>46577</v>
      </c>
      <c r="D765" t="s">
        <v>352</v>
      </c>
    </row>
    <row r="766" spans="1:4">
      <c r="A766" t="s">
        <v>208</v>
      </c>
      <c r="B766" t="s">
        <v>516</v>
      </c>
      <c r="C766">
        <v>46521</v>
      </c>
      <c r="D766" t="s">
        <v>352</v>
      </c>
    </row>
    <row r="767" spans="1:4">
      <c r="A767" t="s">
        <v>208</v>
      </c>
      <c r="B767" t="s">
        <v>378</v>
      </c>
      <c r="C767">
        <v>46633</v>
      </c>
      <c r="D767" t="s">
        <v>352</v>
      </c>
    </row>
    <row r="768" spans="1:4">
      <c r="A768" t="s">
        <v>208</v>
      </c>
      <c r="B768" t="s">
        <v>517</v>
      </c>
      <c r="C768">
        <v>46542</v>
      </c>
      <c r="D768" t="s">
        <v>352</v>
      </c>
    </row>
    <row r="769" spans="1:4">
      <c r="A769" t="s">
        <v>208</v>
      </c>
      <c r="B769" t="s">
        <v>518</v>
      </c>
      <c r="C769">
        <v>46636</v>
      </c>
      <c r="D769" t="s">
        <v>352</v>
      </c>
    </row>
    <row r="770" spans="1:4">
      <c r="A770" t="s">
        <v>208</v>
      </c>
      <c r="B770" t="s">
        <v>519</v>
      </c>
      <c r="C770">
        <v>46535</v>
      </c>
      <c r="D770" t="s">
        <v>352</v>
      </c>
    </row>
    <row r="771" spans="1:4">
      <c r="A771" t="s">
        <v>208</v>
      </c>
      <c r="B771" t="s">
        <v>520</v>
      </c>
      <c r="C771">
        <v>46542</v>
      </c>
      <c r="D771" t="s">
        <v>352</v>
      </c>
    </row>
    <row r="772" spans="1:4">
      <c r="A772" t="s">
        <v>208</v>
      </c>
      <c r="B772" t="s">
        <v>521</v>
      </c>
      <c r="C772">
        <v>46542</v>
      </c>
      <c r="D772" t="s">
        <v>352</v>
      </c>
    </row>
    <row r="773" spans="1:4">
      <c r="A773" t="s">
        <v>208</v>
      </c>
      <c r="B773" t="s">
        <v>522</v>
      </c>
      <c r="C773">
        <v>46645</v>
      </c>
      <c r="D773" t="s">
        <v>352</v>
      </c>
    </row>
    <row r="774" spans="1:4">
      <c r="A774" t="s">
        <v>208</v>
      </c>
      <c r="B774" t="s">
        <v>523</v>
      </c>
      <c r="C774">
        <v>46542</v>
      </c>
      <c r="D774" t="s">
        <v>352</v>
      </c>
    </row>
    <row r="775" spans="1:4">
      <c r="A775" t="s">
        <v>208</v>
      </c>
      <c r="B775" t="s">
        <v>524</v>
      </c>
      <c r="C775">
        <v>46542</v>
      </c>
      <c r="D775" t="s">
        <v>352</v>
      </c>
    </row>
    <row r="776" spans="1:4">
      <c r="A776" t="s">
        <v>208</v>
      </c>
      <c r="B776" t="s">
        <v>525</v>
      </c>
      <c r="C776">
        <v>46535</v>
      </c>
      <c r="D776" t="s">
        <v>352</v>
      </c>
    </row>
    <row r="777" spans="1:4">
      <c r="A777" t="s">
        <v>208</v>
      </c>
      <c r="B777" t="s">
        <v>379</v>
      </c>
      <c r="C777">
        <v>46589</v>
      </c>
      <c r="D777" t="s">
        <v>352</v>
      </c>
    </row>
    <row r="778" spans="1:4">
      <c r="A778" t="s">
        <v>208</v>
      </c>
      <c r="B778" t="s">
        <v>380</v>
      </c>
      <c r="C778">
        <v>46643</v>
      </c>
      <c r="D778" t="s">
        <v>352</v>
      </c>
    </row>
    <row r="779" spans="1:4">
      <c r="A779" t="s">
        <v>208</v>
      </c>
      <c r="B779" t="s">
        <v>384</v>
      </c>
      <c r="C779">
        <v>46645</v>
      </c>
      <c r="D779" t="s">
        <v>352</v>
      </c>
    </row>
    <row r="780" spans="1:4">
      <c r="A780" t="s">
        <v>306</v>
      </c>
      <c r="B780" t="s">
        <v>352</v>
      </c>
      <c r="C780">
        <v>46589</v>
      </c>
      <c r="D780" t="s">
        <v>352</v>
      </c>
    </row>
    <row r="781" spans="1:4">
      <c r="A781" t="s">
        <v>306</v>
      </c>
      <c r="B781" t="s">
        <v>320</v>
      </c>
      <c r="C781">
        <v>46589</v>
      </c>
      <c r="D781" t="s">
        <v>352</v>
      </c>
    </row>
    <row r="782" spans="1:4">
      <c r="A782" t="s">
        <v>306</v>
      </c>
      <c r="B782" t="s">
        <v>353</v>
      </c>
      <c r="C782">
        <v>46591</v>
      </c>
      <c r="D782" t="s">
        <v>352</v>
      </c>
    </row>
    <row r="783" spans="1:4">
      <c r="A783" t="s">
        <v>306</v>
      </c>
      <c r="B783" t="s">
        <v>354</v>
      </c>
      <c r="C783">
        <v>46595</v>
      </c>
      <c r="D783" t="s">
        <v>352</v>
      </c>
    </row>
    <row r="784" spans="1:4">
      <c r="A784" t="s">
        <v>306</v>
      </c>
      <c r="B784" t="s">
        <v>355</v>
      </c>
      <c r="C784">
        <v>46616</v>
      </c>
      <c r="D784" t="s">
        <v>352</v>
      </c>
    </row>
    <row r="785" spans="1:4">
      <c r="A785" t="s">
        <v>306</v>
      </c>
      <c r="B785" t="s">
        <v>357</v>
      </c>
      <c r="C785">
        <v>46637</v>
      </c>
      <c r="D785" t="s">
        <v>352</v>
      </c>
    </row>
    <row r="786" spans="1:4">
      <c r="A786" t="s">
        <v>306</v>
      </c>
      <c r="B786" t="s">
        <v>356</v>
      </c>
      <c r="C786">
        <v>46623</v>
      </c>
      <c r="D786" t="s">
        <v>352</v>
      </c>
    </row>
    <row r="787" spans="1:4">
      <c r="A787" t="s">
        <v>306</v>
      </c>
      <c r="B787" t="s">
        <v>358</v>
      </c>
      <c r="C787">
        <v>46637</v>
      </c>
      <c r="D787" t="s">
        <v>352</v>
      </c>
    </row>
    <row r="788" spans="1:4">
      <c r="A788" t="s">
        <v>306</v>
      </c>
      <c r="B788" t="s">
        <v>359</v>
      </c>
      <c r="C788">
        <v>46645</v>
      </c>
      <c r="D788" t="s">
        <v>352</v>
      </c>
    </row>
    <row r="789" spans="1:4">
      <c r="A789" t="s">
        <v>306</v>
      </c>
      <c r="B789" t="s">
        <v>361</v>
      </c>
      <c r="C789">
        <v>46644</v>
      </c>
      <c r="D789" t="s">
        <v>352</v>
      </c>
    </row>
    <row r="790" spans="1:4">
      <c r="A790" t="s">
        <v>306</v>
      </c>
      <c r="B790" t="s">
        <v>360</v>
      </c>
      <c r="C790">
        <v>46623</v>
      </c>
      <c r="D790" t="s">
        <v>352</v>
      </c>
    </row>
    <row r="791" spans="1:4">
      <c r="A791" t="s">
        <v>179</v>
      </c>
      <c r="B791" t="s">
        <v>352</v>
      </c>
      <c r="C791">
        <v>46492</v>
      </c>
      <c r="D791" t="s">
        <v>352</v>
      </c>
    </row>
    <row r="792" spans="1:4">
      <c r="A792" t="s">
        <v>179</v>
      </c>
      <c r="B792" t="s">
        <v>526</v>
      </c>
      <c r="C792">
        <v>46492</v>
      </c>
      <c r="D792" t="s">
        <v>352</v>
      </c>
    </row>
    <row r="793" spans="1:4">
      <c r="A793" t="s">
        <v>179</v>
      </c>
      <c r="B793" t="s">
        <v>362</v>
      </c>
      <c r="C793">
        <v>46492</v>
      </c>
      <c r="D793" t="s">
        <v>352</v>
      </c>
    </row>
    <row r="794" spans="1:4">
      <c r="A794" t="s">
        <v>179</v>
      </c>
      <c r="B794" t="s">
        <v>527</v>
      </c>
      <c r="C794">
        <v>46535</v>
      </c>
      <c r="D794" t="s">
        <v>352</v>
      </c>
    </row>
    <row r="795" spans="1:4">
      <c r="A795" t="s">
        <v>179</v>
      </c>
      <c r="B795" t="s">
        <v>528</v>
      </c>
      <c r="C795">
        <v>46506</v>
      </c>
      <c r="D795" t="s">
        <v>352</v>
      </c>
    </row>
    <row r="796" spans="1:4">
      <c r="A796" t="s">
        <v>179</v>
      </c>
      <c r="B796" t="s">
        <v>529</v>
      </c>
      <c r="C796">
        <v>46511</v>
      </c>
      <c r="D796" t="s">
        <v>352</v>
      </c>
    </row>
    <row r="797" spans="1:4">
      <c r="A797" t="s">
        <v>179</v>
      </c>
      <c r="B797" t="s">
        <v>530</v>
      </c>
      <c r="C797">
        <v>46546</v>
      </c>
      <c r="D797" t="s">
        <v>352</v>
      </c>
    </row>
    <row r="798" spans="1:4">
      <c r="A798" t="s">
        <v>179</v>
      </c>
      <c r="B798" t="s">
        <v>531</v>
      </c>
      <c r="C798">
        <v>46540</v>
      </c>
      <c r="D798" t="s">
        <v>352</v>
      </c>
    </row>
    <row r="799" spans="1:4">
      <c r="A799" t="s">
        <v>179</v>
      </c>
      <c r="B799" t="s">
        <v>532</v>
      </c>
      <c r="C799">
        <v>46554</v>
      </c>
      <c r="D799" t="s">
        <v>352</v>
      </c>
    </row>
    <row r="800" spans="1:4">
      <c r="A800" t="s">
        <v>179</v>
      </c>
      <c r="B800" t="s">
        <v>533</v>
      </c>
      <c r="C800">
        <v>46632</v>
      </c>
      <c r="D800" t="s">
        <v>352</v>
      </c>
    </row>
    <row r="801" spans="1:4">
      <c r="A801" t="s">
        <v>179</v>
      </c>
      <c r="B801" t="s">
        <v>421</v>
      </c>
      <c r="C801">
        <v>46531</v>
      </c>
      <c r="D801" t="s">
        <v>352</v>
      </c>
    </row>
    <row r="802" spans="1:4">
      <c r="A802" t="s">
        <v>179</v>
      </c>
      <c r="B802" t="s">
        <v>534</v>
      </c>
      <c r="C802">
        <v>46499</v>
      </c>
      <c r="D802" t="s">
        <v>352</v>
      </c>
    </row>
    <row r="803" spans="1:4">
      <c r="A803" t="s">
        <v>179</v>
      </c>
      <c r="B803" t="s">
        <v>535</v>
      </c>
      <c r="C803">
        <v>46519</v>
      </c>
      <c r="D803" t="s">
        <v>352</v>
      </c>
    </row>
    <row r="804" spans="1:4">
      <c r="A804" t="s">
        <v>179</v>
      </c>
      <c r="B804" t="s">
        <v>536</v>
      </c>
      <c r="C804">
        <v>46518</v>
      </c>
      <c r="D804" t="s">
        <v>352</v>
      </c>
    </row>
    <row r="805" spans="1:4">
      <c r="A805" t="s">
        <v>179</v>
      </c>
      <c r="B805" t="s">
        <v>537</v>
      </c>
      <c r="C805">
        <v>46515</v>
      </c>
      <c r="D805" t="s">
        <v>352</v>
      </c>
    </row>
    <row r="806" spans="1:4">
      <c r="A806" t="s">
        <v>179</v>
      </c>
      <c r="B806" t="s">
        <v>538</v>
      </c>
      <c r="C806">
        <v>46509</v>
      </c>
      <c r="D806" t="s">
        <v>352</v>
      </c>
    </row>
    <row r="807" spans="1:4">
      <c r="A807" t="s">
        <v>179</v>
      </c>
      <c r="B807" t="s">
        <v>539</v>
      </c>
      <c r="C807">
        <v>46507</v>
      </c>
      <c r="D807" t="s">
        <v>352</v>
      </c>
    </row>
    <row r="808" spans="1:4">
      <c r="A808" t="s">
        <v>179</v>
      </c>
      <c r="B808" t="s">
        <v>540</v>
      </c>
      <c r="C808">
        <v>46499</v>
      </c>
      <c r="D808" t="s">
        <v>352</v>
      </c>
    </row>
    <row r="809" spans="1:4">
      <c r="A809" t="s">
        <v>179</v>
      </c>
      <c r="B809" t="s">
        <v>541</v>
      </c>
      <c r="C809">
        <v>46497</v>
      </c>
      <c r="D809" t="s">
        <v>352</v>
      </c>
    </row>
    <row r="810" spans="1:4">
      <c r="A810" t="s">
        <v>179</v>
      </c>
      <c r="B810" t="s">
        <v>542</v>
      </c>
      <c r="C810">
        <v>46527</v>
      </c>
      <c r="D810" t="s">
        <v>352</v>
      </c>
    </row>
    <row r="811" spans="1:4">
      <c r="A811" t="s">
        <v>179</v>
      </c>
      <c r="B811" t="s">
        <v>543</v>
      </c>
      <c r="C811">
        <v>46524</v>
      </c>
      <c r="D811" t="s">
        <v>352</v>
      </c>
    </row>
    <row r="812" spans="1:4">
      <c r="A812" t="s">
        <v>179</v>
      </c>
      <c r="B812" t="s">
        <v>544</v>
      </c>
      <c r="C812">
        <v>46604</v>
      </c>
      <c r="D812" t="s">
        <v>352</v>
      </c>
    </row>
    <row r="813" spans="1:4">
      <c r="A813" t="s">
        <v>179</v>
      </c>
      <c r="B813" t="s">
        <v>545</v>
      </c>
      <c r="C813">
        <v>46562</v>
      </c>
      <c r="D813" t="s">
        <v>352</v>
      </c>
    </row>
    <row r="814" spans="1:4">
      <c r="A814" t="s">
        <v>179</v>
      </c>
      <c r="B814" t="s">
        <v>546</v>
      </c>
      <c r="C814">
        <v>46554</v>
      </c>
      <c r="D814" t="s">
        <v>352</v>
      </c>
    </row>
    <row r="815" spans="1:4">
      <c r="A815" t="s">
        <v>179</v>
      </c>
      <c r="B815" t="s">
        <v>119</v>
      </c>
      <c r="C815">
        <v>46598</v>
      </c>
      <c r="D815" t="s">
        <v>352</v>
      </c>
    </row>
    <row r="816" spans="1:4">
      <c r="A816" t="s">
        <v>179</v>
      </c>
      <c r="B816" t="s">
        <v>547</v>
      </c>
      <c r="C816">
        <v>46497</v>
      </c>
      <c r="D816" t="s">
        <v>352</v>
      </c>
    </row>
    <row r="817" spans="1:4">
      <c r="A817" t="s">
        <v>179</v>
      </c>
      <c r="B817" t="s">
        <v>548</v>
      </c>
      <c r="C817">
        <v>46618</v>
      </c>
      <c r="D817" t="s">
        <v>352</v>
      </c>
    </row>
    <row r="818" spans="1:4">
      <c r="A818" t="s">
        <v>179</v>
      </c>
      <c r="B818" t="s">
        <v>549</v>
      </c>
      <c r="C818">
        <v>46493</v>
      </c>
      <c r="D818" t="s">
        <v>352</v>
      </c>
    </row>
    <row r="819" spans="1:4">
      <c r="A819" t="s">
        <v>179</v>
      </c>
      <c r="B819" t="s">
        <v>550</v>
      </c>
      <c r="C819">
        <v>46497</v>
      </c>
      <c r="D819" t="s">
        <v>352</v>
      </c>
    </row>
    <row r="820" spans="1:4">
      <c r="A820" t="s">
        <v>179</v>
      </c>
      <c r="B820" t="s">
        <v>492</v>
      </c>
      <c r="C820">
        <v>46527</v>
      </c>
      <c r="D820" t="s">
        <v>352</v>
      </c>
    </row>
    <row r="821" spans="1:4">
      <c r="A821" t="s">
        <v>179</v>
      </c>
      <c r="B821" t="s">
        <v>551</v>
      </c>
      <c r="C821">
        <v>46527</v>
      </c>
      <c r="D821" t="s">
        <v>352</v>
      </c>
    </row>
    <row r="822" spans="1:4">
      <c r="A822" t="s">
        <v>179</v>
      </c>
      <c r="B822" t="s">
        <v>372</v>
      </c>
      <c r="C822">
        <v>46604</v>
      </c>
      <c r="D822" t="s">
        <v>352</v>
      </c>
    </row>
    <row r="823" spans="1:4">
      <c r="A823" t="s">
        <v>179</v>
      </c>
      <c r="B823" t="s">
        <v>552</v>
      </c>
      <c r="C823">
        <v>46541</v>
      </c>
      <c r="D823" t="s">
        <v>352</v>
      </c>
    </row>
    <row r="824" spans="1:4">
      <c r="A824" t="s">
        <v>179</v>
      </c>
      <c r="B824" t="s">
        <v>399</v>
      </c>
      <c r="C824">
        <v>46583</v>
      </c>
      <c r="D824" t="s">
        <v>352</v>
      </c>
    </row>
    <row r="825" spans="1:4">
      <c r="A825" t="s">
        <v>179</v>
      </c>
      <c r="B825" t="s">
        <v>371</v>
      </c>
      <c r="C825">
        <v>46583</v>
      </c>
      <c r="D825" t="s">
        <v>352</v>
      </c>
    </row>
    <row r="826" spans="1:4">
      <c r="A826" t="s">
        <v>179</v>
      </c>
      <c r="B826" t="s">
        <v>553</v>
      </c>
      <c r="C826">
        <v>46580</v>
      </c>
      <c r="D826" t="s">
        <v>352</v>
      </c>
    </row>
    <row r="827" spans="1:4">
      <c r="A827" t="s">
        <v>179</v>
      </c>
      <c r="B827" t="s">
        <v>364</v>
      </c>
      <c r="C827">
        <v>46570</v>
      </c>
      <c r="D827" t="s">
        <v>352</v>
      </c>
    </row>
    <row r="828" spans="1:4">
      <c r="A828" t="s">
        <v>179</v>
      </c>
      <c r="B828" t="s">
        <v>375</v>
      </c>
      <c r="C828">
        <v>46646</v>
      </c>
      <c r="D828" t="s">
        <v>352</v>
      </c>
    </row>
    <row r="829" spans="1:4">
      <c r="A829" t="s">
        <v>179</v>
      </c>
      <c r="B829" t="s">
        <v>184</v>
      </c>
      <c r="C829">
        <v>46576</v>
      </c>
      <c r="D829" t="s">
        <v>352</v>
      </c>
    </row>
    <row r="830" spans="1:4">
      <c r="A830" t="s">
        <v>179</v>
      </c>
      <c r="B830" t="s">
        <v>554</v>
      </c>
      <c r="C830">
        <v>46531</v>
      </c>
      <c r="D830" t="s">
        <v>352</v>
      </c>
    </row>
    <row r="831" spans="1:4">
      <c r="A831" t="s">
        <v>179</v>
      </c>
      <c r="B831" t="s">
        <v>378</v>
      </c>
      <c r="C831">
        <v>46631</v>
      </c>
      <c r="D831" t="s">
        <v>352</v>
      </c>
    </row>
    <row r="832" spans="1:4">
      <c r="A832" t="s">
        <v>179</v>
      </c>
      <c r="B832" t="s">
        <v>379</v>
      </c>
      <c r="C832">
        <v>46583</v>
      </c>
      <c r="D832" t="s">
        <v>352</v>
      </c>
    </row>
    <row r="833" spans="1:4">
      <c r="A833" t="s">
        <v>179</v>
      </c>
      <c r="B833" t="s">
        <v>380</v>
      </c>
      <c r="C833">
        <v>46639</v>
      </c>
      <c r="D833" t="s">
        <v>352</v>
      </c>
    </row>
    <row r="834" spans="1:4">
      <c r="A834" t="s">
        <v>179</v>
      </c>
      <c r="B834" t="s">
        <v>382</v>
      </c>
      <c r="C834">
        <v>46645</v>
      </c>
      <c r="D834" t="s">
        <v>352</v>
      </c>
    </row>
    <row r="835" spans="1:4">
      <c r="A835" t="s">
        <v>179</v>
      </c>
      <c r="B835" t="s">
        <v>383</v>
      </c>
      <c r="C835">
        <v>46631</v>
      </c>
      <c r="D835" t="s">
        <v>352</v>
      </c>
    </row>
    <row r="836" spans="1:4">
      <c r="A836" t="s">
        <v>179</v>
      </c>
      <c r="B836" t="s">
        <v>384</v>
      </c>
      <c r="C836">
        <v>46645</v>
      </c>
      <c r="D836" t="s">
        <v>352</v>
      </c>
    </row>
    <row r="837" spans="1:4">
      <c r="A837" t="s">
        <v>307</v>
      </c>
      <c r="B837" t="s">
        <v>352</v>
      </c>
      <c r="C837">
        <v>46583</v>
      </c>
      <c r="D837" t="s">
        <v>352</v>
      </c>
    </row>
    <row r="838" spans="1:4">
      <c r="A838" t="s">
        <v>307</v>
      </c>
      <c r="B838" t="s">
        <v>320</v>
      </c>
      <c r="C838">
        <v>46583</v>
      </c>
      <c r="D838" t="s">
        <v>352</v>
      </c>
    </row>
    <row r="839" spans="1:4">
      <c r="A839" t="s">
        <v>307</v>
      </c>
      <c r="B839" t="s">
        <v>353</v>
      </c>
      <c r="C839">
        <v>46584</v>
      </c>
      <c r="D839" t="s">
        <v>352</v>
      </c>
    </row>
    <row r="840" spans="1:4">
      <c r="A840" t="s">
        <v>307</v>
      </c>
      <c r="B840" t="s">
        <v>354</v>
      </c>
      <c r="C840">
        <v>46588</v>
      </c>
      <c r="D840" t="s">
        <v>352</v>
      </c>
    </row>
    <row r="841" spans="1:4">
      <c r="A841" t="s">
        <v>307</v>
      </c>
      <c r="B841" t="s">
        <v>355</v>
      </c>
      <c r="C841">
        <v>46617</v>
      </c>
      <c r="D841" t="s">
        <v>352</v>
      </c>
    </row>
    <row r="842" spans="1:4">
      <c r="A842" t="s">
        <v>307</v>
      </c>
      <c r="B842" t="s">
        <v>356</v>
      </c>
      <c r="C842">
        <v>46624</v>
      </c>
      <c r="D842" t="s">
        <v>352</v>
      </c>
    </row>
    <row r="843" spans="1:4">
      <c r="A843" t="s">
        <v>307</v>
      </c>
      <c r="B843" t="s">
        <v>357</v>
      </c>
      <c r="C843">
        <v>46638</v>
      </c>
      <c r="D843" t="s">
        <v>352</v>
      </c>
    </row>
    <row r="844" spans="1:4">
      <c r="A844" t="s">
        <v>307</v>
      </c>
      <c r="B844" t="s">
        <v>358</v>
      </c>
      <c r="C844">
        <v>46638</v>
      </c>
      <c r="D844" t="s">
        <v>352</v>
      </c>
    </row>
    <row r="845" spans="1:4">
      <c r="A845" t="s">
        <v>307</v>
      </c>
      <c r="B845" t="s">
        <v>359</v>
      </c>
      <c r="C845">
        <v>46646</v>
      </c>
      <c r="D845" t="s">
        <v>352</v>
      </c>
    </row>
    <row r="846" spans="1:4">
      <c r="A846" t="s">
        <v>307</v>
      </c>
      <c r="B846" t="s">
        <v>360</v>
      </c>
      <c r="C846">
        <v>46624</v>
      </c>
      <c r="D846" t="s">
        <v>352</v>
      </c>
    </row>
    <row r="847" spans="1:4">
      <c r="A847" t="s">
        <v>307</v>
      </c>
      <c r="B847" t="s">
        <v>361</v>
      </c>
      <c r="C847">
        <v>46645</v>
      </c>
      <c r="D847" t="s">
        <v>352</v>
      </c>
    </row>
    <row r="848" spans="1:4">
      <c r="A848" t="s">
        <v>178</v>
      </c>
      <c r="B848" t="s">
        <v>352</v>
      </c>
      <c r="C848">
        <v>46491</v>
      </c>
      <c r="D848" t="s">
        <v>352</v>
      </c>
    </row>
    <row r="849" spans="1:4">
      <c r="A849" t="s">
        <v>178</v>
      </c>
      <c r="B849" t="s">
        <v>526</v>
      </c>
      <c r="C849">
        <v>46491</v>
      </c>
      <c r="D849" t="s">
        <v>352</v>
      </c>
    </row>
    <row r="850" spans="1:4">
      <c r="A850" t="s">
        <v>178</v>
      </c>
      <c r="B850" t="s">
        <v>362</v>
      </c>
      <c r="C850">
        <v>46491</v>
      </c>
      <c r="D850" t="s">
        <v>352</v>
      </c>
    </row>
    <row r="851" spans="1:4">
      <c r="A851" t="s">
        <v>178</v>
      </c>
      <c r="B851" t="s">
        <v>527</v>
      </c>
      <c r="C851">
        <v>46535</v>
      </c>
      <c r="D851" t="s">
        <v>352</v>
      </c>
    </row>
    <row r="852" spans="1:4">
      <c r="A852" t="s">
        <v>178</v>
      </c>
      <c r="B852" t="s">
        <v>528</v>
      </c>
      <c r="C852">
        <v>46507</v>
      </c>
      <c r="D852" t="s">
        <v>352</v>
      </c>
    </row>
    <row r="853" spans="1:4">
      <c r="A853" t="s">
        <v>178</v>
      </c>
      <c r="B853" t="s">
        <v>529</v>
      </c>
      <c r="C853">
        <v>46513</v>
      </c>
      <c r="D853" t="s">
        <v>352</v>
      </c>
    </row>
    <row r="854" spans="1:4">
      <c r="A854" t="s">
        <v>178</v>
      </c>
      <c r="B854" t="s">
        <v>531</v>
      </c>
      <c r="C854">
        <v>46540</v>
      </c>
      <c r="D854" t="s">
        <v>352</v>
      </c>
    </row>
    <row r="855" spans="1:4">
      <c r="A855" t="s">
        <v>178</v>
      </c>
      <c r="B855" t="s">
        <v>532</v>
      </c>
      <c r="C855">
        <v>46554</v>
      </c>
      <c r="D855" t="s">
        <v>352</v>
      </c>
    </row>
    <row r="856" spans="1:4">
      <c r="A856" t="s">
        <v>178</v>
      </c>
      <c r="B856" t="s">
        <v>533</v>
      </c>
      <c r="C856">
        <v>46618</v>
      </c>
      <c r="D856" t="s">
        <v>352</v>
      </c>
    </row>
    <row r="857" spans="1:4">
      <c r="A857" t="s">
        <v>178</v>
      </c>
      <c r="B857" t="s">
        <v>421</v>
      </c>
      <c r="C857">
        <v>46524</v>
      </c>
      <c r="D857" t="s">
        <v>352</v>
      </c>
    </row>
    <row r="858" spans="1:4">
      <c r="A858" t="s">
        <v>178</v>
      </c>
      <c r="B858" t="s">
        <v>534</v>
      </c>
      <c r="C858">
        <v>46500</v>
      </c>
      <c r="D858" t="s">
        <v>352</v>
      </c>
    </row>
    <row r="859" spans="1:4">
      <c r="A859" t="s">
        <v>178</v>
      </c>
      <c r="B859" t="s">
        <v>555</v>
      </c>
      <c r="C859">
        <v>46500</v>
      </c>
      <c r="D859" t="s">
        <v>352</v>
      </c>
    </row>
    <row r="860" spans="1:4">
      <c r="A860" t="s">
        <v>178</v>
      </c>
      <c r="B860" t="s">
        <v>537</v>
      </c>
      <c r="C860">
        <v>46506</v>
      </c>
      <c r="D860" t="s">
        <v>352</v>
      </c>
    </row>
    <row r="861" spans="1:4">
      <c r="A861" t="s">
        <v>178</v>
      </c>
      <c r="B861" t="s">
        <v>556</v>
      </c>
      <c r="C861">
        <v>46511</v>
      </c>
      <c r="D861" t="s">
        <v>352</v>
      </c>
    </row>
    <row r="862" spans="1:4">
      <c r="A862" t="s">
        <v>178</v>
      </c>
      <c r="B862" t="s">
        <v>541</v>
      </c>
      <c r="C862">
        <v>46513</v>
      </c>
      <c r="D862" t="s">
        <v>352</v>
      </c>
    </row>
    <row r="863" spans="1:4">
      <c r="A863" t="s">
        <v>178</v>
      </c>
      <c r="B863" t="s">
        <v>557</v>
      </c>
      <c r="C863">
        <v>46580</v>
      </c>
      <c r="D863" t="s">
        <v>352</v>
      </c>
    </row>
    <row r="864" spans="1:4">
      <c r="A864" t="s">
        <v>178</v>
      </c>
      <c r="B864" t="s">
        <v>558</v>
      </c>
      <c r="C864">
        <v>46492</v>
      </c>
      <c r="D864" t="s">
        <v>352</v>
      </c>
    </row>
    <row r="865" spans="1:4">
      <c r="A865" t="s">
        <v>178</v>
      </c>
      <c r="B865" t="s">
        <v>542</v>
      </c>
      <c r="C865">
        <v>46541</v>
      </c>
      <c r="D865" t="s">
        <v>352</v>
      </c>
    </row>
    <row r="866" spans="1:4">
      <c r="A866" t="s">
        <v>178</v>
      </c>
      <c r="B866" t="s">
        <v>559</v>
      </c>
      <c r="C866">
        <v>46517</v>
      </c>
      <c r="D866" t="s">
        <v>352</v>
      </c>
    </row>
    <row r="867" spans="1:4">
      <c r="A867" t="s">
        <v>178</v>
      </c>
      <c r="B867" t="s">
        <v>543</v>
      </c>
      <c r="C867">
        <v>46541</v>
      </c>
      <c r="D867" t="s">
        <v>352</v>
      </c>
    </row>
    <row r="868" spans="1:4">
      <c r="A868" t="s">
        <v>178</v>
      </c>
      <c r="B868" t="s">
        <v>544</v>
      </c>
      <c r="C868">
        <v>46604</v>
      </c>
      <c r="D868" t="s">
        <v>352</v>
      </c>
    </row>
    <row r="869" spans="1:4">
      <c r="A869" t="s">
        <v>178</v>
      </c>
      <c r="B869" t="s">
        <v>545</v>
      </c>
      <c r="C869">
        <v>46563</v>
      </c>
      <c r="D869" t="s">
        <v>352</v>
      </c>
    </row>
    <row r="870" spans="1:4">
      <c r="A870" t="s">
        <v>178</v>
      </c>
      <c r="B870" t="s">
        <v>560</v>
      </c>
      <c r="C870">
        <v>46528</v>
      </c>
      <c r="D870" t="s">
        <v>352</v>
      </c>
    </row>
    <row r="871" spans="1:4">
      <c r="A871" t="s">
        <v>178</v>
      </c>
      <c r="B871" t="s">
        <v>546</v>
      </c>
      <c r="C871">
        <v>46556</v>
      </c>
      <c r="D871" t="s">
        <v>352</v>
      </c>
    </row>
    <row r="872" spans="1:4">
      <c r="A872" t="s">
        <v>178</v>
      </c>
      <c r="B872" t="s">
        <v>119</v>
      </c>
      <c r="C872">
        <v>46584</v>
      </c>
      <c r="D872" t="s">
        <v>352</v>
      </c>
    </row>
    <row r="873" spans="1:4">
      <c r="A873" t="s">
        <v>178</v>
      </c>
      <c r="B873" t="s">
        <v>561</v>
      </c>
      <c r="C873">
        <v>46542</v>
      </c>
      <c r="D873" t="s">
        <v>352</v>
      </c>
    </row>
    <row r="874" spans="1:4">
      <c r="A874" t="s">
        <v>178</v>
      </c>
      <c r="B874" t="s">
        <v>548</v>
      </c>
      <c r="C874">
        <v>46604</v>
      </c>
      <c r="D874" t="s">
        <v>352</v>
      </c>
    </row>
    <row r="875" spans="1:4">
      <c r="A875" t="s">
        <v>178</v>
      </c>
      <c r="B875" t="s">
        <v>549</v>
      </c>
      <c r="C875">
        <v>46493</v>
      </c>
      <c r="D875" t="s">
        <v>352</v>
      </c>
    </row>
    <row r="876" spans="1:4">
      <c r="A876" t="s">
        <v>178</v>
      </c>
      <c r="B876" t="s">
        <v>550</v>
      </c>
      <c r="C876">
        <v>46498</v>
      </c>
      <c r="D876" t="s">
        <v>352</v>
      </c>
    </row>
    <row r="877" spans="1:4">
      <c r="A877" t="s">
        <v>178</v>
      </c>
      <c r="B877" t="s">
        <v>492</v>
      </c>
      <c r="C877">
        <v>46541</v>
      </c>
      <c r="D877" t="s">
        <v>352</v>
      </c>
    </row>
    <row r="878" spans="1:4">
      <c r="A878" t="s">
        <v>178</v>
      </c>
      <c r="B878" t="s">
        <v>562</v>
      </c>
      <c r="C878">
        <v>46631</v>
      </c>
      <c r="D878" t="s">
        <v>352</v>
      </c>
    </row>
    <row r="879" spans="1:4">
      <c r="A879" t="s">
        <v>178</v>
      </c>
      <c r="B879" t="s">
        <v>551</v>
      </c>
      <c r="C879">
        <v>46548</v>
      </c>
      <c r="D879" t="s">
        <v>352</v>
      </c>
    </row>
    <row r="880" spans="1:4">
      <c r="A880" t="s">
        <v>178</v>
      </c>
      <c r="B880" t="s">
        <v>563</v>
      </c>
      <c r="C880">
        <v>46562</v>
      </c>
      <c r="D880" t="s">
        <v>352</v>
      </c>
    </row>
    <row r="881" spans="1:4">
      <c r="A881" t="s">
        <v>178</v>
      </c>
      <c r="B881" t="s">
        <v>552</v>
      </c>
      <c r="C881">
        <v>46576</v>
      </c>
      <c r="D881" t="s">
        <v>352</v>
      </c>
    </row>
    <row r="882" spans="1:4">
      <c r="A882" t="s">
        <v>178</v>
      </c>
      <c r="B882" t="s">
        <v>399</v>
      </c>
      <c r="C882">
        <v>46590</v>
      </c>
      <c r="D882" t="s">
        <v>352</v>
      </c>
    </row>
    <row r="883" spans="1:4">
      <c r="A883" t="s">
        <v>178</v>
      </c>
      <c r="B883" t="s">
        <v>371</v>
      </c>
      <c r="C883">
        <v>46561</v>
      </c>
      <c r="D883" t="s">
        <v>352</v>
      </c>
    </row>
    <row r="884" spans="1:4">
      <c r="A884" t="s">
        <v>178</v>
      </c>
      <c r="B884" t="s">
        <v>564</v>
      </c>
      <c r="C884">
        <v>46631</v>
      </c>
      <c r="D884" t="s">
        <v>352</v>
      </c>
    </row>
    <row r="885" spans="1:4">
      <c r="A885" t="s">
        <v>178</v>
      </c>
      <c r="B885" t="s">
        <v>553</v>
      </c>
      <c r="C885">
        <v>46580</v>
      </c>
      <c r="D885" t="s">
        <v>352</v>
      </c>
    </row>
    <row r="886" spans="1:4">
      <c r="A886" t="s">
        <v>178</v>
      </c>
      <c r="B886" t="s">
        <v>364</v>
      </c>
      <c r="C886">
        <v>46579</v>
      </c>
      <c r="D886" t="s">
        <v>352</v>
      </c>
    </row>
    <row r="887" spans="1:4">
      <c r="A887" t="s">
        <v>178</v>
      </c>
      <c r="B887" t="s">
        <v>375</v>
      </c>
      <c r="C887">
        <v>46632</v>
      </c>
      <c r="D887" t="s">
        <v>352</v>
      </c>
    </row>
    <row r="888" spans="1:4">
      <c r="A888" t="s">
        <v>178</v>
      </c>
      <c r="B888" t="s">
        <v>184</v>
      </c>
      <c r="C888">
        <v>46597</v>
      </c>
      <c r="D888" t="s">
        <v>352</v>
      </c>
    </row>
    <row r="889" spans="1:4">
      <c r="A889" t="s">
        <v>178</v>
      </c>
      <c r="B889" t="s">
        <v>378</v>
      </c>
      <c r="C889">
        <v>46617</v>
      </c>
      <c r="D889" t="s">
        <v>352</v>
      </c>
    </row>
    <row r="890" spans="1:4">
      <c r="A890" t="s">
        <v>178</v>
      </c>
      <c r="B890" t="s">
        <v>379</v>
      </c>
      <c r="C890">
        <v>46575</v>
      </c>
      <c r="D890" t="s">
        <v>352</v>
      </c>
    </row>
    <row r="891" spans="1:4">
      <c r="A891" t="s">
        <v>178</v>
      </c>
      <c r="B891" t="s">
        <v>380</v>
      </c>
      <c r="C891">
        <v>46625</v>
      </c>
      <c r="D891" t="s">
        <v>352</v>
      </c>
    </row>
    <row r="892" spans="1:4">
      <c r="A892" t="s">
        <v>178</v>
      </c>
      <c r="B892" t="s">
        <v>382</v>
      </c>
      <c r="C892">
        <v>46617</v>
      </c>
      <c r="D892" t="s">
        <v>352</v>
      </c>
    </row>
    <row r="893" spans="1:4">
      <c r="A893" t="s">
        <v>178</v>
      </c>
      <c r="B893" t="s">
        <v>383</v>
      </c>
      <c r="C893">
        <v>46624</v>
      </c>
      <c r="D893" t="s">
        <v>352</v>
      </c>
    </row>
    <row r="894" spans="1:4">
      <c r="A894" t="s">
        <v>178</v>
      </c>
      <c r="B894" t="s">
        <v>384</v>
      </c>
      <c r="C894">
        <v>46631</v>
      </c>
      <c r="D894" t="s">
        <v>352</v>
      </c>
    </row>
    <row r="895" spans="1:4">
      <c r="A895" t="s">
        <v>308</v>
      </c>
      <c r="B895" t="s">
        <v>352</v>
      </c>
      <c r="C895">
        <v>46575</v>
      </c>
      <c r="D895" t="s">
        <v>352</v>
      </c>
    </row>
    <row r="896" spans="1:4">
      <c r="A896" t="s">
        <v>308</v>
      </c>
      <c r="B896" t="s">
        <v>320</v>
      </c>
      <c r="C896">
        <v>46575</v>
      </c>
      <c r="D896" t="s">
        <v>352</v>
      </c>
    </row>
    <row r="897" spans="1:4">
      <c r="A897" t="s">
        <v>308</v>
      </c>
      <c r="B897" t="s">
        <v>353</v>
      </c>
      <c r="C897">
        <v>46577</v>
      </c>
      <c r="D897" t="s">
        <v>352</v>
      </c>
    </row>
    <row r="898" spans="1:4">
      <c r="A898" t="s">
        <v>308</v>
      </c>
      <c r="B898" t="s">
        <v>354</v>
      </c>
      <c r="C898">
        <v>46581</v>
      </c>
      <c r="D898" t="s">
        <v>352</v>
      </c>
    </row>
    <row r="899" spans="1:4">
      <c r="A899" t="s">
        <v>308</v>
      </c>
      <c r="B899" t="s">
        <v>355</v>
      </c>
      <c r="C899">
        <v>46603</v>
      </c>
      <c r="D899" t="s">
        <v>352</v>
      </c>
    </row>
    <row r="900" spans="1:4">
      <c r="A900" t="s">
        <v>308</v>
      </c>
      <c r="B900" t="s">
        <v>356</v>
      </c>
      <c r="C900">
        <v>46610</v>
      </c>
      <c r="D900" t="s">
        <v>352</v>
      </c>
    </row>
    <row r="901" spans="1:4">
      <c r="A901" t="s">
        <v>308</v>
      </c>
      <c r="B901" t="s">
        <v>357</v>
      </c>
      <c r="C901">
        <v>46624</v>
      </c>
      <c r="D901" t="s">
        <v>352</v>
      </c>
    </row>
    <row r="902" spans="1:4">
      <c r="A902" t="s">
        <v>308</v>
      </c>
      <c r="B902" t="s">
        <v>358</v>
      </c>
      <c r="C902">
        <v>46624</v>
      </c>
      <c r="D902" t="s">
        <v>352</v>
      </c>
    </row>
    <row r="903" spans="1:4">
      <c r="A903" t="s">
        <v>308</v>
      </c>
      <c r="B903" t="s">
        <v>359</v>
      </c>
      <c r="C903">
        <v>46645</v>
      </c>
      <c r="D903" t="s">
        <v>352</v>
      </c>
    </row>
    <row r="904" spans="1:4">
      <c r="A904" t="s">
        <v>308</v>
      </c>
      <c r="B904" t="s">
        <v>360</v>
      </c>
      <c r="C904">
        <v>46610</v>
      </c>
      <c r="D904" t="s">
        <v>352</v>
      </c>
    </row>
    <row r="905" spans="1:4">
      <c r="A905" t="s">
        <v>308</v>
      </c>
      <c r="B905" t="s">
        <v>361</v>
      </c>
      <c r="C905">
        <v>46631</v>
      </c>
      <c r="D905" t="s">
        <v>352</v>
      </c>
    </row>
    <row r="906" spans="1:4">
      <c r="A906" t="s">
        <v>309</v>
      </c>
      <c r="B906" t="s">
        <v>352</v>
      </c>
      <c r="C906">
        <v>46582</v>
      </c>
      <c r="D906" t="s">
        <v>352</v>
      </c>
    </row>
    <row r="907" spans="1:4">
      <c r="A907" t="s">
        <v>309</v>
      </c>
      <c r="B907" t="s">
        <v>320</v>
      </c>
      <c r="C907">
        <v>46582</v>
      </c>
      <c r="D907" t="s">
        <v>352</v>
      </c>
    </row>
    <row r="908" spans="1:4">
      <c r="A908" t="s">
        <v>309</v>
      </c>
      <c r="B908" t="s">
        <v>353</v>
      </c>
      <c r="C908">
        <v>46584</v>
      </c>
      <c r="D908" t="s">
        <v>352</v>
      </c>
    </row>
    <row r="909" spans="1:4">
      <c r="A909" t="s">
        <v>309</v>
      </c>
      <c r="B909" t="s">
        <v>354</v>
      </c>
      <c r="C909">
        <v>46588</v>
      </c>
      <c r="D909" t="s">
        <v>352</v>
      </c>
    </row>
    <row r="910" spans="1:4">
      <c r="A910" t="s">
        <v>309</v>
      </c>
      <c r="B910" t="s">
        <v>355</v>
      </c>
      <c r="C910">
        <v>46617</v>
      </c>
      <c r="D910" t="s">
        <v>352</v>
      </c>
    </row>
    <row r="911" spans="1:4">
      <c r="A911" t="s">
        <v>309</v>
      </c>
      <c r="B911" t="s">
        <v>356</v>
      </c>
      <c r="C911">
        <v>46624</v>
      </c>
      <c r="D911" t="s">
        <v>352</v>
      </c>
    </row>
    <row r="912" spans="1:4">
      <c r="A912" t="s">
        <v>309</v>
      </c>
      <c r="B912" t="s">
        <v>357</v>
      </c>
      <c r="C912">
        <v>46638</v>
      </c>
      <c r="D912" t="s">
        <v>352</v>
      </c>
    </row>
    <row r="913" spans="1:4">
      <c r="A913" t="s">
        <v>309</v>
      </c>
      <c r="B913" t="s">
        <v>358</v>
      </c>
      <c r="C913">
        <v>46638</v>
      </c>
      <c r="D913" t="s">
        <v>352</v>
      </c>
    </row>
    <row r="914" spans="1:4">
      <c r="A914" t="s">
        <v>309</v>
      </c>
      <c r="B914" t="s">
        <v>359</v>
      </c>
      <c r="C914">
        <v>46645</v>
      </c>
      <c r="D914" t="s">
        <v>352</v>
      </c>
    </row>
    <row r="915" spans="1:4">
      <c r="A915" t="s">
        <v>309</v>
      </c>
      <c r="B915" t="s">
        <v>360</v>
      </c>
      <c r="C915">
        <v>46624</v>
      </c>
      <c r="D915" t="s">
        <v>352</v>
      </c>
    </row>
    <row r="916" spans="1:4">
      <c r="A916" t="s">
        <v>309</v>
      </c>
      <c r="B916" t="s">
        <v>361</v>
      </c>
      <c r="C916">
        <v>46645</v>
      </c>
      <c r="D916" t="s">
        <v>352</v>
      </c>
    </row>
    <row r="917" spans="1:4">
      <c r="A917" t="s">
        <v>247</v>
      </c>
      <c r="B917" t="s">
        <v>352</v>
      </c>
      <c r="C917">
        <v>46520</v>
      </c>
      <c r="D917" t="s">
        <v>352</v>
      </c>
    </row>
    <row r="918" spans="1:4">
      <c r="A918" t="s">
        <v>247</v>
      </c>
      <c r="B918" t="s">
        <v>259</v>
      </c>
      <c r="C918">
        <v>46555</v>
      </c>
      <c r="D918" t="s">
        <v>352</v>
      </c>
    </row>
    <row r="919" spans="1:4">
      <c r="A919" t="s">
        <v>247</v>
      </c>
      <c r="B919" t="s">
        <v>260</v>
      </c>
      <c r="C919">
        <v>46559</v>
      </c>
      <c r="D919" t="s">
        <v>352</v>
      </c>
    </row>
    <row r="920" spans="1:4">
      <c r="A920" t="s">
        <v>247</v>
      </c>
      <c r="B920" t="s">
        <v>261</v>
      </c>
      <c r="C920">
        <v>46555</v>
      </c>
      <c r="D920" t="s">
        <v>352</v>
      </c>
    </row>
    <row r="921" spans="1:4">
      <c r="A921" t="s">
        <v>247</v>
      </c>
      <c r="B921" t="s">
        <v>262</v>
      </c>
      <c r="C921">
        <v>46555</v>
      </c>
      <c r="D921" t="s">
        <v>352</v>
      </c>
    </row>
    <row r="922" spans="1:4">
      <c r="A922" t="s">
        <v>247</v>
      </c>
      <c r="B922" t="s">
        <v>263</v>
      </c>
      <c r="C922">
        <v>46559</v>
      </c>
      <c r="D922" t="s">
        <v>352</v>
      </c>
    </row>
    <row r="923" spans="1:4">
      <c r="A923" t="s">
        <v>247</v>
      </c>
      <c r="B923" t="s">
        <v>264</v>
      </c>
      <c r="C923">
        <v>46559</v>
      </c>
      <c r="D923" t="s">
        <v>352</v>
      </c>
    </row>
    <row r="924" spans="1:4">
      <c r="A924" t="s">
        <v>247</v>
      </c>
      <c r="B924" t="s">
        <v>265</v>
      </c>
      <c r="C924">
        <v>46559</v>
      </c>
      <c r="D924" t="s">
        <v>352</v>
      </c>
    </row>
    <row r="925" spans="1:4">
      <c r="A925" t="s">
        <v>247</v>
      </c>
      <c r="B925" t="s">
        <v>266</v>
      </c>
      <c r="C925">
        <v>46559</v>
      </c>
      <c r="D925" t="s">
        <v>352</v>
      </c>
    </row>
    <row r="926" spans="1:4">
      <c r="A926" t="s">
        <v>247</v>
      </c>
      <c r="B926" t="s">
        <v>267</v>
      </c>
      <c r="C926">
        <v>46559</v>
      </c>
      <c r="D926" t="s">
        <v>352</v>
      </c>
    </row>
    <row r="927" spans="1:4">
      <c r="A927" t="s">
        <v>247</v>
      </c>
      <c r="B927" t="s">
        <v>565</v>
      </c>
      <c r="C927">
        <v>46520</v>
      </c>
      <c r="D927" t="s">
        <v>352</v>
      </c>
    </row>
    <row r="928" spans="1:4">
      <c r="A928" t="s">
        <v>247</v>
      </c>
      <c r="B928" t="s">
        <v>566</v>
      </c>
      <c r="C928">
        <v>46525</v>
      </c>
      <c r="D928" t="s">
        <v>352</v>
      </c>
    </row>
    <row r="929" spans="1:4">
      <c r="A929" t="s">
        <v>247</v>
      </c>
      <c r="B929" t="s">
        <v>567</v>
      </c>
      <c r="C929">
        <v>46525</v>
      </c>
      <c r="D929" t="s">
        <v>352</v>
      </c>
    </row>
    <row r="930" spans="1:4">
      <c r="A930" t="s">
        <v>247</v>
      </c>
      <c r="B930" t="s">
        <v>568</v>
      </c>
      <c r="C930">
        <v>46525</v>
      </c>
      <c r="D930" t="s">
        <v>352</v>
      </c>
    </row>
    <row r="931" spans="1:4">
      <c r="A931" t="s">
        <v>247</v>
      </c>
      <c r="B931" t="s">
        <v>569</v>
      </c>
      <c r="C931">
        <v>46629</v>
      </c>
      <c r="D931" t="s">
        <v>352</v>
      </c>
    </row>
    <row r="932" spans="1:4">
      <c r="A932" t="s">
        <v>247</v>
      </c>
      <c r="B932" t="s">
        <v>570</v>
      </c>
      <c r="C932">
        <v>46629</v>
      </c>
      <c r="D932" t="s">
        <v>352</v>
      </c>
    </row>
    <row r="933" spans="1:4">
      <c r="A933" t="s">
        <v>247</v>
      </c>
      <c r="B933" t="s">
        <v>571</v>
      </c>
      <c r="C933">
        <v>46629</v>
      </c>
      <c r="D933" t="s">
        <v>352</v>
      </c>
    </row>
    <row r="934" spans="1:4">
      <c r="A934" t="s">
        <v>247</v>
      </c>
      <c r="B934" t="s">
        <v>572</v>
      </c>
      <c r="C934">
        <v>46559</v>
      </c>
      <c r="D934" t="s">
        <v>352</v>
      </c>
    </row>
    <row r="935" spans="1:4">
      <c r="A935" t="s">
        <v>247</v>
      </c>
      <c r="B935" t="s">
        <v>573</v>
      </c>
      <c r="C935">
        <v>46622</v>
      </c>
      <c r="D935" t="s">
        <v>352</v>
      </c>
    </row>
    <row r="936" spans="1:4">
      <c r="A936" t="s">
        <v>247</v>
      </c>
      <c r="B936" t="s">
        <v>379</v>
      </c>
      <c r="C936">
        <v>46594</v>
      </c>
      <c r="D936" t="s">
        <v>352</v>
      </c>
    </row>
    <row r="937" spans="1:4">
      <c r="A937" t="s">
        <v>247</v>
      </c>
      <c r="B937" t="s">
        <v>574</v>
      </c>
      <c r="C937">
        <v>46608</v>
      </c>
      <c r="D937" t="s">
        <v>352</v>
      </c>
    </row>
    <row r="938" spans="1:4">
      <c r="A938" t="s">
        <v>247</v>
      </c>
      <c r="B938" t="s">
        <v>383</v>
      </c>
      <c r="C938">
        <v>46636</v>
      </c>
      <c r="D938" t="s">
        <v>352</v>
      </c>
    </row>
    <row r="939" spans="1:4">
      <c r="A939" t="s">
        <v>247</v>
      </c>
      <c r="B939" t="s">
        <v>575</v>
      </c>
      <c r="C939">
        <v>46642</v>
      </c>
      <c r="D939" t="s">
        <v>352</v>
      </c>
    </row>
    <row r="940" spans="1:4">
      <c r="A940" t="s">
        <v>248</v>
      </c>
      <c r="B940" t="s">
        <v>352</v>
      </c>
      <c r="C940">
        <v>46575</v>
      </c>
      <c r="D940" t="s">
        <v>352</v>
      </c>
    </row>
    <row r="941" spans="1:4">
      <c r="A941" t="s">
        <v>248</v>
      </c>
      <c r="B941" t="s">
        <v>269</v>
      </c>
      <c r="C941">
        <v>46582</v>
      </c>
      <c r="D941" t="s">
        <v>352</v>
      </c>
    </row>
    <row r="942" spans="1:4">
      <c r="A942" t="s">
        <v>248</v>
      </c>
      <c r="B942" t="s">
        <v>571</v>
      </c>
      <c r="C942">
        <v>46631</v>
      </c>
      <c r="D942" t="s">
        <v>352</v>
      </c>
    </row>
    <row r="943" spans="1:4">
      <c r="A943" t="s">
        <v>248</v>
      </c>
      <c r="B943" t="s">
        <v>572</v>
      </c>
      <c r="C943">
        <v>46575</v>
      </c>
      <c r="D943" t="s">
        <v>352</v>
      </c>
    </row>
    <row r="944" spans="1:4">
      <c r="A944" t="s">
        <v>248</v>
      </c>
      <c r="B944" t="s">
        <v>573</v>
      </c>
      <c r="C944">
        <v>46624</v>
      </c>
      <c r="D944" t="s">
        <v>352</v>
      </c>
    </row>
    <row r="945" spans="1:4">
      <c r="A945" t="s">
        <v>248</v>
      </c>
      <c r="B945" t="s">
        <v>379</v>
      </c>
      <c r="C945">
        <v>46596</v>
      </c>
      <c r="D945" t="s">
        <v>352</v>
      </c>
    </row>
    <row r="946" spans="1:4">
      <c r="A946" t="s">
        <v>248</v>
      </c>
      <c r="B946" t="s">
        <v>574</v>
      </c>
      <c r="C946">
        <v>46610</v>
      </c>
      <c r="D946" t="s">
        <v>352</v>
      </c>
    </row>
    <row r="947" spans="1:4">
      <c r="A947" t="s">
        <v>248</v>
      </c>
      <c r="B947" t="s">
        <v>383</v>
      </c>
      <c r="C947">
        <v>46638</v>
      </c>
      <c r="D947" t="s">
        <v>352</v>
      </c>
    </row>
    <row r="948" spans="1:4">
      <c r="A948" t="s">
        <v>248</v>
      </c>
      <c r="B948" t="s">
        <v>576</v>
      </c>
      <c r="C948">
        <v>46645</v>
      </c>
      <c r="D948" t="s">
        <v>352</v>
      </c>
    </row>
    <row r="949" spans="1:4">
      <c r="A949" t="s">
        <v>249</v>
      </c>
      <c r="B949" t="s">
        <v>352</v>
      </c>
      <c r="C949">
        <v>46525</v>
      </c>
      <c r="D949" t="s">
        <v>352</v>
      </c>
    </row>
    <row r="950" spans="1:4">
      <c r="A950" t="s">
        <v>249</v>
      </c>
      <c r="B950" t="s">
        <v>276</v>
      </c>
      <c r="C950">
        <v>46537</v>
      </c>
      <c r="D950" t="s">
        <v>352</v>
      </c>
    </row>
    <row r="951" spans="1:4">
      <c r="A951" t="s">
        <v>249</v>
      </c>
      <c r="B951" t="s">
        <v>260</v>
      </c>
      <c r="C951">
        <v>46551</v>
      </c>
      <c r="D951" t="s">
        <v>352</v>
      </c>
    </row>
    <row r="952" spans="1:4">
      <c r="A952" t="s">
        <v>249</v>
      </c>
      <c r="B952" t="s">
        <v>261</v>
      </c>
      <c r="C952">
        <v>46537</v>
      </c>
      <c r="D952" t="s">
        <v>352</v>
      </c>
    </row>
    <row r="953" spans="1:4">
      <c r="A953" t="s">
        <v>249</v>
      </c>
      <c r="B953" t="s">
        <v>277</v>
      </c>
      <c r="C953">
        <v>46532</v>
      </c>
      <c r="D953" t="s">
        <v>352</v>
      </c>
    </row>
    <row r="954" spans="1:4">
      <c r="A954" t="s">
        <v>249</v>
      </c>
      <c r="B954" t="s">
        <v>278</v>
      </c>
      <c r="C954">
        <v>46552</v>
      </c>
      <c r="D954" t="s">
        <v>352</v>
      </c>
    </row>
    <row r="955" spans="1:4">
      <c r="A955" t="s">
        <v>249</v>
      </c>
      <c r="B955" t="s">
        <v>264</v>
      </c>
      <c r="C955">
        <v>46552</v>
      </c>
      <c r="D955" t="s">
        <v>352</v>
      </c>
    </row>
    <row r="956" spans="1:4">
      <c r="A956" t="s">
        <v>249</v>
      </c>
      <c r="B956" t="s">
        <v>279</v>
      </c>
      <c r="C956">
        <v>46552</v>
      </c>
      <c r="D956" t="s">
        <v>352</v>
      </c>
    </row>
    <row r="957" spans="1:4">
      <c r="A957" t="s">
        <v>249</v>
      </c>
      <c r="B957" t="s">
        <v>280</v>
      </c>
      <c r="C957">
        <v>46552</v>
      </c>
      <c r="D957" t="s">
        <v>352</v>
      </c>
    </row>
    <row r="958" spans="1:4">
      <c r="A958" t="s">
        <v>249</v>
      </c>
      <c r="B958" t="s">
        <v>267</v>
      </c>
      <c r="C958">
        <v>46552</v>
      </c>
      <c r="D958" t="s">
        <v>352</v>
      </c>
    </row>
    <row r="959" spans="1:4">
      <c r="A959" t="s">
        <v>249</v>
      </c>
      <c r="B959" t="s">
        <v>577</v>
      </c>
      <c r="C959">
        <v>46525</v>
      </c>
      <c r="D959" t="s">
        <v>352</v>
      </c>
    </row>
    <row r="960" spans="1:4">
      <c r="A960" t="s">
        <v>249</v>
      </c>
      <c r="B960" t="s">
        <v>578</v>
      </c>
      <c r="C960">
        <v>46525</v>
      </c>
      <c r="D960" t="s">
        <v>352</v>
      </c>
    </row>
    <row r="961" spans="1:4">
      <c r="A961" t="s">
        <v>249</v>
      </c>
      <c r="B961" t="s">
        <v>568</v>
      </c>
      <c r="C961">
        <v>46525</v>
      </c>
      <c r="D961" t="s">
        <v>352</v>
      </c>
    </row>
    <row r="962" spans="1:4">
      <c r="A962" t="s">
        <v>249</v>
      </c>
      <c r="B962" t="s">
        <v>569</v>
      </c>
      <c r="C962">
        <v>46629</v>
      </c>
      <c r="D962" t="s">
        <v>352</v>
      </c>
    </row>
    <row r="963" spans="1:4">
      <c r="A963" t="s">
        <v>249</v>
      </c>
      <c r="B963" t="s">
        <v>571</v>
      </c>
      <c r="C963">
        <v>46629</v>
      </c>
      <c r="D963" t="s">
        <v>352</v>
      </c>
    </row>
    <row r="964" spans="1:4">
      <c r="A964" t="s">
        <v>249</v>
      </c>
      <c r="B964" t="s">
        <v>572</v>
      </c>
      <c r="C964">
        <v>46559</v>
      </c>
      <c r="D964" t="s">
        <v>352</v>
      </c>
    </row>
    <row r="965" spans="1:4">
      <c r="A965" t="s">
        <v>249</v>
      </c>
      <c r="B965" t="s">
        <v>573</v>
      </c>
      <c r="C965">
        <v>46622</v>
      </c>
      <c r="D965" t="s">
        <v>352</v>
      </c>
    </row>
    <row r="966" spans="1:4">
      <c r="A966" t="s">
        <v>249</v>
      </c>
      <c r="B966" t="s">
        <v>379</v>
      </c>
      <c r="C966">
        <v>46594</v>
      </c>
      <c r="D966" t="s">
        <v>352</v>
      </c>
    </row>
    <row r="967" spans="1:4">
      <c r="A967" t="s">
        <v>249</v>
      </c>
      <c r="B967" t="s">
        <v>574</v>
      </c>
      <c r="C967">
        <v>46608</v>
      </c>
      <c r="D967" t="s">
        <v>352</v>
      </c>
    </row>
    <row r="968" spans="1:4">
      <c r="A968" t="s">
        <v>249</v>
      </c>
      <c r="B968" t="s">
        <v>383</v>
      </c>
      <c r="C968">
        <v>46636</v>
      </c>
      <c r="D968" t="s">
        <v>352</v>
      </c>
    </row>
    <row r="969" spans="1:4">
      <c r="A969" t="s">
        <v>249</v>
      </c>
      <c r="B969" t="s">
        <v>579</v>
      </c>
      <c r="C969">
        <v>46642</v>
      </c>
      <c r="D969" t="s">
        <v>352</v>
      </c>
    </row>
    <row r="970" spans="1:4">
      <c r="A970" t="s">
        <v>250</v>
      </c>
      <c r="B970" t="s">
        <v>352</v>
      </c>
      <c r="C970">
        <v>46538</v>
      </c>
      <c r="D970" t="s">
        <v>352</v>
      </c>
    </row>
    <row r="971" spans="1:4">
      <c r="A971" t="s">
        <v>250</v>
      </c>
      <c r="B971" t="s">
        <v>282</v>
      </c>
      <c r="C971">
        <v>46545</v>
      </c>
      <c r="D971" t="s">
        <v>352</v>
      </c>
    </row>
    <row r="972" spans="1:4">
      <c r="A972" t="s">
        <v>250</v>
      </c>
      <c r="B972" t="s">
        <v>283</v>
      </c>
      <c r="C972">
        <v>46545</v>
      </c>
      <c r="D972" t="s">
        <v>352</v>
      </c>
    </row>
    <row r="973" spans="1:4">
      <c r="A973" t="s">
        <v>250</v>
      </c>
      <c r="B973" t="s">
        <v>284</v>
      </c>
      <c r="C973">
        <v>46538</v>
      </c>
      <c r="D973" t="s">
        <v>352</v>
      </c>
    </row>
    <row r="974" spans="1:4">
      <c r="A974" t="s">
        <v>250</v>
      </c>
      <c r="B974" t="s">
        <v>281</v>
      </c>
      <c r="C974">
        <v>46622</v>
      </c>
      <c r="D974" t="s">
        <v>352</v>
      </c>
    </row>
    <row r="975" spans="1:4">
      <c r="A975" t="s">
        <v>250</v>
      </c>
      <c r="B975" t="s">
        <v>569</v>
      </c>
      <c r="C975">
        <v>46615</v>
      </c>
      <c r="D975" t="s">
        <v>352</v>
      </c>
    </row>
    <row r="976" spans="1:4">
      <c r="A976" t="s">
        <v>250</v>
      </c>
      <c r="B976" t="s">
        <v>571</v>
      </c>
      <c r="C976">
        <v>46615</v>
      </c>
      <c r="D976" t="s">
        <v>352</v>
      </c>
    </row>
    <row r="977" spans="1:4">
      <c r="A977" t="s">
        <v>250</v>
      </c>
      <c r="B977" t="s">
        <v>572</v>
      </c>
      <c r="C977">
        <v>46559</v>
      </c>
      <c r="D977" t="s">
        <v>352</v>
      </c>
    </row>
    <row r="978" spans="1:4">
      <c r="A978" t="s">
        <v>250</v>
      </c>
      <c r="B978" t="s">
        <v>573</v>
      </c>
      <c r="C978">
        <v>46608</v>
      </c>
      <c r="D978" t="s">
        <v>352</v>
      </c>
    </row>
    <row r="979" spans="1:4">
      <c r="A979" t="s">
        <v>250</v>
      </c>
      <c r="B979" t="s">
        <v>379</v>
      </c>
      <c r="C979">
        <v>46580</v>
      </c>
      <c r="D979" t="s">
        <v>352</v>
      </c>
    </row>
    <row r="980" spans="1:4">
      <c r="A980" t="s">
        <v>250</v>
      </c>
      <c r="B980" t="s">
        <v>574</v>
      </c>
      <c r="C980">
        <v>46594</v>
      </c>
      <c r="D980" t="s">
        <v>352</v>
      </c>
    </row>
    <row r="981" spans="1:4">
      <c r="A981" t="s">
        <v>250</v>
      </c>
      <c r="B981" t="s">
        <v>383</v>
      </c>
      <c r="C981">
        <v>46622</v>
      </c>
      <c r="D981" t="s">
        <v>352</v>
      </c>
    </row>
    <row r="982" spans="1:4">
      <c r="A982" t="s">
        <v>250</v>
      </c>
      <c r="B982" t="s">
        <v>580</v>
      </c>
      <c r="C982">
        <v>46629</v>
      </c>
      <c r="D982" t="s">
        <v>352</v>
      </c>
    </row>
    <row r="983" spans="1:4">
      <c r="A983" t="s">
        <v>251</v>
      </c>
      <c r="B983" t="s">
        <v>352</v>
      </c>
      <c r="C983">
        <v>46532</v>
      </c>
      <c r="D983" t="s">
        <v>352</v>
      </c>
    </row>
    <row r="984" spans="1:4">
      <c r="A984" t="s">
        <v>251</v>
      </c>
      <c r="B984" t="s">
        <v>285</v>
      </c>
      <c r="C984">
        <v>46551</v>
      </c>
      <c r="D984" t="s">
        <v>352</v>
      </c>
    </row>
    <row r="985" spans="1:4">
      <c r="A985" t="s">
        <v>251</v>
      </c>
      <c r="B985" t="s">
        <v>283</v>
      </c>
      <c r="C985">
        <v>46558</v>
      </c>
      <c r="D985" t="s">
        <v>352</v>
      </c>
    </row>
    <row r="986" spans="1:4">
      <c r="A986" t="s">
        <v>251</v>
      </c>
      <c r="B986" t="s">
        <v>284</v>
      </c>
      <c r="C986">
        <v>46551</v>
      </c>
      <c r="D986" t="s">
        <v>352</v>
      </c>
    </row>
    <row r="987" spans="1:4">
      <c r="A987" t="s">
        <v>251</v>
      </c>
      <c r="B987" t="s">
        <v>281</v>
      </c>
      <c r="C987">
        <v>46622</v>
      </c>
      <c r="D987" t="s">
        <v>352</v>
      </c>
    </row>
    <row r="988" spans="1:4">
      <c r="A988" t="s">
        <v>251</v>
      </c>
      <c r="B988" t="s">
        <v>286</v>
      </c>
      <c r="C988">
        <v>46532</v>
      </c>
      <c r="D988" t="s">
        <v>352</v>
      </c>
    </row>
    <row r="989" spans="1:4">
      <c r="A989" t="s">
        <v>251</v>
      </c>
      <c r="B989" t="s">
        <v>569</v>
      </c>
      <c r="C989">
        <v>46615</v>
      </c>
      <c r="D989" t="s">
        <v>352</v>
      </c>
    </row>
    <row r="990" spans="1:4">
      <c r="A990" t="s">
        <v>251</v>
      </c>
      <c r="B990" t="s">
        <v>572</v>
      </c>
      <c r="C990">
        <v>46559</v>
      </c>
      <c r="D990" t="s">
        <v>352</v>
      </c>
    </row>
    <row r="991" spans="1:4">
      <c r="A991" t="s">
        <v>251</v>
      </c>
      <c r="B991" t="s">
        <v>573</v>
      </c>
      <c r="C991">
        <v>46608</v>
      </c>
      <c r="D991" t="s">
        <v>352</v>
      </c>
    </row>
    <row r="992" spans="1:4">
      <c r="A992" t="s">
        <v>251</v>
      </c>
      <c r="B992" t="s">
        <v>379</v>
      </c>
      <c r="C992">
        <v>46580</v>
      </c>
      <c r="D992" t="s">
        <v>352</v>
      </c>
    </row>
    <row r="993" spans="1:4">
      <c r="A993" t="s">
        <v>251</v>
      </c>
      <c r="B993" t="s">
        <v>574</v>
      </c>
      <c r="C993">
        <v>46594</v>
      </c>
      <c r="D993" t="s">
        <v>352</v>
      </c>
    </row>
    <row r="994" spans="1:4">
      <c r="A994" t="s">
        <v>251</v>
      </c>
      <c r="B994" t="s">
        <v>383</v>
      </c>
      <c r="C994">
        <v>46622</v>
      </c>
      <c r="D994" t="s">
        <v>352</v>
      </c>
    </row>
    <row r="995" spans="1:4">
      <c r="A995" t="s">
        <v>251</v>
      </c>
      <c r="B995" t="s">
        <v>581</v>
      </c>
      <c r="C995">
        <v>46628</v>
      </c>
      <c r="D995" t="s">
        <v>352</v>
      </c>
    </row>
    <row r="996" spans="1:4">
      <c r="A996" t="s">
        <v>252</v>
      </c>
      <c r="B996" t="s">
        <v>352</v>
      </c>
      <c r="C996">
        <v>46507</v>
      </c>
      <c r="D996" t="s">
        <v>352</v>
      </c>
    </row>
    <row r="997" spans="1:4">
      <c r="A997" t="s">
        <v>252</v>
      </c>
      <c r="B997" t="s">
        <v>287</v>
      </c>
      <c r="C997">
        <v>46530</v>
      </c>
      <c r="D997" t="s">
        <v>352</v>
      </c>
    </row>
    <row r="998" spans="1:4">
      <c r="A998" t="s">
        <v>252</v>
      </c>
      <c r="B998" t="s">
        <v>288</v>
      </c>
      <c r="C998">
        <v>46530</v>
      </c>
      <c r="D998" t="s">
        <v>352</v>
      </c>
    </row>
    <row r="999" spans="1:4">
      <c r="A999" t="s">
        <v>252</v>
      </c>
      <c r="B999" t="s">
        <v>289</v>
      </c>
      <c r="C999">
        <v>46530</v>
      </c>
      <c r="D999" t="s">
        <v>352</v>
      </c>
    </row>
    <row r="1000" spans="1:4">
      <c r="A1000" t="s">
        <v>252</v>
      </c>
      <c r="B1000" t="s">
        <v>277</v>
      </c>
      <c r="C1000">
        <v>46525</v>
      </c>
      <c r="D1000" t="s">
        <v>352</v>
      </c>
    </row>
    <row r="1001" spans="1:4">
      <c r="A1001" t="s">
        <v>252</v>
      </c>
      <c r="B1001" t="s">
        <v>278</v>
      </c>
      <c r="C1001">
        <v>46552</v>
      </c>
      <c r="D1001" t="s">
        <v>352</v>
      </c>
    </row>
    <row r="1002" spans="1:4">
      <c r="A1002" t="s">
        <v>252</v>
      </c>
      <c r="B1002" t="s">
        <v>264</v>
      </c>
      <c r="C1002">
        <v>46552</v>
      </c>
      <c r="D1002" t="s">
        <v>352</v>
      </c>
    </row>
    <row r="1003" spans="1:4">
      <c r="A1003" t="s">
        <v>252</v>
      </c>
      <c r="B1003" t="s">
        <v>290</v>
      </c>
      <c r="C1003">
        <v>46552</v>
      </c>
      <c r="D1003" t="s">
        <v>352</v>
      </c>
    </row>
    <row r="1004" spans="1:4">
      <c r="A1004" t="s">
        <v>252</v>
      </c>
      <c r="B1004" t="s">
        <v>291</v>
      </c>
      <c r="C1004">
        <v>46552</v>
      </c>
      <c r="D1004" t="s">
        <v>352</v>
      </c>
    </row>
    <row r="1005" spans="1:4">
      <c r="A1005" t="s">
        <v>252</v>
      </c>
      <c r="B1005" t="s">
        <v>267</v>
      </c>
      <c r="C1005">
        <v>46552</v>
      </c>
      <c r="D1005" t="s">
        <v>352</v>
      </c>
    </row>
    <row r="1006" spans="1:4">
      <c r="A1006" t="s">
        <v>252</v>
      </c>
      <c r="B1006" t="s">
        <v>577</v>
      </c>
      <c r="C1006">
        <v>46507</v>
      </c>
      <c r="D1006" t="s">
        <v>352</v>
      </c>
    </row>
    <row r="1007" spans="1:4">
      <c r="A1007" t="s">
        <v>252</v>
      </c>
      <c r="B1007" t="s">
        <v>578</v>
      </c>
      <c r="C1007">
        <v>46507</v>
      </c>
      <c r="D1007" t="s">
        <v>352</v>
      </c>
    </row>
    <row r="1008" spans="1:4">
      <c r="A1008" t="s">
        <v>252</v>
      </c>
      <c r="B1008" t="s">
        <v>568</v>
      </c>
      <c r="C1008">
        <v>46507</v>
      </c>
      <c r="D1008" t="s">
        <v>352</v>
      </c>
    </row>
    <row r="1009" spans="1:4">
      <c r="A1009" t="s">
        <v>252</v>
      </c>
      <c r="B1009" t="s">
        <v>569</v>
      </c>
      <c r="C1009">
        <v>46629</v>
      </c>
      <c r="D1009" t="s">
        <v>352</v>
      </c>
    </row>
    <row r="1010" spans="1:4">
      <c r="A1010" t="s">
        <v>252</v>
      </c>
      <c r="B1010" t="s">
        <v>572</v>
      </c>
      <c r="C1010">
        <v>46559</v>
      </c>
      <c r="D1010" t="s">
        <v>352</v>
      </c>
    </row>
    <row r="1011" spans="1:4">
      <c r="A1011" t="s">
        <v>252</v>
      </c>
      <c r="B1011" t="s">
        <v>573</v>
      </c>
      <c r="C1011">
        <v>46622</v>
      </c>
      <c r="D1011" t="s">
        <v>352</v>
      </c>
    </row>
    <row r="1012" spans="1:4">
      <c r="A1012" t="s">
        <v>252</v>
      </c>
      <c r="B1012" t="s">
        <v>379</v>
      </c>
      <c r="C1012">
        <v>46594</v>
      </c>
      <c r="D1012" t="s">
        <v>352</v>
      </c>
    </row>
    <row r="1013" spans="1:4">
      <c r="A1013" t="s">
        <v>252</v>
      </c>
      <c r="B1013" t="s">
        <v>574</v>
      </c>
      <c r="C1013">
        <v>46608</v>
      </c>
      <c r="D1013" t="s">
        <v>352</v>
      </c>
    </row>
    <row r="1014" spans="1:4">
      <c r="A1014" t="s">
        <v>252</v>
      </c>
      <c r="B1014" t="s">
        <v>383</v>
      </c>
      <c r="C1014">
        <v>46636</v>
      </c>
      <c r="D1014" t="s">
        <v>352</v>
      </c>
    </row>
    <row r="1015" spans="1:4">
      <c r="A1015" t="s">
        <v>252</v>
      </c>
      <c r="B1015" t="s">
        <v>582</v>
      </c>
      <c r="C1015">
        <v>46642</v>
      </c>
      <c r="D1015" t="s">
        <v>352</v>
      </c>
    </row>
    <row r="1016" spans="1:4">
      <c r="A1016" t="s">
        <v>253</v>
      </c>
      <c r="B1016" t="s">
        <v>352</v>
      </c>
      <c r="C1016">
        <v>46562</v>
      </c>
      <c r="D1016" t="s">
        <v>352</v>
      </c>
    </row>
    <row r="1017" spans="1:4">
      <c r="A1017" t="s">
        <v>253</v>
      </c>
      <c r="B1017" t="s">
        <v>292</v>
      </c>
      <c r="C1017">
        <v>46573</v>
      </c>
      <c r="D1017" t="s">
        <v>352</v>
      </c>
    </row>
    <row r="1018" spans="1:4">
      <c r="A1018" t="s">
        <v>253</v>
      </c>
      <c r="B1018" t="s">
        <v>293</v>
      </c>
      <c r="C1018">
        <v>46580</v>
      </c>
      <c r="D1018" t="s">
        <v>352</v>
      </c>
    </row>
    <row r="1019" spans="1:4">
      <c r="A1019" t="s">
        <v>253</v>
      </c>
      <c r="B1019" t="s">
        <v>294</v>
      </c>
      <c r="C1019">
        <v>46580</v>
      </c>
      <c r="D1019" t="s">
        <v>352</v>
      </c>
    </row>
    <row r="1020" spans="1:4">
      <c r="A1020" t="s">
        <v>253</v>
      </c>
      <c r="B1020" t="s">
        <v>283</v>
      </c>
      <c r="C1020">
        <v>46580</v>
      </c>
      <c r="D1020" t="s">
        <v>352</v>
      </c>
    </row>
    <row r="1021" spans="1:4">
      <c r="A1021" t="s">
        <v>253</v>
      </c>
      <c r="B1021" t="s">
        <v>98</v>
      </c>
      <c r="C1021">
        <v>46580</v>
      </c>
      <c r="D1021" t="s">
        <v>352</v>
      </c>
    </row>
    <row r="1022" spans="1:4">
      <c r="A1022" t="s">
        <v>253</v>
      </c>
      <c r="B1022" t="s">
        <v>284</v>
      </c>
      <c r="C1022">
        <v>46563</v>
      </c>
      <c r="D1022" t="s">
        <v>352</v>
      </c>
    </row>
    <row r="1023" spans="1:4">
      <c r="A1023" t="s">
        <v>253</v>
      </c>
      <c r="B1023" t="s">
        <v>281</v>
      </c>
      <c r="C1023">
        <v>46636</v>
      </c>
      <c r="D1023" t="s">
        <v>352</v>
      </c>
    </row>
    <row r="1024" spans="1:4">
      <c r="A1024" t="s">
        <v>253</v>
      </c>
      <c r="B1024" t="s">
        <v>286</v>
      </c>
      <c r="C1024">
        <v>46562</v>
      </c>
      <c r="D1024" t="s">
        <v>352</v>
      </c>
    </row>
    <row r="1025" spans="1:4">
      <c r="A1025" t="s">
        <v>253</v>
      </c>
      <c r="B1025" t="s">
        <v>569</v>
      </c>
      <c r="C1025">
        <v>46629</v>
      </c>
      <c r="D1025" t="s">
        <v>352</v>
      </c>
    </row>
    <row r="1026" spans="1:4">
      <c r="A1026" t="s">
        <v>253</v>
      </c>
      <c r="B1026" t="s">
        <v>572</v>
      </c>
      <c r="C1026">
        <v>46573</v>
      </c>
      <c r="D1026" t="s">
        <v>352</v>
      </c>
    </row>
    <row r="1027" spans="1:4">
      <c r="A1027" t="s">
        <v>253</v>
      </c>
      <c r="B1027" t="s">
        <v>573</v>
      </c>
      <c r="C1027">
        <v>46622</v>
      </c>
      <c r="D1027" t="s">
        <v>352</v>
      </c>
    </row>
    <row r="1028" spans="1:4">
      <c r="A1028" t="s">
        <v>253</v>
      </c>
      <c r="B1028" t="s">
        <v>379</v>
      </c>
      <c r="C1028">
        <v>46594</v>
      </c>
      <c r="D1028" t="s">
        <v>352</v>
      </c>
    </row>
    <row r="1029" spans="1:4">
      <c r="A1029" t="s">
        <v>253</v>
      </c>
      <c r="B1029" t="s">
        <v>574</v>
      </c>
      <c r="C1029">
        <v>46608</v>
      </c>
      <c r="D1029" t="s">
        <v>352</v>
      </c>
    </row>
    <row r="1030" spans="1:4">
      <c r="A1030" t="s">
        <v>253</v>
      </c>
      <c r="B1030" t="s">
        <v>383</v>
      </c>
      <c r="C1030">
        <v>46636</v>
      </c>
      <c r="D1030" t="s">
        <v>352</v>
      </c>
    </row>
    <row r="1031" spans="1:4">
      <c r="A1031" t="s">
        <v>253</v>
      </c>
      <c r="B1031" t="s">
        <v>583</v>
      </c>
      <c r="C1031">
        <v>46642</v>
      </c>
      <c r="D1031" t="s">
        <v>352</v>
      </c>
    </row>
    <row r="1032" spans="1:4">
      <c r="A1032" t="s">
        <v>254</v>
      </c>
      <c r="B1032" t="s">
        <v>352</v>
      </c>
      <c r="C1032">
        <v>46553</v>
      </c>
      <c r="D1032" t="s">
        <v>352</v>
      </c>
    </row>
    <row r="1033" spans="1:4">
      <c r="A1033" t="s">
        <v>254</v>
      </c>
      <c r="B1033" t="s">
        <v>275</v>
      </c>
      <c r="C1033">
        <v>46582</v>
      </c>
      <c r="D1033" t="s">
        <v>352</v>
      </c>
    </row>
    <row r="1034" spans="1:4">
      <c r="A1034" t="s">
        <v>254</v>
      </c>
      <c r="B1034" t="s">
        <v>584</v>
      </c>
      <c r="C1034">
        <v>46568</v>
      </c>
      <c r="D1034" t="s">
        <v>352</v>
      </c>
    </row>
    <row r="1035" spans="1:4">
      <c r="A1035" t="s">
        <v>254</v>
      </c>
      <c r="B1035" t="s">
        <v>270</v>
      </c>
      <c r="C1035">
        <v>46616</v>
      </c>
      <c r="D1035" t="s">
        <v>352</v>
      </c>
    </row>
    <row r="1036" spans="1:4">
      <c r="A1036" t="s">
        <v>254</v>
      </c>
      <c r="B1036" t="s">
        <v>271</v>
      </c>
      <c r="C1036">
        <v>46616</v>
      </c>
      <c r="D1036" t="s">
        <v>352</v>
      </c>
    </row>
    <row r="1037" spans="1:4">
      <c r="A1037" t="s">
        <v>254</v>
      </c>
      <c r="B1037" t="s">
        <v>585</v>
      </c>
      <c r="C1037">
        <v>46582</v>
      </c>
      <c r="D1037" t="s">
        <v>352</v>
      </c>
    </row>
    <row r="1038" spans="1:4">
      <c r="A1038" t="s">
        <v>254</v>
      </c>
      <c r="B1038" t="s">
        <v>586</v>
      </c>
      <c r="C1038">
        <v>46560</v>
      </c>
      <c r="D1038" t="s">
        <v>352</v>
      </c>
    </row>
    <row r="1039" spans="1:4">
      <c r="A1039" t="s">
        <v>254</v>
      </c>
      <c r="B1039" t="s">
        <v>587</v>
      </c>
      <c r="C1039">
        <v>46582</v>
      </c>
      <c r="D1039" t="s">
        <v>352</v>
      </c>
    </row>
    <row r="1040" spans="1:4">
      <c r="A1040" t="s">
        <v>254</v>
      </c>
      <c r="B1040" t="s">
        <v>274</v>
      </c>
      <c r="C1040">
        <v>46575</v>
      </c>
      <c r="D1040" t="s">
        <v>352</v>
      </c>
    </row>
    <row r="1041" spans="1:4">
      <c r="A1041" t="s">
        <v>254</v>
      </c>
      <c r="B1041" t="s">
        <v>588</v>
      </c>
      <c r="C1041">
        <v>46575</v>
      </c>
      <c r="D1041" t="s">
        <v>352</v>
      </c>
    </row>
    <row r="1042" spans="1:4">
      <c r="A1042" t="s">
        <v>254</v>
      </c>
      <c r="B1042" t="s">
        <v>589</v>
      </c>
      <c r="C1042">
        <v>46582</v>
      </c>
      <c r="D1042" t="s">
        <v>352</v>
      </c>
    </row>
    <row r="1043" spans="1:4">
      <c r="A1043" t="s">
        <v>254</v>
      </c>
      <c r="B1043" t="s">
        <v>590</v>
      </c>
      <c r="C1043">
        <v>46588</v>
      </c>
      <c r="D1043" t="s">
        <v>352</v>
      </c>
    </row>
    <row r="1044" spans="1:4">
      <c r="A1044" t="s">
        <v>254</v>
      </c>
      <c r="B1044" t="s">
        <v>591</v>
      </c>
      <c r="C1044">
        <v>46589</v>
      </c>
      <c r="D1044" t="s">
        <v>352</v>
      </c>
    </row>
    <row r="1045" spans="1:4">
      <c r="A1045" t="s">
        <v>254</v>
      </c>
      <c r="B1045" t="s">
        <v>272</v>
      </c>
      <c r="C1045">
        <v>46561</v>
      </c>
      <c r="D1045" t="s">
        <v>352</v>
      </c>
    </row>
    <row r="1046" spans="1:4">
      <c r="A1046" t="s">
        <v>254</v>
      </c>
      <c r="B1046" t="s">
        <v>273</v>
      </c>
      <c r="C1046">
        <v>46553</v>
      </c>
      <c r="D1046" t="s">
        <v>352</v>
      </c>
    </row>
    <row r="1047" spans="1:4">
      <c r="A1047" t="s">
        <v>254</v>
      </c>
      <c r="B1047" t="s">
        <v>592</v>
      </c>
      <c r="C1047">
        <v>46603</v>
      </c>
      <c r="D1047" t="s">
        <v>352</v>
      </c>
    </row>
    <row r="1048" spans="1:4">
      <c r="A1048" t="s">
        <v>254</v>
      </c>
      <c r="B1048" t="s">
        <v>593</v>
      </c>
      <c r="C1048">
        <v>46603</v>
      </c>
      <c r="D1048" t="s">
        <v>352</v>
      </c>
    </row>
    <row r="1049" spans="1:4">
      <c r="A1049" t="s">
        <v>254</v>
      </c>
      <c r="B1049" t="s">
        <v>594</v>
      </c>
      <c r="C1049">
        <v>46595</v>
      </c>
      <c r="D1049" t="s">
        <v>352</v>
      </c>
    </row>
    <row r="1050" spans="1:4">
      <c r="A1050" t="s">
        <v>254</v>
      </c>
      <c r="B1050" t="s">
        <v>383</v>
      </c>
      <c r="C1050">
        <v>46637</v>
      </c>
      <c r="D1050" t="s">
        <v>352</v>
      </c>
    </row>
    <row r="1051" spans="1:4">
      <c r="A1051" t="s">
        <v>254</v>
      </c>
      <c r="B1051" t="s">
        <v>576</v>
      </c>
      <c r="C1051">
        <v>46644</v>
      </c>
      <c r="D1051" t="s">
        <v>352</v>
      </c>
    </row>
    <row r="1052" spans="1:4">
      <c r="A1052" t="s">
        <v>300</v>
      </c>
      <c r="B1052" t="s">
        <v>352</v>
      </c>
      <c r="C1052">
        <v>46521</v>
      </c>
      <c r="D1052" t="s">
        <v>352</v>
      </c>
    </row>
    <row r="1053" spans="1:4">
      <c r="A1053" t="s">
        <v>300</v>
      </c>
      <c r="B1053" t="s">
        <v>362</v>
      </c>
      <c r="C1053">
        <v>46521</v>
      </c>
      <c r="D1053" t="s">
        <v>352</v>
      </c>
    </row>
    <row r="1054" spans="1:4">
      <c r="A1054" t="s">
        <v>300</v>
      </c>
      <c r="B1054" t="s">
        <v>304</v>
      </c>
      <c r="C1054">
        <v>46524</v>
      </c>
      <c r="D1054" t="s">
        <v>352</v>
      </c>
    </row>
    <row r="1055" spans="1:4">
      <c r="A1055" t="s">
        <v>300</v>
      </c>
      <c r="B1055" t="s">
        <v>595</v>
      </c>
      <c r="C1055">
        <v>46531</v>
      </c>
      <c r="D1055" t="s">
        <v>352</v>
      </c>
    </row>
    <row r="1056" spans="1:4">
      <c r="A1056" t="s">
        <v>300</v>
      </c>
      <c r="B1056" t="s">
        <v>492</v>
      </c>
      <c r="C1056">
        <v>46538</v>
      </c>
      <c r="D1056" t="s">
        <v>352</v>
      </c>
    </row>
    <row r="1057" spans="1:4">
      <c r="A1057" t="s">
        <v>300</v>
      </c>
      <c r="B1057" t="s">
        <v>596</v>
      </c>
      <c r="C1057">
        <v>46545</v>
      </c>
      <c r="D1057" t="s">
        <v>352</v>
      </c>
    </row>
    <row r="1058" spans="1:4">
      <c r="A1058" t="s">
        <v>300</v>
      </c>
      <c r="B1058" t="s">
        <v>371</v>
      </c>
      <c r="C1058">
        <v>46561</v>
      </c>
      <c r="D1058" t="s">
        <v>352</v>
      </c>
    </row>
    <row r="1059" spans="1:4">
      <c r="A1059" t="s">
        <v>300</v>
      </c>
      <c r="B1059" t="s">
        <v>379</v>
      </c>
      <c r="C1059">
        <v>46589</v>
      </c>
      <c r="D1059" t="s">
        <v>352</v>
      </c>
    </row>
    <row r="1060" spans="1:4">
      <c r="A1060" t="s">
        <v>300</v>
      </c>
      <c r="B1060" t="s">
        <v>495</v>
      </c>
      <c r="C1060">
        <v>46589</v>
      </c>
      <c r="D1060" t="s">
        <v>352</v>
      </c>
    </row>
    <row r="1061" spans="1:4">
      <c r="A1061" t="s">
        <v>300</v>
      </c>
      <c r="B1061" t="s">
        <v>384</v>
      </c>
      <c r="C1061">
        <v>46645</v>
      </c>
      <c r="D1061" t="s">
        <v>352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7D14D-F75F-4FFE-8AA0-2163F04574C3}">
  <sheetPr codeName="Sheet7"/>
  <dimension ref="A1:K24"/>
  <sheetViews>
    <sheetView workbookViewId="0"/>
  </sheetViews>
  <sheetFormatPr defaultRowHeight="13.8"/>
  <sheetData>
    <row r="1" spans="1:11">
      <c r="A1" t="s">
        <v>330</v>
      </c>
    </row>
    <row r="2" spans="1:11">
      <c r="A2" t="s">
        <v>331</v>
      </c>
      <c r="J2" t="s">
        <v>5076</v>
      </c>
      <c r="K2" s="99">
        <v>46304.503877314812</v>
      </c>
    </row>
    <row r="3" spans="1:11">
      <c r="A3" t="s">
        <v>332</v>
      </c>
      <c r="J3" t="s">
        <v>5077</v>
      </c>
      <c r="K3">
        <v>80</v>
      </c>
    </row>
    <row r="4" spans="1:11">
      <c r="A4" t="s">
        <v>333</v>
      </c>
      <c r="J4" t="s">
        <v>5078</v>
      </c>
      <c r="K4" s="99">
        <v>46304.506574074076</v>
      </c>
    </row>
    <row r="5" spans="1:11">
      <c r="A5" t="s">
        <v>334</v>
      </c>
    </row>
    <row r="6" spans="1:11">
      <c r="A6" t="s">
        <v>335</v>
      </c>
    </row>
    <row r="7" spans="1:11">
      <c r="A7" t="s">
        <v>336</v>
      </c>
    </row>
    <row r="8" spans="1:11">
      <c r="A8" t="s">
        <v>337</v>
      </c>
    </row>
    <row r="9" spans="1:11">
      <c r="A9" t="s">
        <v>338</v>
      </c>
    </row>
    <row r="10" spans="1:11">
      <c r="A10" t="s">
        <v>339</v>
      </c>
    </row>
    <row r="11" spans="1:11">
      <c r="A11" t="s">
        <v>340</v>
      </c>
    </row>
    <row r="12" spans="1:11">
      <c r="A12" t="s">
        <v>341</v>
      </c>
    </row>
    <row r="13" spans="1:11">
      <c r="A13" t="s">
        <v>342</v>
      </c>
    </row>
    <row r="14" spans="1:11">
      <c r="A14" t="s">
        <v>343</v>
      </c>
    </row>
    <row r="15" spans="1:11">
      <c r="A15" t="s">
        <v>344</v>
      </c>
    </row>
    <row r="16" spans="1:11">
      <c r="A16" t="s">
        <v>345</v>
      </c>
    </row>
    <row r="17" spans="1:1">
      <c r="A17" t="s">
        <v>346</v>
      </c>
    </row>
    <row r="18" spans="1:1">
      <c r="A18" t="s">
        <v>347</v>
      </c>
    </row>
    <row r="19" spans="1:1">
      <c r="A19" t="s">
        <v>3920</v>
      </c>
    </row>
    <row r="20" spans="1:1">
      <c r="A20" t="s">
        <v>3921</v>
      </c>
    </row>
    <row r="21" spans="1:1">
      <c r="A21" t="s">
        <v>3922</v>
      </c>
    </row>
    <row r="22" spans="1:1">
      <c r="A22" t="s">
        <v>3923</v>
      </c>
    </row>
    <row r="23" spans="1:1">
      <c r="A23" t="s">
        <v>3924</v>
      </c>
    </row>
    <row r="24" spans="1:1">
      <c r="A24" t="s">
        <v>3925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209A-1B83-4AEA-B8BC-36DF592CD197}">
  <sheetPr codeName="Sheet4"/>
  <dimension ref="A1:AM161"/>
  <sheetViews>
    <sheetView workbookViewId="0">
      <selection sqref="A1:AM161"/>
    </sheetView>
  </sheetViews>
  <sheetFormatPr defaultRowHeight="13.8"/>
  <sheetData>
    <row r="1" spans="1:39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</row>
    <row r="2" spans="1:39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</row>
    <row r="3" spans="1:39">
      <c r="A3" s="103"/>
      <c r="B3" s="103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</row>
    <row r="4" spans="1:39">
      <c r="A4" s="103"/>
      <c r="B4" s="103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</row>
    <row r="5" spans="1:39">
      <c r="A5" s="103"/>
      <c r="B5" s="103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</row>
    <row r="6" spans="1:39" ht="14.4" thickBot="1">
      <c r="A6" s="153"/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>
      <c r="A7" s="159"/>
      <c r="B7" s="160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2"/>
    </row>
    <row r="8" spans="1:39">
      <c r="A8" s="163"/>
      <c r="B8" s="164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6"/>
    </row>
    <row r="9" spans="1:39">
      <c r="A9" s="163"/>
      <c r="B9" s="164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7"/>
    </row>
    <row r="10" spans="1:39">
      <c r="A10" s="168"/>
      <c r="B10" s="169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7"/>
    </row>
    <row r="11" spans="1:39">
      <c r="A11" s="163"/>
      <c r="B11" s="164"/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6"/>
    </row>
    <row r="12" spans="1:39">
      <c r="A12" s="168"/>
      <c r="B12" s="169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6"/>
    </row>
    <row r="13" spans="1:39">
      <c r="A13" s="168"/>
      <c r="B13" s="169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6"/>
    </row>
    <row r="14" spans="1:39">
      <c r="A14" s="168"/>
      <c r="B14" s="169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6"/>
    </row>
    <row r="15" spans="1:39">
      <c r="A15" s="168"/>
      <c r="B15" s="169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7"/>
    </row>
    <row r="16" spans="1:39" ht="14.4" thickBot="1">
      <c r="A16" s="163"/>
      <c r="B16" s="164"/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7"/>
    </row>
    <row r="17" spans="1:39" ht="14.4" thickBot="1">
      <c r="A17" s="154"/>
      <c r="B17" s="154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</row>
    <row r="18" spans="1:39">
      <c r="A18" s="170"/>
      <c r="B18" s="171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62"/>
    </row>
    <row r="19" spans="1:39">
      <c r="A19" s="173"/>
      <c r="B19" s="174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66"/>
    </row>
    <row r="20" spans="1:39">
      <c r="A20" s="173"/>
      <c r="B20" s="174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66"/>
    </row>
    <row r="21" spans="1:39">
      <c r="A21" s="173"/>
      <c r="B21" s="174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66"/>
    </row>
    <row r="22" spans="1:39">
      <c r="A22" s="173"/>
      <c r="B22" s="174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66"/>
    </row>
    <row r="23" spans="1:39">
      <c r="A23" s="173"/>
      <c r="B23" s="174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66"/>
    </row>
    <row r="24" spans="1:39">
      <c r="A24" s="173"/>
      <c r="B24" s="174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66"/>
    </row>
    <row r="25" spans="1:39">
      <c r="A25" s="176"/>
      <c r="B25" s="177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66"/>
    </row>
    <row r="26" spans="1:39">
      <c r="A26" s="176"/>
      <c r="B26" s="177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66"/>
    </row>
    <row r="27" spans="1:39">
      <c r="A27" s="176"/>
      <c r="B27" s="177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66"/>
    </row>
    <row r="28" spans="1:39">
      <c r="A28" s="176"/>
      <c r="B28" s="177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66"/>
    </row>
    <row r="29" spans="1:39">
      <c r="A29" s="176"/>
      <c r="B29" s="177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66"/>
    </row>
    <row r="30" spans="1:39" ht="14.4" thickBot="1">
      <c r="A30" s="176"/>
      <c r="B30" s="177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66"/>
    </row>
    <row r="31" spans="1:39" ht="14.4" thickBot="1">
      <c r="A31" s="154"/>
      <c r="B31" s="154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</row>
    <row r="32" spans="1:39" ht="14.4" thickBot="1">
      <c r="A32" s="178"/>
      <c r="B32" s="179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62"/>
    </row>
    <row r="33" spans="1:39" ht="14.4" thickBot="1">
      <c r="A33" s="154"/>
      <c r="B33" s="154"/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</row>
    <row r="34" spans="1:39">
      <c r="A34" s="181"/>
      <c r="B34" s="182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62"/>
    </row>
    <row r="35" spans="1:39">
      <c r="A35" s="183"/>
      <c r="B35" s="184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66"/>
    </row>
    <row r="36" spans="1:39">
      <c r="A36" s="183"/>
      <c r="B36" s="184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6"/>
    </row>
    <row r="37" spans="1:39">
      <c r="A37" s="187"/>
      <c r="B37" s="188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66"/>
    </row>
    <row r="38" spans="1:39">
      <c r="A38" s="187"/>
      <c r="B38" s="188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  <c r="AI38" s="185"/>
      <c r="AJ38" s="185"/>
      <c r="AK38" s="185"/>
      <c r="AL38" s="185"/>
      <c r="AM38" s="166"/>
    </row>
    <row r="39" spans="1:39">
      <c r="A39" s="187"/>
      <c r="B39" s="188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85"/>
      <c r="AJ39" s="185"/>
      <c r="AK39" s="185"/>
      <c r="AL39" s="185"/>
      <c r="AM39" s="186"/>
    </row>
    <row r="40" spans="1:39">
      <c r="A40" s="183"/>
      <c r="B40" s="184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66"/>
    </row>
    <row r="41" spans="1:39">
      <c r="A41" s="183"/>
      <c r="B41" s="184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5"/>
      <c r="AM41" s="166"/>
    </row>
    <row r="42" spans="1:39">
      <c r="A42" s="183"/>
      <c r="B42" s="184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85"/>
      <c r="AJ42" s="185"/>
      <c r="AK42" s="185"/>
      <c r="AL42" s="185"/>
      <c r="AM42" s="166"/>
    </row>
    <row r="43" spans="1:39">
      <c r="A43" s="183"/>
      <c r="B43" s="184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66"/>
    </row>
    <row r="44" spans="1:39" ht="14.4" thickBot="1">
      <c r="A44" s="183"/>
      <c r="B44" s="184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  <c r="AI44" s="185"/>
      <c r="AJ44" s="185"/>
      <c r="AK44" s="185"/>
      <c r="AL44" s="185"/>
      <c r="AM44" s="166"/>
    </row>
    <row r="45" spans="1:39" ht="14.4" thickBot="1">
      <c r="A45" s="154"/>
      <c r="B45" s="154"/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</row>
    <row r="46" spans="1:39">
      <c r="A46" s="189"/>
      <c r="B46" s="190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62"/>
    </row>
    <row r="47" spans="1:39">
      <c r="A47" s="192"/>
      <c r="B47" s="193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5"/>
    </row>
    <row r="48" spans="1:39">
      <c r="A48" s="196"/>
      <c r="B48" s="197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66"/>
    </row>
    <row r="49" spans="1:39">
      <c r="A49" s="196"/>
      <c r="B49" s="197"/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66"/>
    </row>
    <row r="50" spans="1:39">
      <c r="A50" s="192"/>
      <c r="B50" s="193"/>
      <c r="C50" s="194"/>
      <c r="D50" s="194"/>
      <c r="E50" s="194"/>
      <c r="F50" s="194"/>
      <c r="G50" s="194"/>
      <c r="H50" s="194"/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66"/>
    </row>
    <row r="51" spans="1:39">
      <c r="A51" s="192"/>
      <c r="B51" s="193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5"/>
    </row>
    <row r="52" spans="1:39">
      <c r="A52" s="196"/>
      <c r="B52" s="197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66"/>
    </row>
    <row r="53" spans="1:39">
      <c r="A53" s="192"/>
      <c r="B53" s="193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66"/>
    </row>
    <row r="54" spans="1:39">
      <c r="A54" s="192"/>
      <c r="B54" s="193"/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5"/>
    </row>
    <row r="55" spans="1:39">
      <c r="A55" s="196"/>
      <c r="B55" s="197"/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66"/>
    </row>
    <row r="56" spans="1:39">
      <c r="A56" s="196"/>
      <c r="B56" s="197"/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5"/>
    </row>
    <row r="57" spans="1:39">
      <c r="A57" s="192"/>
      <c r="B57" s="193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66"/>
    </row>
    <row r="58" spans="1:39">
      <c r="A58" s="196"/>
      <c r="B58" s="197"/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4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5"/>
    </row>
    <row r="59" spans="1:39" ht="14.4" thickBot="1">
      <c r="A59" s="192"/>
      <c r="B59" s="193"/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66"/>
    </row>
    <row r="60" spans="1:39" ht="14.4" thickBot="1">
      <c r="A60" s="154"/>
      <c r="B60" s="154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</row>
    <row r="61" spans="1:39">
      <c r="A61" s="198"/>
      <c r="B61" s="199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62"/>
    </row>
    <row r="62" spans="1:39" ht="14.4" thickBot="1">
      <c r="A62" s="196"/>
      <c r="B62" s="197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66"/>
    </row>
    <row r="63" spans="1:39" ht="14.4" thickBot="1">
      <c r="A63" s="154"/>
      <c r="B63" s="154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</row>
    <row r="64" spans="1:39">
      <c r="A64" s="189"/>
      <c r="B64" s="190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62"/>
    </row>
    <row r="65" spans="1:39">
      <c r="A65" s="192"/>
      <c r="B65" s="193"/>
      <c r="C65" s="194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66"/>
    </row>
    <row r="66" spans="1:39">
      <c r="A66" s="192"/>
      <c r="B66" s="193"/>
      <c r="C66" s="194"/>
      <c r="D66" s="194"/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66"/>
    </row>
    <row r="67" spans="1:39">
      <c r="A67" s="192"/>
      <c r="B67" s="193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66"/>
    </row>
    <row r="68" spans="1:39">
      <c r="A68" s="192"/>
      <c r="B68" s="193"/>
      <c r="C68" s="194"/>
      <c r="D68" s="194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66"/>
    </row>
    <row r="69" spans="1:39" ht="14.4" thickBot="1">
      <c r="A69" s="192"/>
      <c r="B69" s="193"/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66"/>
    </row>
    <row r="70" spans="1:39" ht="14.4" thickBot="1">
      <c r="A70" s="154"/>
      <c r="B70" s="154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</row>
    <row r="71" spans="1:39">
      <c r="A71" s="198"/>
      <c r="B71" s="199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62"/>
    </row>
    <row r="72" spans="1:39">
      <c r="A72" s="196"/>
      <c r="B72" s="197"/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66"/>
    </row>
    <row r="73" spans="1:39">
      <c r="A73" s="196"/>
      <c r="B73" s="197"/>
      <c r="C73" s="194"/>
      <c r="D73" s="194"/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66"/>
    </row>
    <row r="74" spans="1:39">
      <c r="A74" s="196"/>
      <c r="B74" s="197"/>
      <c r="C74" s="194"/>
      <c r="D74" s="194"/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66"/>
    </row>
    <row r="75" spans="1:39">
      <c r="A75" s="196"/>
      <c r="B75" s="197"/>
      <c r="C75" s="194"/>
      <c r="D75" s="194"/>
      <c r="E75" s="194"/>
      <c r="F75" s="194"/>
      <c r="G75" s="194"/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66"/>
    </row>
    <row r="76" spans="1:39">
      <c r="A76" s="196"/>
      <c r="B76" s="197"/>
      <c r="C76" s="194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66"/>
    </row>
    <row r="77" spans="1:39">
      <c r="A77" s="192"/>
      <c r="B77" s="193"/>
      <c r="C77" s="194"/>
      <c r="D77" s="194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5"/>
    </row>
    <row r="78" spans="1:39">
      <c r="A78" s="192"/>
      <c r="B78" s="193"/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5"/>
    </row>
    <row r="79" spans="1:39">
      <c r="A79" s="192"/>
      <c r="B79" s="193"/>
      <c r="C79" s="194"/>
      <c r="D79" s="194"/>
      <c r="E79" s="194"/>
      <c r="F79" s="194"/>
      <c r="G79" s="194"/>
      <c r="H79" s="194"/>
      <c r="I79" s="194"/>
      <c r="J79" s="194"/>
      <c r="K79" s="194"/>
      <c r="L79" s="194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  <c r="AI79" s="194"/>
      <c r="AJ79" s="194"/>
      <c r="AK79" s="194"/>
      <c r="AL79" s="194"/>
      <c r="AM79" s="195"/>
    </row>
    <row r="80" spans="1:39">
      <c r="A80" s="192"/>
      <c r="B80" s="193"/>
      <c r="C80" s="194"/>
      <c r="D80" s="194"/>
      <c r="E80" s="194"/>
      <c r="F80" s="194"/>
      <c r="G80" s="194"/>
      <c r="H80" s="194"/>
      <c r="I80" s="194"/>
      <c r="J80" s="194"/>
      <c r="K80" s="194"/>
      <c r="L80" s="194"/>
      <c r="M80" s="194"/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  <c r="AE80" s="194"/>
      <c r="AF80" s="194"/>
      <c r="AG80" s="194"/>
      <c r="AH80" s="194"/>
      <c r="AI80" s="194"/>
      <c r="AJ80" s="194"/>
      <c r="AK80" s="194"/>
      <c r="AL80" s="194"/>
      <c r="AM80" s="195"/>
    </row>
    <row r="81" spans="1:39">
      <c r="A81" s="192"/>
      <c r="B81" s="193"/>
      <c r="C81" s="194"/>
      <c r="D81" s="194"/>
      <c r="E81" s="194"/>
      <c r="F81" s="194"/>
      <c r="G81" s="194"/>
      <c r="H81" s="194"/>
      <c r="I81" s="194"/>
      <c r="J81" s="194"/>
      <c r="K81" s="194"/>
      <c r="L81" s="194"/>
      <c r="M81" s="194"/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  <c r="AI81" s="194"/>
      <c r="AJ81" s="194"/>
      <c r="AK81" s="194"/>
      <c r="AL81" s="194"/>
      <c r="AM81" s="195"/>
    </row>
    <row r="82" spans="1:39">
      <c r="A82" s="192"/>
      <c r="B82" s="193"/>
      <c r="C82" s="194"/>
      <c r="D82" s="194"/>
      <c r="E82" s="194"/>
      <c r="F82" s="194"/>
      <c r="G82" s="194"/>
      <c r="H82" s="194"/>
      <c r="I82" s="194"/>
      <c r="J82" s="194"/>
      <c r="K82" s="194"/>
      <c r="L82" s="194"/>
      <c r="M82" s="194"/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  <c r="AE82" s="194"/>
      <c r="AF82" s="194"/>
      <c r="AG82" s="194"/>
      <c r="AH82" s="194"/>
      <c r="AI82" s="194"/>
      <c r="AJ82" s="194"/>
      <c r="AK82" s="194"/>
      <c r="AL82" s="194"/>
      <c r="AM82" s="195"/>
    </row>
    <row r="83" spans="1:39">
      <c r="A83" s="196"/>
      <c r="B83" s="197"/>
      <c r="C83" s="194"/>
      <c r="D83" s="194"/>
      <c r="E83" s="194"/>
      <c r="F83" s="194"/>
      <c r="G83" s="194"/>
      <c r="H83" s="194"/>
      <c r="I83" s="194"/>
      <c r="J83" s="194"/>
      <c r="K83" s="194"/>
      <c r="L83" s="194"/>
      <c r="M83" s="194"/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4"/>
      <c r="AA83" s="194"/>
      <c r="AB83" s="194"/>
      <c r="AC83" s="194"/>
      <c r="AD83" s="194"/>
      <c r="AE83" s="194"/>
      <c r="AF83" s="194"/>
      <c r="AG83" s="194"/>
      <c r="AH83" s="194"/>
      <c r="AI83" s="194"/>
      <c r="AJ83" s="194"/>
      <c r="AK83" s="194"/>
      <c r="AL83" s="194"/>
      <c r="AM83" s="195"/>
    </row>
    <row r="84" spans="1:39">
      <c r="A84" s="192"/>
      <c r="B84" s="193"/>
      <c r="C84" s="194"/>
      <c r="D84" s="194"/>
      <c r="E84" s="194"/>
      <c r="F84" s="194"/>
      <c r="G84" s="194"/>
      <c r="H84" s="194"/>
      <c r="I84" s="194"/>
      <c r="J84" s="194"/>
      <c r="K84" s="194"/>
      <c r="L84" s="194"/>
      <c r="M84" s="194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5"/>
    </row>
    <row r="85" spans="1:39">
      <c r="A85" s="192"/>
      <c r="B85" s="193"/>
      <c r="C85" s="194"/>
      <c r="D85" s="194"/>
      <c r="E85" s="194"/>
      <c r="F85" s="194"/>
      <c r="G85" s="194"/>
      <c r="H85" s="194"/>
      <c r="I85" s="194"/>
      <c r="J85" s="194"/>
      <c r="K85" s="194"/>
      <c r="L85" s="194"/>
      <c r="M85" s="194"/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4"/>
      <c r="AA85" s="194"/>
      <c r="AB85" s="194"/>
      <c r="AC85" s="194"/>
      <c r="AD85" s="194"/>
      <c r="AE85" s="194"/>
      <c r="AF85" s="194"/>
      <c r="AG85" s="194"/>
      <c r="AH85" s="194"/>
      <c r="AI85" s="194"/>
      <c r="AJ85" s="194"/>
      <c r="AK85" s="194"/>
      <c r="AL85" s="194"/>
      <c r="AM85" s="195"/>
    </row>
    <row r="86" spans="1:39">
      <c r="A86" s="192"/>
      <c r="B86" s="193"/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4"/>
      <c r="AA86" s="194"/>
      <c r="AB86" s="194"/>
      <c r="AC86" s="194"/>
      <c r="AD86" s="194"/>
      <c r="AE86" s="194"/>
      <c r="AF86" s="194"/>
      <c r="AG86" s="194"/>
      <c r="AH86" s="194"/>
      <c r="AI86" s="194"/>
      <c r="AJ86" s="194"/>
      <c r="AK86" s="194"/>
      <c r="AL86" s="194"/>
      <c r="AM86" s="195"/>
    </row>
    <row r="87" spans="1:39">
      <c r="A87" s="192"/>
      <c r="B87" s="193"/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4"/>
      <c r="AA87" s="194"/>
      <c r="AB87" s="194"/>
      <c r="AC87" s="194"/>
      <c r="AD87" s="194"/>
      <c r="AE87" s="194"/>
      <c r="AF87" s="194"/>
      <c r="AG87" s="194"/>
      <c r="AH87" s="194"/>
      <c r="AI87" s="194"/>
      <c r="AJ87" s="194"/>
      <c r="AK87" s="194"/>
      <c r="AL87" s="194"/>
      <c r="AM87" s="195"/>
    </row>
    <row r="88" spans="1:39">
      <c r="A88" s="192"/>
      <c r="B88" s="193"/>
      <c r="C88" s="194"/>
      <c r="D88" s="194"/>
      <c r="E88" s="194"/>
      <c r="F88" s="194"/>
      <c r="G88" s="194"/>
      <c r="H88" s="194"/>
      <c r="I88" s="194"/>
      <c r="J88" s="194"/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  <c r="AE88" s="194"/>
      <c r="AF88" s="194"/>
      <c r="AG88" s="194"/>
      <c r="AH88" s="194"/>
      <c r="AI88" s="194"/>
      <c r="AJ88" s="194"/>
      <c r="AK88" s="194"/>
      <c r="AL88" s="194"/>
      <c r="AM88" s="195"/>
    </row>
    <row r="89" spans="1:39">
      <c r="A89" s="192"/>
      <c r="B89" s="193"/>
      <c r="C89" s="194"/>
      <c r="D89" s="194"/>
      <c r="E89" s="194"/>
      <c r="F89" s="194"/>
      <c r="G89" s="194"/>
      <c r="H89" s="194"/>
      <c r="I89" s="194"/>
      <c r="J89" s="194"/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4"/>
      <c r="AA89" s="194"/>
      <c r="AB89" s="194"/>
      <c r="AC89" s="194"/>
      <c r="AD89" s="194"/>
      <c r="AE89" s="194"/>
      <c r="AF89" s="194"/>
      <c r="AG89" s="194"/>
      <c r="AH89" s="194"/>
      <c r="AI89" s="194"/>
      <c r="AJ89" s="194"/>
      <c r="AK89" s="194"/>
      <c r="AL89" s="194"/>
      <c r="AM89" s="195"/>
    </row>
    <row r="90" spans="1:39">
      <c r="A90" s="196"/>
      <c r="B90" s="197"/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  <c r="AE90" s="194"/>
      <c r="AF90" s="194"/>
      <c r="AG90" s="194"/>
      <c r="AH90" s="194"/>
      <c r="AI90" s="194"/>
      <c r="AJ90" s="194"/>
      <c r="AK90" s="194"/>
      <c r="AL90" s="194"/>
      <c r="AM90" s="195"/>
    </row>
    <row r="91" spans="1:39">
      <c r="A91" s="196"/>
      <c r="B91" s="197"/>
      <c r="C91" s="194"/>
      <c r="D91" s="194"/>
      <c r="E91" s="194"/>
      <c r="F91" s="194"/>
      <c r="G91" s="194"/>
      <c r="H91" s="194"/>
      <c r="I91" s="194"/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4"/>
      <c r="AA91" s="194"/>
      <c r="AB91" s="194"/>
      <c r="AC91" s="194"/>
      <c r="AD91" s="194"/>
      <c r="AE91" s="194"/>
      <c r="AF91" s="194"/>
      <c r="AG91" s="194"/>
      <c r="AH91" s="194"/>
      <c r="AI91" s="194"/>
      <c r="AJ91" s="194"/>
      <c r="AK91" s="194"/>
      <c r="AL91" s="194"/>
      <c r="AM91" s="195"/>
    </row>
    <row r="92" spans="1:39">
      <c r="A92" s="192"/>
      <c r="B92" s="193"/>
      <c r="C92" s="194"/>
      <c r="D92" s="194"/>
      <c r="E92" s="194"/>
      <c r="F92" s="194"/>
      <c r="G92" s="194"/>
      <c r="H92" s="194"/>
      <c r="I92" s="194"/>
      <c r="J92" s="194"/>
      <c r="K92" s="194"/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  <c r="AE92" s="194"/>
      <c r="AF92" s="194"/>
      <c r="AG92" s="194"/>
      <c r="AH92" s="194"/>
      <c r="AI92" s="194"/>
      <c r="AJ92" s="194"/>
      <c r="AK92" s="194"/>
      <c r="AL92" s="194"/>
      <c r="AM92" s="195"/>
    </row>
    <row r="93" spans="1:39">
      <c r="A93" s="192"/>
      <c r="B93" s="193"/>
      <c r="C93" s="194"/>
      <c r="D93" s="194"/>
      <c r="E93" s="194"/>
      <c r="F93" s="194"/>
      <c r="G93" s="194"/>
      <c r="H93" s="194"/>
      <c r="I93" s="194"/>
      <c r="J93" s="194"/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  <c r="AD93" s="194"/>
      <c r="AE93" s="194"/>
      <c r="AF93" s="194"/>
      <c r="AG93" s="194"/>
      <c r="AH93" s="194"/>
      <c r="AI93" s="194"/>
      <c r="AJ93" s="194"/>
      <c r="AK93" s="194"/>
      <c r="AL93" s="194"/>
      <c r="AM93" s="195"/>
    </row>
    <row r="94" spans="1:39">
      <c r="A94" s="196"/>
      <c r="B94" s="197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  <c r="AE94" s="194"/>
      <c r="AF94" s="194"/>
      <c r="AG94" s="194"/>
      <c r="AH94" s="194"/>
      <c r="AI94" s="194"/>
      <c r="AJ94" s="194"/>
      <c r="AK94" s="194"/>
      <c r="AL94" s="194"/>
      <c r="AM94" s="195"/>
    </row>
    <row r="95" spans="1:39">
      <c r="A95" s="196"/>
      <c r="B95" s="197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4"/>
      <c r="AA95" s="194"/>
      <c r="AB95" s="194"/>
      <c r="AC95" s="194"/>
      <c r="AD95" s="194"/>
      <c r="AE95" s="194"/>
      <c r="AF95" s="194"/>
      <c r="AG95" s="194"/>
      <c r="AH95" s="194"/>
      <c r="AI95" s="194"/>
      <c r="AJ95" s="194"/>
      <c r="AK95" s="194"/>
      <c r="AL95" s="194"/>
      <c r="AM95" s="195"/>
    </row>
    <row r="96" spans="1:39">
      <c r="A96" s="196"/>
      <c r="B96" s="197"/>
      <c r="C96" s="194"/>
      <c r="D96" s="194"/>
      <c r="E96" s="194"/>
      <c r="F96" s="194"/>
      <c r="G96" s="194"/>
      <c r="H96" s="194"/>
      <c r="I96" s="194"/>
      <c r="J96" s="194"/>
      <c r="K96" s="194"/>
      <c r="L96" s="194"/>
      <c r="M96" s="194"/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4"/>
      <c r="AA96" s="194"/>
      <c r="AB96" s="194"/>
      <c r="AC96" s="194"/>
      <c r="AD96" s="194"/>
      <c r="AE96" s="194"/>
      <c r="AF96" s="194"/>
      <c r="AG96" s="194"/>
      <c r="AH96" s="194"/>
      <c r="AI96" s="194"/>
      <c r="AJ96" s="194"/>
      <c r="AK96" s="194"/>
      <c r="AL96" s="194"/>
      <c r="AM96" s="195"/>
    </row>
    <row r="97" spans="1:39">
      <c r="A97" s="196"/>
      <c r="B97" s="197"/>
      <c r="C97" s="194"/>
      <c r="D97" s="194"/>
      <c r="E97" s="194"/>
      <c r="F97" s="194"/>
      <c r="G97" s="194"/>
      <c r="H97" s="194"/>
      <c r="I97" s="194"/>
      <c r="J97" s="194"/>
      <c r="K97" s="194"/>
      <c r="L97" s="194"/>
      <c r="M97" s="194"/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4"/>
      <c r="AA97" s="194"/>
      <c r="AB97" s="194"/>
      <c r="AC97" s="194"/>
      <c r="AD97" s="194"/>
      <c r="AE97" s="194"/>
      <c r="AF97" s="194"/>
      <c r="AG97" s="194"/>
      <c r="AH97" s="194"/>
      <c r="AI97" s="194"/>
      <c r="AJ97" s="194"/>
      <c r="AK97" s="194"/>
      <c r="AL97" s="194"/>
      <c r="AM97" s="195"/>
    </row>
    <row r="98" spans="1:39">
      <c r="A98" s="196"/>
      <c r="B98" s="197"/>
      <c r="C98" s="194"/>
      <c r="D98" s="194"/>
      <c r="E98" s="194"/>
      <c r="F98" s="194"/>
      <c r="G98" s="194"/>
      <c r="H98" s="194"/>
      <c r="I98" s="194"/>
      <c r="J98" s="194"/>
      <c r="K98" s="194"/>
      <c r="L98" s="194"/>
      <c r="M98" s="194"/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4"/>
      <c r="AA98" s="194"/>
      <c r="AB98" s="194"/>
      <c r="AC98" s="194"/>
      <c r="AD98" s="194"/>
      <c r="AE98" s="194"/>
      <c r="AF98" s="194"/>
      <c r="AG98" s="194"/>
      <c r="AH98" s="194"/>
      <c r="AI98" s="194"/>
      <c r="AJ98" s="194"/>
      <c r="AK98" s="194"/>
      <c r="AL98" s="194"/>
      <c r="AM98" s="195"/>
    </row>
    <row r="99" spans="1:39">
      <c r="A99" s="192"/>
      <c r="B99" s="193"/>
      <c r="C99" s="194"/>
      <c r="D99" s="194"/>
      <c r="E99" s="194"/>
      <c r="F99" s="194"/>
      <c r="G99" s="194"/>
      <c r="H99" s="194"/>
      <c r="I99" s="194"/>
      <c r="J99" s="194"/>
      <c r="K99" s="194"/>
      <c r="L99" s="194"/>
      <c r="M99" s="194"/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4"/>
      <c r="AA99" s="194"/>
      <c r="AB99" s="194"/>
      <c r="AC99" s="194"/>
      <c r="AD99" s="194"/>
      <c r="AE99" s="194"/>
      <c r="AF99" s="194"/>
      <c r="AG99" s="194"/>
      <c r="AH99" s="194"/>
      <c r="AI99" s="194"/>
      <c r="AJ99" s="194"/>
      <c r="AK99" s="194"/>
      <c r="AL99" s="194"/>
      <c r="AM99" s="195"/>
    </row>
    <row r="100" spans="1:39">
      <c r="A100" s="192"/>
      <c r="B100" s="193"/>
      <c r="C100" s="194"/>
      <c r="D100" s="194"/>
      <c r="E100" s="194"/>
      <c r="F100" s="194"/>
      <c r="G100" s="194"/>
      <c r="H100" s="194"/>
      <c r="I100" s="194"/>
      <c r="J100" s="194"/>
      <c r="K100" s="194"/>
      <c r="L100" s="194"/>
      <c r="M100" s="194"/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4"/>
      <c r="AA100" s="194"/>
      <c r="AB100" s="194"/>
      <c r="AC100" s="194"/>
      <c r="AD100" s="194"/>
      <c r="AE100" s="194"/>
      <c r="AF100" s="194"/>
      <c r="AG100" s="194"/>
      <c r="AH100" s="194"/>
      <c r="AI100" s="194"/>
      <c r="AJ100" s="194"/>
      <c r="AK100" s="194"/>
      <c r="AL100" s="194"/>
      <c r="AM100" s="195"/>
    </row>
    <row r="101" spans="1:39">
      <c r="A101" s="192"/>
      <c r="B101" s="193"/>
      <c r="C101" s="194"/>
      <c r="D101" s="194"/>
      <c r="E101" s="194"/>
      <c r="F101" s="194"/>
      <c r="G101" s="194"/>
      <c r="H101" s="194"/>
      <c r="I101" s="194"/>
      <c r="J101" s="194"/>
      <c r="K101" s="194"/>
      <c r="L101" s="194"/>
      <c r="M101" s="194"/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4"/>
      <c r="AA101" s="194"/>
      <c r="AB101" s="194"/>
      <c r="AC101" s="194"/>
      <c r="AD101" s="194"/>
      <c r="AE101" s="194"/>
      <c r="AF101" s="194"/>
      <c r="AG101" s="194"/>
      <c r="AH101" s="194"/>
      <c r="AI101" s="194"/>
      <c r="AJ101" s="194"/>
      <c r="AK101" s="194"/>
      <c r="AL101" s="194"/>
      <c r="AM101" s="195"/>
    </row>
    <row r="102" spans="1:39">
      <c r="A102" s="192"/>
      <c r="B102" s="193"/>
      <c r="C102" s="194"/>
      <c r="D102" s="194"/>
      <c r="E102" s="194"/>
      <c r="F102" s="194"/>
      <c r="G102" s="194"/>
      <c r="H102" s="194"/>
      <c r="I102" s="194"/>
      <c r="J102" s="194"/>
      <c r="K102" s="194"/>
      <c r="L102" s="194"/>
      <c r="M102" s="194"/>
      <c r="N102" s="194"/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4"/>
      <c r="AA102" s="194"/>
      <c r="AB102" s="194"/>
      <c r="AC102" s="194"/>
      <c r="AD102" s="194"/>
      <c r="AE102" s="194"/>
      <c r="AF102" s="194"/>
      <c r="AG102" s="194"/>
      <c r="AH102" s="194"/>
      <c r="AI102" s="194"/>
      <c r="AJ102" s="194"/>
      <c r="AK102" s="194"/>
      <c r="AL102" s="194"/>
      <c r="AM102" s="195"/>
    </row>
    <row r="103" spans="1:39">
      <c r="A103" s="196"/>
      <c r="B103" s="197"/>
      <c r="C103" s="194"/>
      <c r="D103" s="194"/>
      <c r="E103" s="194"/>
      <c r="F103" s="194"/>
      <c r="G103" s="194"/>
      <c r="H103" s="194"/>
      <c r="I103" s="194"/>
      <c r="J103" s="194"/>
      <c r="K103" s="194"/>
      <c r="L103" s="194"/>
      <c r="M103" s="194"/>
      <c r="N103" s="194"/>
      <c r="O103" s="194"/>
      <c r="P103" s="194"/>
      <c r="Q103" s="194"/>
      <c r="R103" s="194"/>
      <c r="S103" s="194"/>
      <c r="T103" s="194"/>
      <c r="U103" s="194"/>
      <c r="V103" s="194"/>
      <c r="W103" s="194"/>
      <c r="X103" s="194"/>
      <c r="Y103" s="194"/>
      <c r="Z103" s="194"/>
      <c r="AA103" s="194"/>
      <c r="AB103" s="194"/>
      <c r="AC103" s="194"/>
      <c r="AD103" s="194"/>
      <c r="AE103" s="194"/>
      <c r="AF103" s="194"/>
      <c r="AG103" s="194"/>
      <c r="AH103" s="194"/>
      <c r="AI103" s="194"/>
      <c r="AJ103" s="194"/>
      <c r="AK103" s="194"/>
      <c r="AL103" s="194"/>
      <c r="AM103" s="195"/>
    </row>
    <row r="104" spans="1:39" ht="14.4" thickBot="1">
      <c r="A104" s="196"/>
      <c r="B104" s="197"/>
      <c r="C104" s="194"/>
      <c r="D104" s="194"/>
      <c r="E104" s="194"/>
      <c r="F104" s="194"/>
      <c r="G104" s="194"/>
      <c r="H104" s="194"/>
      <c r="I104" s="194"/>
      <c r="J104" s="194"/>
      <c r="K104" s="194"/>
      <c r="L104" s="194"/>
      <c r="M104" s="194"/>
      <c r="N104" s="194"/>
      <c r="O104" s="194"/>
      <c r="P104" s="194"/>
      <c r="Q104" s="194"/>
      <c r="R104" s="194"/>
      <c r="S104" s="194"/>
      <c r="T104" s="194"/>
      <c r="U104" s="194"/>
      <c r="V104" s="194"/>
      <c r="W104" s="194"/>
      <c r="X104" s="194"/>
      <c r="Y104" s="194"/>
      <c r="Z104" s="194"/>
      <c r="AA104" s="194"/>
      <c r="AB104" s="194"/>
      <c r="AC104" s="194"/>
      <c r="AD104" s="194"/>
      <c r="AE104" s="194"/>
      <c r="AF104" s="194"/>
      <c r="AG104" s="194"/>
      <c r="AH104" s="194"/>
      <c r="AI104" s="194"/>
      <c r="AJ104" s="194"/>
      <c r="AK104" s="194"/>
      <c r="AL104" s="194"/>
      <c r="AM104" s="195"/>
    </row>
    <row r="105" spans="1:39" ht="14.4" thickBot="1">
      <c r="A105" s="154"/>
      <c r="B105" s="154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</row>
    <row r="106" spans="1:39">
      <c r="A106" s="189"/>
      <c r="B106" s="190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62"/>
    </row>
    <row r="107" spans="1:39">
      <c r="A107" s="196"/>
      <c r="B107" s="197"/>
      <c r="C107" s="194"/>
      <c r="D107" s="194"/>
      <c r="E107" s="194"/>
      <c r="F107" s="194"/>
      <c r="G107" s="194"/>
      <c r="H107" s="194"/>
      <c r="I107" s="194"/>
      <c r="J107" s="194"/>
      <c r="K107" s="194"/>
      <c r="L107" s="194"/>
      <c r="M107" s="194"/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4"/>
      <c r="AA107" s="194"/>
      <c r="AB107" s="194"/>
      <c r="AC107" s="194"/>
      <c r="AD107" s="194"/>
      <c r="AE107" s="194"/>
      <c r="AF107" s="194"/>
      <c r="AG107" s="194"/>
      <c r="AH107" s="194"/>
      <c r="AI107" s="194"/>
      <c r="AJ107" s="194"/>
      <c r="AK107" s="194"/>
      <c r="AL107" s="194"/>
      <c r="AM107" s="166"/>
    </row>
    <row r="108" spans="1:39">
      <c r="A108" s="192"/>
      <c r="B108" s="193"/>
      <c r="C108" s="194"/>
      <c r="D108" s="194"/>
      <c r="E108" s="194"/>
      <c r="F108" s="194"/>
      <c r="G108" s="194"/>
      <c r="H108" s="194"/>
      <c r="I108" s="194"/>
      <c r="J108" s="194"/>
      <c r="K108" s="194"/>
      <c r="L108" s="194"/>
      <c r="M108" s="194"/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4"/>
      <c r="AA108" s="194"/>
      <c r="AB108" s="194"/>
      <c r="AC108" s="194"/>
      <c r="AD108" s="194"/>
      <c r="AE108" s="194"/>
      <c r="AF108" s="194"/>
      <c r="AG108" s="194"/>
      <c r="AH108" s="194"/>
      <c r="AI108" s="194"/>
      <c r="AJ108" s="194"/>
      <c r="AK108" s="194"/>
      <c r="AL108" s="194"/>
      <c r="AM108" s="166"/>
    </row>
    <row r="109" spans="1:39">
      <c r="A109" s="196"/>
      <c r="B109" s="197"/>
      <c r="C109" s="194"/>
      <c r="D109" s="194"/>
      <c r="E109" s="194"/>
      <c r="F109" s="194"/>
      <c r="G109" s="194"/>
      <c r="H109" s="194"/>
      <c r="I109" s="194"/>
      <c r="J109" s="194"/>
      <c r="K109" s="194"/>
      <c r="L109" s="194"/>
      <c r="M109" s="194"/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4"/>
      <c r="AA109" s="194"/>
      <c r="AB109" s="194"/>
      <c r="AC109" s="194"/>
      <c r="AD109" s="194"/>
      <c r="AE109" s="194"/>
      <c r="AF109" s="194"/>
      <c r="AG109" s="194"/>
      <c r="AH109" s="194"/>
      <c r="AI109" s="194"/>
      <c r="AJ109" s="194"/>
      <c r="AK109" s="194"/>
      <c r="AL109" s="194"/>
      <c r="AM109" s="166"/>
    </row>
    <row r="110" spans="1:39">
      <c r="A110" s="192"/>
      <c r="B110" s="193"/>
      <c r="C110" s="194"/>
      <c r="D110" s="194"/>
      <c r="E110" s="194"/>
      <c r="F110" s="194"/>
      <c r="G110" s="194"/>
      <c r="H110" s="194"/>
      <c r="I110" s="194"/>
      <c r="J110" s="194"/>
      <c r="K110" s="194"/>
      <c r="L110" s="194"/>
      <c r="M110" s="194"/>
      <c r="N110" s="194"/>
      <c r="O110" s="194"/>
      <c r="P110" s="194"/>
      <c r="Q110" s="194"/>
      <c r="R110" s="194"/>
      <c r="S110" s="194"/>
      <c r="T110" s="194"/>
      <c r="U110" s="194"/>
      <c r="V110" s="194"/>
      <c r="W110" s="194"/>
      <c r="X110" s="194"/>
      <c r="Y110" s="194"/>
      <c r="Z110" s="194"/>
      <c r="AA110" s="194"/>
      <c r="AB110" s="194"/>
      <c r="AC110" s="194"/>
      <c r="AD110" s="194"/>
      <c r="AE110" s="194"/>
      <c r="AF110" s="194"/>
      <c r="AG110" s="194"/>
      <c r="AH110" s="194"/>
      <c r="AI110" s="194"/>
      <c r="AJ110" s="194"/>
      <c r="AK110" s="194"/>
      <c r="AL110" s="194"/>
      <c r="AM110" s="166"/>
    </row>
    <row r="111" spans="1:39">
      <c r="A111" s="196"/>
      <c r="B111" s="197"/>
      <c r="C111" s="194"/>
      <c r="D111" s="194"/>
      <c r="E111" s="194"/>
      <c r="F111" s="194"/>
      <c r="G111" s="194"/>
      <c r="H111" s="194"/>
      <c r="I111" s="194"/>
      <c r="J111" s="194"/>
      <c r="K111" s="194"/>
      <c r="L111" s="194"/>
      <c r="M111" s="194"/>
      <c r="N111" s="194"/>
      <c r="O111" s="194"/>
      <c r="P111" s="194"/>
      <c r="Q111" s="194"/>
      <c r="R111" s="194"/>
      <c r="S111" s="194"/>
      <c r="T111" s="194"/>
      <c r="U111" s="194"/>
      <c r="V111" s="194"/>
      <c r="W111" s="194"/>
      <c r="X111" s="194"/>
      <c r="Y111" s="194"/>
      <c r="Z111" s="194"/>
      <c r="AA111" s="194"/>
      <c r="AB111" s="194"/>
      <c r="AC111" s="194"/>
      <c r="AD111" s="194"/>
      <c r="AE111" s="194"/>
      <c r="AF111" s="194"/>
      <c r="AG111" s="194"/>
      <c r="AH111" s="194"/>
      <c r="AI111" s="194"/>
      <c r="AJ111" s="194"/>
      <c r="AK111" s="194"/>
      <c r="AL111" s="194"/>
      <c r="AM111" s="166"/>
    </row>
    <row r="112" spans="1:39">
      <c r="A112" s="196"/>
      <c r="B112" s="197"/>
      <c r="C112" s="194"/>
      <c r="D112" s="194"/>
      <c r="E112" s="194"/>
      <c r="F112" s="194"/>
      <c r="G112" s="194"/>
      <c r="H112" s="194"/>
      <c r="I112" s="194"/>
      <c r="J112" s="194"/>
      <c r="K112" s="194"/>
      <c r="L112" s="194"/>
      <c r="M112" s="194"/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4"/>
      <c r="AA112" s="194"/>
      <c r="AB112" s="194"/>
      <c r="AC112" s="194"/>
      <c r="AD112" s="194"/>
      <c r="AE112" s="194"/>
      <c r="AF112" s="194"/>
      <c r="AG112" s="194"/>
      <c r="AH112" s="194"/>
      <c r="AI112" s="194"/>
      <c r="AJ112" s="194"/>
      <c r="AK112" s="194"/>
      <c r="AL112" s="194"/>
      <c r="AM112" s="166"/>
    </row>
    <row r="113" spans="1:39">
      <c r="A113" s="192"/>
      <c r="B113" s="193"/>
      <c r="C113" s="194"/>
      <c r="D113" s="194"/>
      <c r="E113" s="194"/>
      <c r="F113" s="194"/>
      <c r="G113" s="194"/>
      <c r="H113" s="194"/>
      <c r="I113" s="194"/>
      <c r="J113" s="194"/>
      <c r="K113" s="194"/>
      <c r="L113" s="194"/>
      <c r="M113" s="194"/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4"/>
      <c r="AA113" s="194"/>
      <c r="AB113" s="194"/>
      <c r="AC113" s="194"/>
      <c r="AD113" s="194"/>
      <c r="AE113" s="194"/>
      <c r="AF113" s="194"/>
      <c r="AG113" s="194"/>
      <c r="AH113" s="194"/>
      <c r="AI113" s="194"/>
      <c r="AJ113" s="194"/>
      <c r="AK113" s="194"/>
      <c r="AL113" s="194"/>
      <c r="AM113" s="166"/>
    </row>
    <row r="114" spans="1:39">
      <c r="A114" s="192"/>
      <c r="B114" s="193"/>
      <c r="C114" s="194"/>
      <c r="D114" s="194"/>
      <c r="E114" s="194"/>
      <c r="F114" s="194"/>
      <c r="G114" s="194"/>
      <c r="H114" s="194"/>
      <c r="I114" s="194"/>
      <c r="J114" s="194"/>
      <c r="K114" s="194"/>
      <c r="L114" s="194"/>
      <c r="M114" s="194"/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  <c r="AI114" s="194"/>
      <c r="AJ114" s="194"/>
      <c r="AK114" s="194"/>
      <c r="AL114" s="194"/>
      <c r="AM114" s="166"/>
    </row>
    <row r="115" spans="1:39">
      <c r="A115" s="192"/>
      <c r="B115" s="193"/>
      <c r="C115" s="194"/>
      <c r="D115" s="194"/>
      <c r="E115" s="194"/>
      <c r="F115" s="194"/>
      <c r="G115" s="194"/>
      <c r="H115" s="194"/>
      <c r="I115" s="194"/>
      <c r="J115" s="194"/>
      <c r="K115" s="194"/>
      <c r="L115" s="194"/>
      <c r="M115" s="194"/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  <c r="AI115" s="194"/>
      <c r="AJ115" s="194"/>
      <c r="AK115" s="194"/>
      <c r="AL115" s="194"/>
      <c r="AM115" s="166"/>
    </row>
    <row r="116" spans="1:39">
      <c r="A116" s="196"/>
      <c r="B116" s="197"/>
      <c r="C116" s="194"/>
      <c r="D116" s="194"/>
      <c r="E116" s="194"/>
      <c r="F116" s="194"/>
      <c r="G116" s="194"/>
      <c r="H116" s="194"/>
      <c r="I116" s="194"/>
      <c r="J116" s="194"/>
      <c r="K116" s="194"/>
      <c r="L116" s="194"/>
      <c r="M116" s="194"/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4"/>
      <c r="AA116" s="194"/>
      <c r="AB116" s="194"/>
      <c r="AC116" s="194"/>
      <c r="AD116" s="194"/>
      <c r="AE116" s="194"/>
      <c r="AF116" s="194"/>
      <c r="AG116" s="194"/>
      <c r="AH116" s="194"/>
      <c r="AI116" s="194"/>
      <c r="AJ116" s="194"/>
      <c r="AK116" s="194"/>
      <c r="AL116" s="194"/>
      <c r="AM116" s="166"/>
    </row>
    <row r="117" spans="1:39">
      <c r="A117" s="196"/>
      <c r="B117" s="197"/>
      <c r="C117" s="194"/>
      <c r="D117" s="194"/>
      <c r="E117" s="194"/>
      <c r="F117" s="194"/>
      <c r="G117" s="194"/>
      <c r="H117" s="194"/>
      <c r="I117" s="194"/>
      <c r="J117" s="194"/>
      <c r="K117" s="194"/>
      <c r="L117" s="194"/>
      <c r="M117" s="194"/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4"/>
      <c r="AA117" s="194"/>
      <c r="AB117" s="194"/>
      <c r="AC117" s="194"/>
      <c r="AD117" s="194"/>
      <c r="AE117" s="194"/>
      <c r="AF117" s="194"/>
      <c r="AG117" s="194"/>
      <c r="AH117" s="194"/>
      <c r="AI117" s="194"/>
      <c r="AJ117" s="194"/>
      <c r="AK117" s="194"/>
      <c r="AL117" s="194"/>
      <c r="AM117" s="166"/>
    </row>
    <row r="118" spans="1:39" ht="14.4" thickBot="1">
      <c r="A118" s="192"/>
      <c r="B118" s="193"/>
      <c r="C118" s="194"/>
      <c r="D118" s="194"/>
      <c r="E118" s="194"/>
      <c r="F118" s="194"/>
      <c r="G118" s="194"/>
      <c r="H118" s="194"/>
      <c r="I118" s="194"/>
      <c r="J118" s="194"/>
      <c r="K118" s="194"/>
      <c r="L118" s="194"/>
      <c r="M118" s="194"/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4"/>
      <c r="AA118" s="194"/>
      <c r="AB118" s="194"/>
      <c r="AC118" s="194"/>
      <c r="AD118" s="194"/>
      <c r="AE118" s="194"/>
      <c r="AF118" s="194"/>
      <c r="AG118" s="194"/>
      <c r="AH118" s="194"/>
      <c r="AI118" s="194"/>
      <c r="AJ118" s="194"/>
      <c r="AK118" s="194"/>
      <c r="AL118" s="194"/>
      <c r="AM118" s="166"/>
    </row>
    <row r="119" spans="1:39" ht="14.4" thickBot="1">
      <c r="A119" s="154"/>
      <c r="B119" s="154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</row>
    <row r="120" spans="1:39">
      <c r="A120" s="200"/>
      <c r="B120" s="201"/>
      <c r="C120" s="202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2"/>
      <c r="AH120" s="202"/>
      <c r="AI120" s="202"/>
      <c r="AJ120" s="202"/>
      <c r="AK120" s="202"/>
      <c r="AL120" s="202"/>
      <c r="AM120" s="162"/>
    </row>
    <row r="121" spans="1:39">
      <c r="A121" s="203"/>
      <c r="B121" s="204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205"/>
      <c r="W121" s="205"/>
      <c r="X121" s="205"/>
      <c r="Y121" s="205"/>
      <c r="Z121" s="205"/>
      <c r="AA121" s="205"/>
      <c r="AB121" s="205"/>
      <c r="AC121" s="205"/>
      <c r="AD121" s="205"/>
      <c r="AE121" s="205"/>
      <c r="AF121" s="205"/>
      <c r="AG121" s="205"/>
      <c r="AH121" s="205"/>
      <c r="AI121" s="205"/>
      <c r="AJ121" s="205"/>
      <c r="AK121" s="205"/>
      <c r="AL121" s="205"/>
      <c r="AM121" s="206"/>
    </row>
    <row r="122" spans="1:39">
      <c r="A122" s="207"/>
      <c r="B122" s="208"/>
      <c r="C122" s="205"/>
      <c r="D122" s="205"/>
      <c r="E122" s="205"/>
      <c r="F122" s="205"/>
      <c r="G122" s="205"/>
      <c r="H122" s="205"/>
      <c r="I122" s="205"/>
      <c r="J122" s="205"/>
      <c r="K122" s="205"/>
      <c r="L122" s="205"/>
      <c r="M122" s="205"/>
      <c r="N122" s="205"/>
      <c r="O122" s="205"/>
      <c r="P122" s="205"/>
      <c r="Q122" s="205"/>
      <c r="R122" s="205"/>
      <c r="S122" s="205"/>
      <c r="T122" s="205"/>
      <c r="U122" s="205"/>
      <c r="V122" s="205"/>
      <c r="W122" s="205"/>
      <c r="X122" s="205"/>
      <c r="Y122" s="205"/>
      <c r="Z122" s="205"/>
      <c r="AA122" s="205"/>
      <c r="AB122" s="205"/>
      <c r="AC122" s="205"/>
      <c r="AD122" s="205"/>
      <c r="AE122" s="205"/>
      <c r="AF122" s="205"/>
      <c r="AG122" s="205"/>
      <c r="AH122" s="205"/>
      <c r="AI122" s="205"/>
      <c r="AJ122" s="205"/>
      <c r="AK122" s="205"/>
      <c r="AL122" s="205"/>
      <c r="AM122" s="166"/>
    </row>
    <row r="123" spans="1:39">
      <c r="A123" s="207"/>
      <c r="B123" s="208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  <c r="AB123" s="205"/>
      <c r="AC123" s="205"/>
      <c r="AD123" s="205"/>
      <c r="AE123" s="205"/>
      <c r="AF123" s="205"/>
      <c r="AG123" s="205"/>
      <c r="AH123" s="205"/>
      <c r="AI123" s="205"/>
      <c r="AJ123" s="205"/>
      <c r="AK123" s="205"/>
      <c r="AL123" s="205"/>
      <c r="AM123" s="206"/>
    </row>
    <row r="124" spans="1:39">
      <c r="A124" s="203"/>
      <c r="B124" s="204"/>
      <c r="C124" s="205"/>
      <c r="D124" s="205"/>
      <c r="E124" s="205"/>
      <c r="F124" s="205"/>
      <c r="G124" s="205"/>
      <c r="H124" s="205"/>
      <c r="I124" s="20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5"/>
      <c r="AL124" s="205"/>
      <c r="AM124" s="166"/>
    </row>
    <row r="125" spans="1:39">
      <c r="A125" s="203"/>
      <c r="B125" s="204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  <c r="AB125" s="205"/>
      <c r="AC125" s="205"/>
      <c r="AD125" s="205"/>
      <c r="AE125" s="205"/>
      <c r="AF125" s="205"/>
      <c r="AG125" s="205"/>
      <c r="AH125" s="205"/>
      <c r="AI125" s="205"/>
      <c r="AJ125" s="205"/>
      <c r="AK125" s="205"/>
      <c r="AL125" s="205"/>
      <c r="AM125" s="206"/>
    </row>
    <row r="126" spans="1:39" ht="14.4" thickBot="1">
      <c r="A126" s="207"/>
      <c r="B126" s="208"/>
      <c r="C126" s="205"/>
      <c r="D126" s="205"/>
      <c r="E126" s="205"/>
      <c r="F126" s="205"/>
      <c r="G126" s="205"/>
      <c r="H126" s="205"/>
      <c r="I126" s="205"/>
      <c r="J126" s="205"/>
      <c r="K126" s="205"/>
      <c r="L126" s="205"/>
      <c r="M126" s="205"/>
      <c r="N126" s="205"/>
      <c r="O126" s="205"/>
      <c r="P126" s="205"/>
      <c r="Q126" s="205"/>
      <c r="R126" s="205"/>
      <c r="S126" s="205"/>
      <c r="T126" s="205"/>
      <c r="U126" s="205"/>
      <c r="V126" s="205"/>
      <c r="W126" s="205"/>
      <c r="X126" s="205"/>
      <c r="Y126" s="205"/>
      <c r="Z126" s="205"/>
      <c r="AA126" s="205"/>
      <c r="AB126" s="205"/>
      <c r="AC126" s="205"/>
      <c r="AD126" s="205"/>
      <c r="AE126" s="205"/>
      <c r="AF126" s="205"/>
      <c r="AG126" s="205"/>
      <c r="AH126" s="205"/>
      <c r="AI126" s="205"/>
      <c r="AJ126" s="205"/>
      <c r="AK126" s="205"/>
      <c r="AL126" s="205"/>
      <c r="AM126" s="166"/>
    </row>
    <row r="127" spans="1:39" ht="14.4" thickBot="1">
      <c r="A127" s="154"/>
      <c r="B127" s="154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</row>
    <row r="128" spans="1:39">
      <c r="A128" s="209"/>
      <c r="B128" s="210"/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  <c r="AI128" s="211"/>
      <c r="AJ128" s="211"/>
      <c r="AK128" s="211"/>
      <c r="AL128" s="211"/>
      <c r="AM128" s="162"/>
    </row>
    <row r="129" spans="1:39" ht="14.4" thickBot="1">
      <c r="A129" s="212"/>
      <c r="B129" s="213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166"/>
    </row>
    <row r="130" spans="1:39" ht="14.4" thickBot="1">
      <c r="A130" s="154"/>
      <c r="B130" s="154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</row>
    <row r="131" spans="1:39" ht="14.4" thickBot="1">
      <c r="A131" s="215"/>
      <c r="B131" s="216"/>
      <c r="C131" s="217"/>
      <c r="D131" s="217"/>
      <c r="E131" s="217"/>
      <c r="F131" s="217"/>
      <c r="G131" s="217"/>
      <c r="H131" s="217"/>
      <c r="I131" s="217"/>
      <c r="J131" s="217"/>
      <c r="K131" s="217"/>
      <c r="L131" s="217"/>
      <c r="M131" s="217"/>
      <c r="N131" s="217"/>
      <c r="O131" s="217"/>
      <c r="P131" s="217"/>
      <c r="Q131" s="217"/>
      <c r="R131" s="217"/>
      <c r="S131" s="217"/>
      <c r="T131" s="217"/>
      <c r="U131" s="217"/>
      <c r="V131" s="217"/>
      <c r="W131" s="217"/>
      <c r="X131" s="217"/>
      <c r="Y131" s="217"/>
      <c r="Z131" s="217"/>
      <c r="AA131" s="217"/>
      <c r="AB131" s="217"/>
      <c r="AC131" s="217"/>
      <c r="AD131" s="217"/>
      <c r="AE131" s="217"/>
      <c r="AF131" s="217"/>
      <c r="AG131" s="217"/>
      <c r="AH131" s="217"/>
      <c r="AI131" s="217"/>
      <c r="AJ131" s="217"/>
      <c r="AK131" s="217"/>
      <c r="AL131" s="217"/>
      <c r="AM131" s="218"/>
    </row>
    <row r="132" spans="1:39" ht="14.4" thickBot="1">
      <c r="A132" s="154"/>
      <c r="B132" s="154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</row>
    <row r="133" spans="1:39">
      <c r="A133" s="219"/>
      <c r="B133" s="220"/>
      <c r="C133" s="221"/>
      <c r="D133" s="221"/>
      <c r="E133" s="221"/>
      <c r="F133" s="221"/>
      <c r="G133" s="221"/>
      <c r="H133" s="221"/>
      <c r="I133" s="221"/>
      <c r="J133" s="221"/>
      <c r="K133" s="221"/>
      <c r="L133" s="221"/>
      <c r="M133" s="221"/>
      <c r="N133" s="221"/>
      <c r="O133" s="221"/>
      <c r="P133" s="221"/>
      <c r="Q133" s="221"/>
      <c r="R133" s="221"/>
      <c r="S133" s="221"/>
      <c r="T133" s="221"/>
      <c r="U133" s="221"/>
      <c r="V133" s="221"/>
      <c r="W133" s="221"/>
      <c r="X133" s="221"/>
      <c r="Y133" s="221"/>
      <c r="Z133" s="221"/>
      <c r="AA133" s="221"/>
      <c r="AB133" s="221"/>
      <c r="AC133" s="221"/>
      <c r="AD133" s="221"/>
      <c r="AE133" s="221"/>
      <c r="AF133" s="221"/>
      <c r="AG133" s="221"/>
      <c r="AH133" s="221"/>
      <c r="AI133" s="221"/>
      <c r="AJ133" s="221"/>
      <c r="AK133" s="221"/>
      <c r="AL133" s="221"/>
      <c r="AM133" s="222"/>
    </row>
    <row r="134" spans="1:39">
      <c r="A134" s="223"/>
      <c r="B134" s="224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25"/>
      <c r="S134" s="225"/>
      <c r="T134" s="225"/>
      <c r="U134" s="225"/>
      <c r="V134" s="225"/>
      <c r="W134" s="225"/>
      <c r="X134" s="225"/>
      <c r="Y134" s="225"/>
      <c r="Z134" s="225"/>
      <c r="AA134" s="225"/>
      <c r="AB134" s="225"/>
      <c r="AC134" s="225"/>
      <c r="AD134" s="225"/>
      <c r="AE134" s="225"/>
      <c r="AF134" s="225"/>
      <c r="AG134" s="225"/>
      <c r="AH134" s="225"/>
      <c r="AI134" s="225"/>
      <c r="AJ134" s="225"/>
      <c r="AK134" s="225"/>
      <c r="AL134" s="225"/>
      <c r="AM134" s="226"/>
    </row>
    <row r="135" spans="1:39">
      <c r="A135" s="227"/>
      <c r="B135" s="228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25"/>
      <c r="S135" s="225"/>
      <c r="T135" s="225"/>
      <c r="U135" s="225"/>
      <c r="V135" s="225"/>
      <c r="W135" s="225"/>
      <c r="X135" s="225"/>
      <c r="Y135" s="225"/>
      <c r="Z135" s="225"/>
      <c r="AA135" s="225"/>
      <c r="AB135" s="225"/>
      <c r="AC135" s="225"/>
      <c r="AD135" s="225"/>
      <c r="AE135" s="225"/>
      <c r="AF135" s="225"/>
      <c r="AG135" s="225"/>
      <c r="AH135" s="225"/>
      <c r="AI135" s="225"/>
      <c r="AJ135" s="225"/>
      <c r="AK135" s="225"/>
      <c r="AL135" s="225"/>
      <c r="AM135" s="226"/>
    </row>
    <row r="136" spans="1:39">
      <c r="A136" s="223"/>
      <c r="B136" s="224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25"/>
      <c r="S136" s="225"/>
      <c r="T136" s="225"/>
      <c r="U136" s="225"/>
      <c r="V136" s="225"/>
      <c r="W136" s="225"/>
      <c r="X136" s="225"/>
      <c r="Y136" s="225"/>
      <c r="Z136" s="225"/>
      <c r="AA136" s="225"/>
      <c r="AB136" s="225"/>
      <c r="AC136" s="225"/>
      <c r="AD136" s="225"/>
      <c r="AE136" s="225"/>
      <c r="AF136" s="225"/>
      <c r="AG136" s="225"/>
      <c r="AH136" s="225"/>
      <c r="AI136" s="225"/>
      <c r="AJ136" s="225"/>
      <c r="AK136" s="225"/>
      <c r="AL136" s="225"/>
      <c r="AM136" s="166"/>
    </row>
    <row r="137" spans="1:39">
      <c r="A137" s="227"/>
      <c r="B137" s="228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25"/>
      <c r="S137" s="225"/>
      <c r="T137" s="225"/>
      <c r="U137" s="225"/>
      <c r="V137" s="225"/>
      <c r="W137" s="225"/>
      <c r="X137" s="225"/>
      <c r="Y137" s="225"/>
      <c r="Z137" s="225"/>
      <c r="AA137" s="225"/>
      <c r="AB137" s="225"/>
      <c r="AC137" s="225"/>
      <c r="AD137" s="225"/>
      <c r="AE137" s="225"/>
      <c r="AF137" s="225"/>
      <c r="AG137" s="225"/>
      <c r="AH137" s="225"/>
      <c r="AI137" s="225"/>
      <c r="AJ137" s="225"/>
      <c r="AK137" s="225"/>
      <c r="AL137" s="225"/>
      <c r="AM137" s="166"/>
    </row>
    <row r="138" spans="1:39">
      <c r="A138" s="223"/>
      <c r="B138" s="224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25"/>
      <c r="S138" s="225"/>
      <c r="T138" s="225"/>
      <c r="U138" s="225"/>
      <c r="V138" s="225"/>
      <c r="W138" s="225"/>
      <c r="X138" s="225"/>
      <c r="Y138" s="225"/>
      <c r="Z138" s="225"/>
      <c r="AA138" s="225"/>
      <c r="AB138" s="225"/>
      <c r="AC138" s="225"/>
      <c r="AD138" s="225"/>
      <c r="AE138" s="225"/>
      <c r="AF138" s="225"/>
      <c r="AG138" s="225"/>
      <c r="AH138" s="225"/>
      <c r="AI138" s="225"/>
      <c r="AJ138" s="225"/>
      <c r="AK138" s="225"/>
      <c r="AL138" s="225"/>
      <c r="AM138" s="166"/>
    </row>
    <row r="139" spans="1:39">
      <c r="A139" s="227"/>
      <c r="B139" s="228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25"/>
      <c r="S139" s="225"/>
      <c r="T139" s="225"/>
      <c r="U139" s="225"/>
      <c r="V139" s="225"/>
      <c r="W139" s="225"/>
      <c r="X139" s="225"/>
      <c r="Y139" s="225"/>
      <c r="Z139" s="225"/>
      <c r="AA139" s="225"/>
      <c r="AB139" s="225"/>
      <c r="AC139" s="225"/>
      <c r="AD139" s="225"/>
      <c r="AE139" s="225"/>
      <c r="AF139" s="225"/>
      <c r="AG139" s="225"/>
      <c r="AH139" s="225"/>
      <c r="AI139" s="225"/>
      <c r="AJ139" s="225"/>
      <c r="AK139" s="225"/>
      <c r="AL139" s="225"/>
      <c r="AM139" s="226"/>
    </row>
    <row r="140" spans="1:39">
      <c r="A140" s="223"/>
      <c r="B140" s="224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25"/>
      <c r="S140" s="225"/>
      <c r="T140" s="225"/>
      <c r="U140" s="225"/>
      <c r="V140" s="225"/>
      <c r="W140" s="225"/>
      <c r="X140" s="225"/>
      <c r="Y140" s="225"/>
      <c r="Z140" s="225"/>
      <c r="AA140" s="225"/>
      <c r="AB140" s="225"/>
      <c r="AC140" s="225"/>
      <c r="AD140" s="225"/>
      <c r="AE140" s="225"/>
      <c r="AF140" s="225"/>
      <c r="AG140" s="225"/>
      <c r="AH140" s="225"/>
      <c r="AI140" s="225"/>
      <c r="AJ140" s="225"/>
      <c r="AK140" s="225"/>
      <c r="AL140" s="225"/>
      <c r="AM140" s="226"/>
    </row>
    <row r="141" spans="1:39">
      <c r="A141" s="227"/>
      <c r="B141" s="228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25"/>
      <c r="S141" s="225"/>
      <c r="T141" s="225"/>
      <c r="U141" s="225"/>
      <c r="V141" s="225"/>
      <c r="W141" s="225"/>
      <c r="X141" s="225"/>
      <c r="Y141" s="225"/>
      <c r="Z141" s="225"/>
      <c r="AA141" s="225"/>
      <c r="AB141" s="225"/>
      <c r="AC141" s="225"/>
      <c r="AD141" s="225"/>
      <c r="AE141" s="225"/>
      <c r="AF141" s="225"/>
      <c r="AG141" s="225"/>
      <c r="AH141" s="225"/>
      <c r="AI141" s="225"/>
      <c r="AJ141" s="225"/>
      <c r="AK141" s="225"/>
      <c r="AL141" s="225"/>
      <c r="AM141" s="226"/>
    </row>
    <row r="142" spans="1:39">
      <c r="A142" s="223"/>
      <c r="B142" s="224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25"/>
      <c r="S142" s="225"/>
      <c r="T142" s="225"/>
      <c r="U142" s="225"/>
      <c r="V142" s="225"/>
      <c r="W142" s="225"/>
      <c r="X142" s="225"/>
      <c r="Y142" s="225"/>
      <c r="Z142" s="225"/>
      <c r="AA142" s="225"/>
      <c r="AB142" s="225"/>
      <c r="AC142" s="225"/>
      <c r="AD142" s="225"/>
      <c r="AE142" s="225"/>
      <c r="AF142" s="225"/>
      <c r="AG142" s="225"/>
      <c r="AH142" s="225"/>
      <c r="AI142" s="225"/>
      <c r="AJ142" s="225"/>
      <c r="AK142" s="225"/>
      <c r="AL142" s="225"/>
      <c r="AM142" s="226"/>
    </row>
    <row r="143" spans="1:39">
      <c r="A143" s="227"/>
      <c r="B143" s="228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25"/>
      <c r="S143" s="225"/>
      <c r="T143" s="225"/>
      <c r="U143" s="225"/>
      <c r="V143" s="225"/>
      <c r="W143" s="225"/>
      <c r="X143" s="225"/>
      <c r="Y143" s="225"/>
      <c r="Z143" s="225"/>
      <c r="AA143" s="225"/>
      <c r="AB143" s="225"/>
      <c r="AC143" s="225"/>
      <c r="AD143" s="225"/>
      <c r="AE143" s="225"/>
      <c r="AF143" s="225"/>
      <c r="AG143" s="225"/>
      <c r="AH143" s="225"/>
      <c r="AI143" s="225"/>
      <c r="AJ143" s="225"/>
      <c r="AK143" s="225"/>
      <c r="AL143" s="225"/>
      <c r="AM143" s="226"/>
    </row>
    <row r="144" spans="1:39">
      <c r="A144" s="223"/>
      <c r="B144" s="224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25"/>
      <c r="AD144" s="225"/>
      <c r="AE144" s="225"/>
      <c r="AF144" s="225"/>
      <c r="AG144" s="225"/>
      <c r="AH144" s="225"/>
      <c r="AI144" s="225"/>
      <c r="AJ144" s="225"/>
      <c r="AK144" s="225"/>
      <c r="AL144" s="225"/>
      <c r="AM144" s="226"/>
    </row>
    <row r="145" spans="1:39">
      <c r="A145" s="227"/>
      <c r="B145" s="228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25"/>
      <c r="S145" s="225"/>
      <c r="T145" s="225"/>
      <c r="U145" s="225"/>
      <c r="V145" s="225"/>
      <c r="W145" s="225"/>
      <c r="X145" s="225"/>
      <c r="Y145" s="225"/>
      <c r="Z145" s="225"/>
      <c r="AA145" s="225"/>
      <c r="AB145" s="225"/>
      <c r="AC145" s="225"/>
      <c r="AD145" s="225"/>
      <c r="AE145" s="225"/>
      <c r="AF145" s="225"/>
      <c r="AG145" s="225"/>
      <c r="AH145" s="225"/>
      <c r="AI145" s="225"/>
      <c r="AJ145" s="225"/>
      <c r="AK145" s="225"/>
      <c r="AL145" s="225"/>
      <c r="AM145" s="226"/>
    </row>
    <row r="146" spans="1:39">
      <c r="A146" s="223"/>
      <c r="B146" s="224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25"/>
      <c r="S146" s="225"/>
      <c r="T146" s="225"/>
      <c r="U146" s="225"/>
      <c r="V146" s="225"/>
      <c r="W146" s="225"/>
      <c r="X146" s="225"/>
      <c r="Y146" s="225"/>
      <c r="Z146" s="225"/>
      <c r="AA146" s="225"/>
      <c r="AB146" s="225"/>
      <c r="AC146" s="225"/>
      <c r="AD146" s="225"/>
      <c r="AE146" s="225"/>
      <c r="AF146" s="225"/>
      <c r="AG146" s="225"/>
      <c r="AH146" s="225"/>
      <c r="AI146" s="225"/>
      <c r="AJ146" s="225"/>
      <c r="AK146" s="225"/>
      <c r="AL146" s="225"/>
      <c r="AM146" s="226"/>
    </row>
    <row r="147" spans="1:39" ht="14.4" thickBot="1">
      <c r="A147" s="227"/>
      <c r="B147" s="228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25"/>
      <c r="S147" s="225"/>
      <c r="T147" s="225"/>
      <c r="U147" s="225"/>
      <c r="V147" s="225"/>
      <c r="W147" s="225"/>
      <c r="X147" s="225"/>
      <c r="Y147" s="225"/>
      <c r="Z147" s="225"/>
      <c r="AA147" s="225"/>
      <c r="AB147" s="225"/>
      <c r="AC147" s="225"/>
      <c r="AD147" s="225"/>
      <c r="AE147" s="225"/>
      <c r="AF147" s="225"/>
      <c r="AG147" s="225"/>
      <c r="AH147" s="225"/>
      <c r="AI147" s="225"/>
      <c r="AJ147" s="225"/>
      <c r="AK147" s="225"/>
      <c r="AL147" s="225"/>
      <c r="AM147" s="226"/>
    </row>
    <row r="148" spans="1:39" ht="14.4" thickBot="1">
      <c r="A148" s="154"/>
      <c r="B148" s="154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</row>
    <row r="149" spans="1:39">
      <c r="A149" s="215"/>
      <c r="B149" s="216"/>
      <c r="C149" s="217"/>
      <c r="D149" s="217"/>
      <c r="E149" s="217"/>
      <c r="F149" s="217"/>
      <c r="G149" s="217"/>
      <c r="H149" s="217"/>
      <c r="I149" s="217"/>
      <c r="J149" s="217"/>
      <c r="K149" s="217"/>
      <c r="L149" s="217"/>
      <c r="M149" s="217"/>
      <c r="N149" s="217"/>
      <c r="O149" s="217"/>
      <c r="P149" s="217"/>
      <c r="Q149" s="217"/>
      <c r="R149" s="217"/>
      <c r="S149" s="217"/>
      <c r="T149" s="217"/>
      <c r="U149" s="217"/>
      <c r="V149" s="217"/>
      <c r="W149" s="217"/>
      <c r="X149" s="217"/>
      <c r="Y149" s="217"/>
      <c r="Z149" s="217"/>
      <c r="AA149" s="217"/>
      <c r="AB149" s="217"/>
      <c r="AC149" s="217"/>
      <c r="AD149" s="217"/>
      <c r="AE149" s="217"/>
      <c r="AF149" s="217"/>
      <c r="AG149" s="217"/>
      <c r="AH149" s="217"/>
      <c r="AI149" s="217"/>
      <c r="AJ149" s="217"/>
      <c r="AK149" s="217"/>
      <c r="AL149" s="217"/>
      <c r="AM149" s="162"/>
    </row>
    <row r="150" spans="1:39">
      <c r="A150" s="229"/>
      <c r="B150" s="230"/>
      <c r="C150" s="231"/>
      <c r="D150" s="231"/>
      <c r="E150" s="231"/>
      <c r="F150" s="231"/>
      <c r="G150" s="231"/>
      <c r="H150" s="231"/>
      <c r="I150" s="231"/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  <c r="U150" s="231"/>
      <c r="V150" s="231"/>
      <c r="W150" s="231"/>
      <c r="X150" s="231"/>
      <c r="Y150" s="231"/>
      <c r="Z150" s="231"/>
      <c r="AA150" s="231"/>
      <c r="AB150" s="231"/>
      <c r="AC150" s="231"/>
      <c r="AD150" s="231"/>
      <c r="AE150" s="231"/>
      <c r="AF150" s="231"/>
      <c r="AG150" s="231"/>
      <c r="AH150" s="231"/>
      <c r="AI150" s="231"/>
      <c r="AJ150" s="231"/>
      <c r="AK150" s="231"/>
      <c r="AL150" s="231"/>
      <c r="AM150" s="166"/>
    </row>
    <row r="151" spans="1:39">
      <c r="A151" s="229"/>
      <c r="B151" s="230"/>
      <c r="C151" s="231"/>
      <c r="D151" s="231"/>
      <c r="E151" s="231"/>
      <c r="F151" s="231"/>
      <c r="G151" s="231"/>
      <c r="H151" s="231"/>
      <c r="I151" s="231"/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  <c r="U151" s="231"/>
      <c r="V151" s="231"/>
      <c r="W151" s="231"/>
      <c r="X151" s="231"/>
      <c r="Y151" s="231"/>
      <c r="Z151" s="231"/>
      <c r="AA151" s="231"/>
      <c r="AB151" s="231"/>
      <c r="AC151" s="231"/>
      <c r="AD151" s="231"/>
      <c r="AE151" s="231"/>
      <c r="AF151" s="231"/>
      <c r="AG151" s="231"/>
      <c r="AH151" s="231"/>
      <c r="AI151" s="231"/>
      <c r="AJ151" s="231"/>
      <c r="AK151" s="231"/>
      <c r="AL151" s="231"/>
      <c r="AM151" s="166"/>
    </row>
    <row r="152" spans="1:39">
      <c r="A152" s="229"/>
      <c r="B152" s="230"/>
      <c r="C152" s="231"/>
      <c r="D152" s="231"/>
      <c r="E152" s="231"/>
      <c r="F152" s="231"/>
      <c r="G152" s="231"/>
      <c r="H152" s="231"/>
      <c r="I152" s="231"/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31"/>
      <c r="AD152" s="231"/>
      <c r="AE152" s="231"/>
      <c r="AF152" s="231"/>
      <c r="AG152" s="231"/>
      <c r="AH152" s="231"/>
      <c r="AI152" s="231"/>
      <c r="AJ152" s="231"/>
      <c r="AK152" s="231"/>
      <c r="AL152" s="231"/>
      <c r="AM152" s="166"/>
    </row>
    <row r="153" spans="1:39">
      <c r="A153" s="229"/>
      <c r="B153" s="230"/>
      <c r="C153" s="231"/>
      <c r="D153" s="231"/>
      <c r="E153" s="231"/>
      <c r="F153" s="231"/>
      <c r="G153" s="231"/>
      <c r="H153" s="231"/>
      <c r="I153" s="231"/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31"/>
      <c r="AD153" s="231"/>
      <c r="AE153" s="231"/>
      <c r="AF153" s="231"/>
      <c r="AG153" s="231"/>
      <c r="AH153" s="231"/>
      <c r="AI153" s="231"/>
      <c r="AJ153" s="231"/>
      <c r="AK153" s="231"/>
      <c r="AL153" s="231"/>
      <c r="AM153" s="166"/>
    </row>
    <row r="154" spans="1:39">
      <c r="A154" s="229"/>
      <c r="B154" s="230"/>
      <c r="C154" s="231"/>
      <c r="D154" s="231"/>
      <c r="E154" s="231"/>
      <c r="F154" s="231"/>
      <c r="G154" s="231"/>
      <c r="H154" s="231"/>
      <c r="I154" s="231"/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31"/>
      <c r="AD154" s="231"/>
      <c r="AE154" s="231"/>
      <c r="AF154" s="231"/>
      <c r="AG154" s="231"/>
      <c r="AH154" s="231"/>
      <c r="AI154" s="231"/>
      <c r="AJ154" s="231"/>
      <c r="AK154" s="231"/>
      <c r="AL154" s="231"/>
      <c r="AM154" s="166"/>
    </row>
    <row r="155" spans="1:39">
      <c r="A155" s="229"/>
      <c r="B155" s="230"/>
      <c r="C155" s="231"/>
      <c r="D155" s="231"/>
      <c r="E155" s="231"/>
      <c r="F155" s="231"/>
      <c r="G155" s="231"/>
      <c r="H155" s="231"/>
      <c r="I155" s="231"/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  <c r="U155" s="231"/>
      <c r="V155" s="231"/>
      <c r="W155" s="231"/>
      <c r="X155" s="231"/>
      <c r="Y155" s="231"/>
      <c r="Z155" s="231"/>
      <c r="AA155" s="231"/>
      <c r="AB155" s="231"/>
      <c r="AC155" s="231"/>
      <c r="AD155" s="231"/>
      <c r="AE155" s="231"/>
      <c r="AF155" s="231"/>
      <c r="AG155" s="231"/>
      <c r="AH155" s="231"/>
      <c r="AI155" s="231"/>
      <c r="AJ155" s="231"/>
      <c r="AK155" s="231"/>
      <c r="AL155" s="231"/>
      <c r="AM155" s="166"/>
    </row>
    <row r="156" spans="1:39">
      <c r="A156" s="229"/>
      <c r="B156" s="230"/>
      <c r="C156" s="231"/>
      <c r="D156" s="231"/>
      <c r="E156" s="231"/>
      <c r="F156" s="231"/>
      <c r="G156" s="231"/>
      <c r="H156" s="231"/>
      <c r="I156" s="231"/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  <c r="U156" s="231"/>
      <c r="V156" s="231"/>
      <c r="W156" s="231"/>
      <c r="X156" s="231"/>
      <c r="Y156" s="231"/>
      <c r="Z156" s="231"/>
      <c r="AA156" s="231"/>
      <c r="AB156" s="231"/>
      <c r="AC156" s="231"/>
      <c r="AD156" s="231"/>
      <c r="AE156" s="231"/>
      <c r="AF156" s="231"/>
      <c r="AG156" s="231"/>
      <c r="AH156" s="231"/>
      <c r="AI156" s="231"/>
      <c r="AJ156" s="231"/>
      <c r="AK156" s="231"/>
      <c r="AL156" s="231"/>
      <c r="AM156" s="166"/>
    </row>
    <row r="157" spans="1:39">
      <c r="A157" s="229"/>
      <c r="B157" s="230"/>
      <c r="C157" s="231"/>
      <c r="D157" s="231"/>
      <c r="E157" s="231"/>
      <c r="F157" s="231"/>
      <c r="G157" s="231"/>
      <c r="H157" s="231"/>
      <c r="I157" s="231"/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  <c r="U157" s="231"/>
      <c r="V157" s="231"/>
      <c r="W157" s="231"/>
      <c r="X157" s="231"/>
      <c r="Y157" s="231"/>
      <c r="Z157" s="231"/>
      <c r="AA157" s="231"/>
      <c r="AB157" s="231"/>
      <c r="AC157" s="231"/>
      <c r="AD157" s="231"/>
      <c r="AE157" s="231"/>
      <c r="AF157" s="231"/>
      <c r="AG157" s="231"/>
      <c r="AH157" s="231"/>
      <c r="AI157" s="231"/>
      <c r="AJ157" s="231"/>
      <c r="AK157" s="231"/>
      <c r="AL157" s="231"/>
      <c r="AM157" s="166"/>
    </row>
    <row r="158" spans="1:39">
      <c r="A158" s="229"/>
      <c r="B158" s="230"/>
      <c r="C158" s="231"/>
      <c r="D158" s="231"/>
      <c r="E158" s="231"/>
      <c r="F158" s="231"/>
      <c r="G158" s="231"/>
      <c r="H158" s="231"/>
      <c r="I158" s="231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  <c r="Z158" s="231"/>
      <c r="AA158" s="231"/>
      <c r="AB158" s="231"/>
      <c r="AC158" s="231"/>
      <c r="AD158" s="231"/>
      <c r="AE158" s="231"/>
      <c r="AF158" s="231"/>
      <c r="AG158" s="231"/>
      <c r="AH158" s="231"/>
      <c r="AI158" s="231"/>
      <c r="AJ158" s="231"/>
      <c r="AK158" s="231"/>
      <c r="AL158" s="231"/>
      <c r="AM158" s="166"/>
    </row>
    <row r="159" spans="1:39">
      <c r="A159" s="229"/>
      <c r="B159" s="230"/>
      <c r="C159" s="231"/>
      <c r="D159" s="231"/>
      <c r="E159" s="231"/>
      <c r="F159" s="231"/>
      <c r="G159" s="231"/>
      <c r="H159" s="231"/>
      <c r="I159" s="231"/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  <c r="U159" s="231"/>
      <c r="V159" s="231"/>
      <c r="W159" s="231"/>
      <c r="X159" s="231"/>
      <c r="Y159" s="231"/>
      <c r="Z159" s="231"/>
      <c r="AA159" s="231"/>
      <c r="AB159" s="231"/>
      <c r="AC159" s="231"/>
      <c r="AD159" s="231"/>
      <c r="AE159" s="231"/>
      <c r="AF159" s="231"/>
      <c r="AG159" s="231"/>
      <c r="AH159" s="231"/>
      <c r="AI159" s="231"/>
      <c r="AJ159" s="231"/>
      <c r="AK159" s="231"/>
      <c r="AL159" s="231"/>
      <c r="AM159" s="166"/>
    </row>
    <row r="160" spans="1:39">
      <c r="A160" s="229"/>
      <c r="B160" s="230"/>
      <c r="C160" s="231"/>
      <c r="D160" s="231"/>
      <c r="E160" s="231"/>
      <c r="F160" s="231"/>
      <c r="G160" s="231"/>
      <c r="H160" s="231"/>
      <c r="I160" s="231"/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  <c r="U160" s="231"/>
      <c r="V160" s="231"/>
      <c r="W160" s="231"/>
      <c r="X160" s="231"/>
      <c r="Y160" s="231"/>
      <c r="Z160" s="231"/>
      <c r="AA160" s="231"/>
      <c r="AB160" s="231"/>
      <c r="AC160" s="231"/>
      <c r="AD160" s="231"/>
      <c r="AE160" s="231"/>
      <c r="AF160" s="231"/>
      <c r="AG160" s="231"/>
      <c r="AH160" s="231"/>
      <c r="AI160" s="231"/>
      <c r="AJ160" s="231"/>
      <c r="AK160" s="231"/>
      <c r="AL160" s="231"/>
      <c r="AM160" s="166"/>
    </row>
    <row r="161" spans="1:39" ht="14.4" thickBot="1">
      <c r="A161" s="155"/>
      <c r="B161" s="157"/>
      <c r="C161" s="158"/>
      <c r="D161" s="158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06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B8EA-3D75-498E-B210-F93BAC4EE197}">
  <dimension ref="A1:AK12"/>
  <sheetViews>
    <sheetView workbookViewId="0">
      <selection activeCell="A2" sqref="A2:AK2"/>
    </sheetView>
  </sheetViews>
  <sheetFormatPr defaultRowHeight="13.8"/>
  <sheetData>
    <row r="1" spans="1:37">
      <c r="A1" s="34"/>
      <c r="B1" s="47"/>
      <c r="C1" s="48"/>
      <c r="D1" s="73"/>
      <c r="E1" s="49"/>
      <c r="F1" s="74"/>
      <c r="G1" s="74"/>
      <c r="H1" s="49"/>
      <c r="I1" s="49"/>
      <c r="J1" s="49"/>
      <c r="K1" s="28"/>
      <c r="L1" s="28"/>
      <c r="M1" s="28"/>
      <c r="N1" s="55"/>
      <c r="O1" s="49"/>
      <c r="P1" s="49"/>
      <c r="Q1" s="29"/>
      <c r="R1" s="29"/>
      <c r="S1" s="29"/>
      <c r="T1" s="29"/>
      <c r="U1" s="30"/>
      <c r="V1" s="31"/>
      <c r="W1" s="28"/>
      <c r="X1" s="50"/>
      <c r="Y1" s="50"/>
      <c r="Z1" s="50"/>
      <c r="AA1" s="30"/>
      <c r="AB1" s="31"/>
      <c r="AC1" s="32"/>
      <c r="AD1" s="58"/>
      <c r="AE1" s="78"/>
      <c r="AF1" s="78"/>
      <c r="AG1" s="78"/>
      <c r="AH1" s="78"/>
      <c r="AI1" s="78"/>
      <c r="AJ1" s="78"/>
      <c r="AK1" s="78"/>
    </row>
    <row r="2" spans="1:37">
      <c r="A2" s="57"/>
      <c r="B2" s="57"/>
      <c r="C2" s="2"/>
      <c r="D2" s="75"/>
      <c r="E2" s="1"/>
      <c r="F2" s="75"/>
      <c r="G2" s="75"/>
      <c r="H2" s="1"/>
      <c r="I2" s="1"/>
      <c r="J2" s="10"/>
      <c r="K2" s="22"/>
      <c r="L2" s="22"/>
      <c r="M2" s="51"/>
      <c r="N2" s="56"/>
      <c r="O2" s="1"/>
      <c r="P2" s="1"/>
      <c r="Q2" s="2"/>
      <c r="R2" s="2"/>
      <c r="S2" s="2"/>
      <c r="T2" s="2"/>
      <c r="U2" s="1"/>
      <c r="V2" s="10"/>
      <c r="W2" s="22"/>
      <c r="X2" s="2"/>
      <c r="Y2" s="3"/>
      <c r="Z2" s="3"/>
      <c r="AA2" s="1"/>
      <c r="AB2" s="1"/>
      <c r="AC2" s="6"/>
      <c r="AD2" s="57"/>
      <c r="AE2" s="77"/>
      <c r="AF2" s="77"/>
      <c r="AG2" s="77"/>
      <c r="AH2" s="77"/>
      <c r="AI2" s="77"/>
      <c r="AJ2" s="77"/>
      <c r="AK2" s="77"/>
    </row>
    <row r="5" spans="1:37">
      <c r="A5" s="100" t="s">
        <v>6423</v>
      </c>
      <c r="B5" s="100" t="s">
        <v>682</v>
      </c>
      <c r="C5" s="100" t="s">
        <v>682</v>
      </c>
      <c r="D5" s="100" t="s">
        <v>682</v>
      </c>
      <c r="E5" s="100" t="s">
        <v>682</v>
      </c>
      <c r="F5" s="100" t="s">
        <v>682</v>
      </c>
      <c r="G5" s="100" t="s">
        <v>682</v>
      </c>
      <c r="H5" s="100" t="s">
        <v>682</v>
      </c>
      <c r="I5" s="100" t="s">
        <v>682</v>
      </c>
      <c r="J5" s="100" t="s">
        <v>6424</v>
      </c>
      <c r="K5" s="100" t="s">
        <v>6425</v>
      </c>
      <c r="L5" s="100" t="s">
        <v>6426</v>
      </c>
      <c r="M5" s="100" t="s">
        <v>682</v>
      </c>
      <c r="N5" s="100" t="s">
        <v>682</v>
      </c>
      <c r="O5" s="100" t="s">
        <v>682</v>
      </c>
      <c r="P5" s="100" t="s">
        <v>682</v>
      </c>
      <c r="Q5" s="100" t="s">
        <v>6427</v>
      </c>
      <c r="R5" s="100" t="s">
        <v>6428</v>
      </c>
      <c r="S5" s="100" t="s">
        <v>6429</v>
      </c>
      <c r="T5" s="100" t="s">
        <v>6430</v>
      </c>
      <c r="U5" s="100" t="s">
        <v>6431</v>
      </c>
      <c r="V5" s="100" t="s">
        <v>6432</v>
      </c>
      <c r="W5" s="100" t="s">
        <v>6433</v>
      </c>
      <c r="X5" s="100" t="s">
        <v>682</v>
      </c>
      <c r="Y5" s="100" t="s">
        <v>682</v>
      </c>
      <c r="Z5" s="100" t="s">
        <v>682</v>
      </c>
      <c r="AA5" s="100" t="s">
        <v>6434</v>
      </c>
      <c r="AB5" s="100" t="s">
        <v>6432</v>
      </c>
      <c r="AC5" s="100" t="s">
        <v>6435</v>
      </c>
      <c r="AD5" s="100" t="s">
        <v>682</v>
      </c>
      <c r="AE5" s="100" t="s">
        <v>682</v>
      </c>
      <c r="AF5" s="100" t="s">
        <v>682</v>
      </c>
      <c r="AG5" s="100" t="s">
        <v>682</v>
      </c>
      <c r="AH5" s="100" t="s">
        <v>682</v>
      </c>
      <c r="AI5" s="100" t="s">
        <v>682</v>
      </c>
      <c r="AJ5" s="100" t="s">
        <v>682</v>
      </c>
      <c r="AK5" s="100" t="s">
        <v>682</v>
      </c>
    </row>
    <row r="6" spans="1:37">
      <c r="A6" s="100" t="s">
        <v>682</v>
      </c>
      <c r="B6" s="100" t="s">
        <v>682</v>
      </c>
      <c r="C6" s="100" t="s">
        <v>682</v>
      </c>
      <c r="D6" s="100" t="s">
        <v>682</v>
      </c>
      <c r="E6" s="100" t="s">
        <v>682</v>
      </c>
      <c r="F6" s="100" t="s">
        <v>682</v>
      </c>
      <c r="G6" s="100" t="s">
        <v>682</v>
      </c>
      <c r="H6" s="100" t="s">
        <v>682</v>
      </c>
      <c r="I6" s="100" t="s">
        <v>682</v>
      </c>
      <c r="J6" s="100" t="s">
        <v>6436</v>
      </c>
      <c r="K6" s="100" t="s">
        <v>6437</v>
      </c>
      <c r="L6" s="100" t="s">
        <v>6438</v>
      </c>
      <c r="M6" s="100" t="s">
        <v>682</v>
      </c>
      <c r="N6" s="100" t="s">
        <v>682</v>
      </c>
      <c r="O6" s="100" t="s">
        <v>682</v>
      </c>
      <c r="P6" s="100" t="s">
        <v>682</v>
      </c>
      <c r="Q6" s="100" t="s">
        <v>682</v>
      </c>
      <c r="R6" s="100" t="s">
        <v>682</v>
      </c>
      <c r="S6" s="100" t="s">
        <v>682</v>
      </c>
      <c r="T6" s="100" t="s">
        <v>6439</v>
      </c>
      <c r="U6" s="100" t="s">
        <v>682</v>
      </c>
      <c r="V6" s="100" t="s">
        <v>6440</v>
      </c>
      <c r="W6" s="100" t="s">
        <v>6441</v>
      </c>
      <c r="X6" s="100" t="s">
        <v>682</v>
      </c>
      <c r="Y6" s="100" t="s">
        <v>682</v>
      </c>
      <c r="Z6" s="100" t="s">
        <v>682</v>
      </c>
      <c r="AA6" s="100" t="s">
        <v>682</v>
      </c>
      <c r="AB6" s="100" t="s">
        <v>682</v>
      </c>
      <c r="AC6" s="100" t="s">
        <v>682</v>
      </c>
      <c r="AD6" s="100" t="s">
        <v>682</v>
      </c>
      <c r="AE6" s="100" t="s">
        <v>682</v>
      </c>
      <c r="AF6" s="100" t="s">
        <v>682</v>
      </c>
      <c r="AG6" s="100" t="s">
        <v>682</v>
      </c>
      <c r="AH6" s="100" t="s">
        <v>682</v>
      </c>
      <c r="AI6" s="100" t="s">
        <v>682</v>
      </c>
      <c r="AJ6" s="100" t="s">
        <v>682</v>
      </c>
      <c r="AK6" s="100" t="s">
        <v>682</v>
      </c>
    </row>
    <row r="8" spans="1:37">
      <c r="A8">
        <v>20.100000000000001</v>
      </c>
      <c r="B8">
        <v>28.4</v>
      </c>
    </row>
    <row r="9" spans="1:37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</row>
    <row r="12" spans="1:37">
      <c r="A12" t="s">
        <v>6442</v>
      </c>
    </row>
  </sheetData>
  <phoneticPr fontId="1" type="noConversion"/>
  <conditionalFormatting sqref="AE1">
    <cfRule type="cellIs" dxfId="283" priority="15" operator="equal">
      <formula>"AES"</formula>
    </cfRule>
    <cfRule type="beginsWith" dxfId="282" priority="16" operator="beginsWith" text="Durr">
      <formula>LEFT(AE1,LEN("Durr"))="Durr"</formula>
    </cfRule>
  </conditionalFormatting>
  <conditionalFormatting sqref="AF1">
    <cfRule type="cellIs" dxfId="281" priority="13" operator="equal">
      <formula>"CNF"</formula>
    </cfRule>
    <cfRule type="cellIs" dxfId="280" priority="14" operator="equal">
      <formula>"FOB"</formula>
    </cfRule>
  </conditionalFormatting>
  <conditionalFormatting sqref="P1">
    <cfRule type="expression" dxfId="279" priority="17">
      <formula>AND(P1&lt;&gt;"",COUNTIFS($A:$A,$A1,$P:$P,"&lt;&gt;"&amp;P1)&gt;1)</formula>
    </cfRule>
  </conditionalFormatting>
  <conditionalFormatting sqref="V1 AB1">
    <cfRule type="expression" dxfId="278" priority="18">
      <formula>V1&lt;&gt;""</formula>
    </cfRule>
  </conditionalFormatting>
  <conditionalFormatting sqref="AG1">
    <cfRule type="cellIs" dxfId="277" priority="9" operator="equal">
      <formula>"F"</formula>
    </cfRule>
    <cfRule type="cellIs" dxfId="276" priority="10" operator="equal">
      <formula>"FR"</formula>
    </cfRule>
    <cfRule type="cellIs" dxfId="275" priority="11" operator="equal">
      <formula>"NR"</formula>
    </cfRule>
    <cfRule type="cellIs" dxfId="274" priority="12" operator="equal">
      <formula>"F+N"</formula>
    </cfRule>
  </conditionalFormatting>
  <conditionalFormatting sqref="AE2">
    <cfRule type="cellIs" dxfId="273" priority="7" operator="equal">
      <formula>"AES"</formula>
    </cfRule>
    <cfRule type="beginsWith" dxfId="272" priority="8" operator="beginsWith" text="Durr">
      <formula>LEFT(AE2,LEN("Durr"))="Durr"</formula>
    </cfRule>
  </conditionalFormatting>
  <conditionalFormatting sqref="AF2">
    <cfRule type="cellIs" dxfId="271" priority="5" operator="equal">
      <formula>"CNF"</formula>
    </cfRule>
    <cfRule type="cellIs" dxfId="270" priority="6" operator="equal">
      <formula>"FOB"</formula>
    </cfRule>
  </conditionalFormatting>
  <conditionalFormatting sqref="AG2">
    <cfRule type="cellIs" dxfId="269" priority="1" operator="equal">
      <formula>"F"</formula>
    </cfRule>
    <cfRule type="cellIs" dxfId="268" priority="2" operator="equal">
      <formula>"FR"</formula>
    </cfRule>
    <cfRule type="cellIs" dxfId="267" priority="3" operator="equal">
      <formula>"NR"</formula>
    </cfRule>
    <cfRule type="cellIs" dxfId="266" priority="4" operator="equal">
      <formula>"F+N"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CBF21-5462-43D8-A340-C24639FED6B4}">
  <dimension ref="A1:Q1061"/>
  <sheetViews>
    <sheetView workbookViewId="0"/>
  </sheetViews>
  <sheetFormatPr defaultRowHeight="13.8"/>
  <cols>
    <col min="1" max="1" width="18.77734375" customWidth="1"/>
    <col min="2" max="2" width="36.77734375" customWidth="1"/>
    <col min="3" max="3" width="26.77734375" customWidth="1"/>
    <col min="4" max="5" width="10.77734375" customWidth="1"/>
    <col min="6" max="6" width="17.77734375" customWidth="1"/>
    <col min="7" max="7" width="29.77734375" customWidth="1"/>
    <col min="8" max="8" width="38.77734375" customWidth="1"/>
    <col min="9" max="9" width="44.77734375" customWidth="1"/>
    <col min="12" max="17" width="0" hidden="1" customWidth="1"/>
  </cols>
  <sheetData>
    <row r="1" spans="1:17" ht="25.05" customHeight="1">
      <c r="A1" s="134" t="s">
        <v>6483</v>
      </c>
      <c r="B1" s="134"/>
      <c r="C1" s="134"/>
      <c r="D1" s="134"/>
      <c r="E1" s="134"/>
      <c r="F1" s="134"/>
      <c r="G1" s="134"/>
      <c r="H1" s="134"/>
      <c r="I1" s="134"/>
      <c r="L1" t="s">
        <v>6484</v>
      </c>
      <c r="N1" t="s">
        <v>7722</v>
      </c>
      <c r="O1" t="s">
        <v>7961</v>
      </c>
      <c r="P1" t="s">
        <v>9022</v>
      </c>
      <c r="Q1" t="s">
        <v>9059</v>
      </c>
    </row>
    <row r="2" spans="1:17" ht="24" customHeight="1">
      <c r="A2" s="134" t="s">
        <v>9060</v>
      </c>
      <c r="B2" s="134"/>
      <c r="C2" s="134"/>
      <c r="D2" s="134"/>
      <c r="E2" s="134"/>
      <c r="F2" s="134"/>
      <c r="G2" s="134"/>
      <c r="H2" s="134"/>
      <c r="I2" s="134"/>
      <c r="L2">
        <v>346</v>
      </c>
      <c r="N2" s="150" t="s">
        <v>7723</v>
      </c>
      <c r="O2" t="s">
        <v>7962</v>
      </c>
      <c r="P2" t="s">
        <v>9023</v>
      </c>
    </row>
    <row r="3" spans="1:17" ht="34.950000000000003" customHeight="1">
      <c r="A3" s="134"/>
      <c r="B3" s="134"/>
      <c r="C3" s="134"/>
      <c r="D3" s="134"/>
      <c r="E3" s="134"/>
      <c r="F3" s="134"/>
      <c r="G3" s="134"/>
      <c r="H3" s="134"/>
      <c r="I3" s="134"/>
      <c r="L3">
        <v>1061</v>
      </c>
      <c r="N3" t="s">
        <v>7724</v>
      </c>
      <c r="O3" t="s">
        <v>7963</v>
      </c>
      <c r="P3" t="s">
        <v>9024</v>
      </c>
    </row>
    <row r="4" spans="1:17" ht="28.05" customHeight="1">
      <c r="A4" s="151" t="s">
        <v>6477</v>
      </c>
      <c r="B4" s="151" t="s">
        <v>6478</v>
      </c>
      <c r="C4" s="151" t="s">
        <v>6479</v>
      </c>
      <c r="D4" s="151" t="s">
        <v>6480</v>
      </c>
      <c r="E4" s="151" t="s">
        <v>6481</v>
      </c>
      <c r="F4" s="151" t="s">
        <v>137</v>
      </c>
      <c r="G4" s="151" t="s">
        <v>324</v>
      </c>
      <c r="H4" s="151" t="s">
        <v>6155</v>
      </c>
      <c r="I4" s="151" t="s">
        <v>6482</v>
      </c>
      <c r="L4">
        <v>37</v>
      </c>
      <c r="N4" t="s">
        <v>7725</v>
      </c>
      <c r="O4" t="s">
        <v>7964</v>
      </c>
      <c r="P4" t="s">
        <v>9025</v>
      </c>
    </row>
    <row r="5" spans="1:17">
      <c r="A5" s="150" t="s">
        <v>7178</v>
      </c>
      <c r="B5" s="150" t="s">
        <v>7179</v>
      </c>
      <c r="C5" s="150" t="s">
        <v>7180</v>
      </c>
      <c r="D5" s="150">
        <v>222</v>
      </c>
      <c r="E5" s="150" t="s">
        <v>7181</v>
      </c>
      <c r="F5" s="150" t="s">
        <v>141</v>
      </c>
      <c r="G5" s="150" t="s">
        <v>221</v>
      </c>
      <c r="H5" s="150" t="s">
        <v>440</v>
      </c>
      <c r="I5" s="150" t="s">
        <v>7182</v>
      </c>
      <c r="M5" t="s">
        <v>7183</v>
      </c>
      <c r="N5" t="s">
        <v>7726</v>
      </c>
      <c r="O5" t="s">
        <v>7965</v>
      </c>
      <c r="P5" t="s">
        <v>9026</v>
      </c>
    </row>
    <row r="6" spans="1:17">
      <c r="A6" s="150" t="s">
        <v>7184</v>
      </c>
      <c r="B6" s="150" t="s">
        <v>7185</v>
      </c>
      <c r="C6" s="150" t="s">
        <v>7180</v>
      </c>
      <c r="D6" s="150">
        <v>222</v>
      </c>
      <c r="E6" s="150" t="s">
        <v>7186</v>
      </c>
      <c r="F6" s="150" t="s">
        <v>141</v>
      </c>
      <c r="G6" s="150" t="s">
        <v>221</v>
      </c>
      <c r="H6" s="150" t="s">
        <v>440</v>
      </c>
      <c r="I6" s="150" t="s">
        <v>7187</v>
      </c>
      <c r="M6" t="s">
        <v>7183</v>
      </c>
      <c r="N6" t="s">
        <v>7727</v>
      </c>
      <c r="O6" t="s">
        <v>7966</v>
      </c>
      <c r="P6" t="s">
        <v>9027</v>
      </c>
    </row>
    <row r="7" spans="1:17">
      <c r="A7" s="150" t="s">
        <v>7188</v>
      </c>
      <c r="B7" s="150" t="e">
        <v>#N/A</v>
      </c>
      <c r="C7" s="150" t="s">
        <v>7180</v>
      </c>
      <c r="D7" s="150">
        <v>222</v>
      </c>
      <c r="E7" s="150" t="s">
        <v>7189</v>
      </c>
      <c r="F7" s="150" t="s">
        <v>141</v>
      </c>
      <c r="G7" s="150" t="s">
        <v>221</v>
      </c>
      <c r="H7" s="150" t="s">
        <v>440</v>
      </c>
      <c r="I7" s="150" t="s">
        <v>7190</v>
      </c>
      <c r="M7" t="s">
        <v>7183</v>
      </c>
      <c r="N7" t="s">
        <v>7728</v>
      </c>
      <c r="O7" t="s">
        <v>7967</v>
      </c>
      <c r="P7" t="s">
        <v>9028</v>
      </c>
    </row>
    <row r="8" spans="1:17">
      <c r="A8" s="150" t="s">
        <v>7188</v>
      </c>
      <c r="B8" s="150" t="e">
        <v>#VALUE!</v>
      </c>
      <c r="C8" s="150" t="s">
        <v>7180</v>
      </c>
      <c r="D8" s="150">
        <v>222</v>
      </c>
      <c r="E8" s="150" t="s">
        <v>7191</v>
      </c>
      <c r="F8" s="150" t="s">
        <v>141</v>
      </c>
      <c r="G8" s="150" t="s">
        <v>221</v>
      </c>
      <c r="H8" s="150" t="s">
        <v>440</v>
      </c>
      <c r="I8" s="150" t="s">
        <v>7190</v>
      </c>
      <c r="M8" t="s">
        <v>7183</v>
      </c>
      <c r="N8" t="s">
        <v>7729</v>
      </c>
      <c r="O8" t="s">
        <v>7968</v>
      </c>
      <c r="P8" t="s">
        <v>9029</v>
      </c>
    </row>
    <row r="9" spans="1:17">
      <c r="A9" s="150" t="s">
        <v>7188</v>
      </c>
      <c r="B9" s="150" t="e">
        <v>#VALUE!</v>
      </c>
      <c r="C9" s="150" t="s">
        <v>7180</v>
      </c>
      <c r="D9" s="150">
        <v>222</v>
      </c>
      <c r="E9" s="150" t="s">
        <v>7192</v>
      </c>
      <c r="F9" s="150" t="s">
        <v>141</v>
      </c>
      <c r="G9" s="150" t="s">
        <v>221</v>
      </c>
      <c r="H9" s="150" t="s">
        <v>440</v>
      </c>
      <c r="I9" s="150" t="s">
        <v>7190</v>
      </c>
      <c r="M9" t="s">
        <v>7183</v>
      </c>
      <c r="N9" t="s">
        <v>7730</v>
      </c>
      <c r="O9" t="s">
        <v>7969</v>
      </c>
      <c r="P9" t="s">
        <v>9030</v>
      </c>
    </row>
    <row r="10" spans="1:17">
      <c r="A10" s="150" t="s">
        <v>7178</v>
      </c>
      <c r="B10" s="150" t="s">
        <v>5855</v>
      </c>
      <c r="C10" s="150" t="s">
        <v>7180</v>
      </c>
      <c r="D10" s="150">
        <v>223</v>
      </c>
      <c r="E10" s="150" t="s">
        <v>7193</v>
      </c>
      <c r="F10" s="150" t="s">
        <v>139</v>
      </c>
      <c r="G10" s="150" t="s">
        <v>179</v>
      </c>
      <c r="H10" s="150" t="s">
        <v>3908</v>
      </c>
      <c r="I10" s="150" t="s">
        <v>7182</v>
      </c>
      <c r="M10" t="s">
        <v>7194</v>
      </c>
      <c r="N10" t="s">
        <v>7731</v>
      </c>
      <c r="O10" t="s">
        <v>7970</v>
      </c>
      <c r="P10" t="s">
        <v>9031</v>
      </c>
    </row>
    <row r="11" spans="1:17">
      <c r="A11" s="150" t="s">
        <v>7188</v>
      </c>
      <c r="B11" s="150" t="e">
        <v>#VALUE!</v>
      </c>
      <c r="C11" s="150" t="s">
        <v>7180</v>
      </c>
      <c r="D11" s="150">
        <v>223</v>
      </c>
      <c r="E11" s="150" t="s">
        <v>7195</v>
      </c>
      <c r="F11" s="150" t="s">
        <v>139</v>
      </c>
      <c r="G11" s="150" t="s">
        <v>179</v>
      </c>
      <c r="H11" s="150" t="s">
        <v>3908</v>
      </c>
      <c r="I11" s="150" t="s">
        <v>7190</v>
      </c>
      <c r="M11" t="s">
        <v>7194</v>
      </c>
      <c r="N11" t="s">
        <v>7732</v>
      </c>
      <c r="O11" t="s">
        <v>7971</v>
      </c>
      <c r="P11" t="s">
        <v>9032</v>
      </c>
    </row>
    <row r="12" spans="1:17">
      <c r="A12" s="150" t="s">
        <v>7188</v>
      </c>
      <c r="B12" s="150" t="e">
        <v>#VALUE!</v>
      </c>
      <c r="C12" s="150" t="s">
        <v>7180</v>
      </c>
      <c r="D12" s="150">
        <v>223</v>
      </c>
      <c r="E12" s="150" t="s">
        <v>7196</v>
      </c>
      <c r="F12" s="150" t="s">
        <v>139</v>
      </c>
      <c r="G12" s="150" t="s">
        <v>179</v>
      </c>
      <c r="H12" s="150" t="s">
        <v>3908</v>
      </c>
      <c r="I12" s="150" t="s">
        <v>7190</v>
      </c>
      <c r="M12" t="s">
        <v>7194</v>
      </c>
      <c r="N12" t="s">
        <v>7733</v>
      </c>
      <c r="O12" t="s">
        <v>7972</v>
      </c>
      <c r="P12" t="s">
        <v>9033</v>
      </c>
    </row>
    <row r="13" spans="1:17">
      <c r="A13" s="150" t="s">
        <v>7178</v>
      </c>
      <c r="B13" s="150" t="s">
        <v>5855</v>
      </c>
      <c r="C13" s="150" t="s">
        <v>7180</v>
      </c>
      <c r="D13" s="150">
        <v>224</v>
      </c>
      <c r="E13" s="150" t="s">
        <v>7197</v>
      </c>
      <c r="F13" s="150" t="s">
        <v>139</v>
      </c>
      <c r="G13" s="150" t="s">
        <v>179</v>
      </c>
      <c r="H13" s="150" t="s">
        <v>3906</v>
      </c>
      <c r="I13" s="150" t="s">
        <v>7182</v>
      </c>
      <c r="M13" t="s">
        <v>7198</v>
      </c>
      <c r="N13" t="s">
        <v>7734</v>
      </c>
      <c r="O13" t="s">
        <v>7973</v>
      </c>
      <c r="P13" t="s">
        <v>9034</v>
      </c>
    </row>
    <row r="14" spans="1:17">
      <c r="A14" s="150" t="s">
        <v>7188</v>
      </c>
      <c r="B14" s="150" t="e">
        <v>#VALUE!</v>
      </c>
      <c r="C14" s="150" t="s">
        <v>7180</v>
      </c>
      <c r="D14" s="150">
        <v>224</v>
      </c>
      <c r="E14" s="150" t="s">
        <v>7199</v>
      </c>
      <c r="F14" s="150" t="s">
        <v>139</v>
      </c>
      <c r="G14" s="150" t="s">
        <v>179</v>
      </c>
      <c r="H14" s="150" t="s">
        <v>3906</v>
      </c>
      <c r="I14" s="150" t="s">
        <v>7190</v>
      </c>
      <c r="M14" t="s">
        <v>7198</v>
      </c>
      <c r="N14" t="s">
        <v>7735</v>
      </c>
      <c r="O14" t="s">
        <v>7974</v>
      </c>
      <c r="P14" t="s">
        <v>9035</v>
      </c>
    </row>
    <row r="15" spans="1:17">
      <c r="A15" s="150" t="s">
        <v>7188</v>
      </c>
      <c r="B15" s="150" t="e">
        <v>#VALUE!</v>
      </c>
      <c r="C15" s="150" t="s">
        <v>7180</v>
      </c>
      <c r="D15" s="150">
        <v>224</v>
      </c>
      <c r="E15" s="150" t="s">
        <v>7200</v>
      </c>
      <c r="F15" s="150" t="s">
        <v>139</v>
      </c>
      <c r="G15" s="150" t="s">
        <v>179</v>
      </c>
      <c r="H15" s="150" t="s">
        <v>3906</v>
      </c>
      <c r="I15" s="150" t="s">
        <v>7190</v>
      </c>
      <c r="M15" t="s">
        <v>7198</v>
      </c>
      <c r="N15" t="s">
        <v>7736</v>
      </c>
      <c r="O15" t="s">
        <v>7975</v>
      </c>
      <c r="P15" t="s">
        <v>9036</v>
      </c>
    </row>
    <row r="16" spans="1:17">
      <c r="A16" s="150" t="s">
        <v>7178</v>
      </c>
      <c r="B16" s="150" t="s">
        <v>5855</v>
      </c>
      <c r="C16" s="150" t="s">
        <v>7180</v>
      </c>
      <c r="D16" s="150">
        <v>225</v>
      </c>
      <c r="E16" s="150" t="s">
        <v>7201</v>
      </c>
      <c r="F16" s="150" t="s">
        <v>139</v>
      </c>
      <c r="G16" s="150" t="s">
        <v>178</v>
      </c>
      <c r="H16" s="150" t="s">
        <v>555</v>
      </c>
      <c r="I16" s="150" t="s">
        <v>7182</v>
      </c>
      <c r="M16" t="s">
        <v>7202</v>
      </c>
      <c r="N16" t="s">
        <v>7737</v>
      </c>
      <c r="O16" t="s">
        <v>7976</v>
      </c>
      <c r="P16" t="s">
        <v>9037</v>
      </c>
    </row>
    <row r="17" spans="1:16">
      <c r="A17" s="150" t="s">
        <v>7188</v>
      </c>
      <c r="B17" s="150" t="e">
        <v>#VALUE!</v>
      </c>
      <c r="C17" s="150" t="s">
        <v>7180</v>
      </c>
      <c r="D17" s="150">
        <v>225</v>
      </c>
      <c r="E17" s="150" t="s">
        <v>7203</v>
      </c>
      <c r="F17" s="150" t="s">
        <v>139</v>
      </c>
      <c r="G17" s="150" t="s">
        <v>178</v>
      </c>
      <c r="H17" s="150" t="s">
        <v>555</v>
      </c>
      <c r="I17" s="150" t="s">
        <v>7190</v>
      </c>
      <c r="M17" t="s">
        <v>7202</v>
      </c>
      <c r="N17" t="s">
        <v>7738</v>
      </c>
      <c r="O17" t="s">
        <v>7977</v>
      </c>
      <c r="P17" t="s">
        <v>9038</v>
      </c>
    </row>
    <row r="18" spans="1:16">
      <c r="A18" s="150" t="s">
        <v>7188</v>
      </c>
      <c r="B18" s="150" t="e">
        <v>#VALUE!</v>
      </c>
      <c r="C18" s="150" t="s">
        <v>7180</v>
      </c>
      <c r="D18" s="150">
        <v>225</v>
      </c>
      <c r="E18" s="150" t="s">
        <v>7204</v>
      </c>
      <c r="F18" s="150" t="s">
        <v>139</v>
      </c>
      <c r="G18" s="150" t="s">
        <v>178</v>
      </c>
      <c r="H18" s="150" t="s">
        <v>555</v>
      </c>
      <c r="I18" s="150" t="s">
        <v>7190</v>
      </c>
      <c r="M18" t="s">
        <v>7202</v>
      </c>
      <c r="N18" t="s">
        <v>7739</v>
      </c>
      <c r="O18" t="s">
        <v>7978</v>
      </c>
      <c r="P18" t="s">
        <v>9039</v>
      </c>
    </row>
    <row r="19" spans="1:16">
      <c r="A19" s="150" t="s">
        <v>7178</v>
      </c>
      <c r="B19" s="150" t="s">
        <v>7179</v>
      </c>
      <c r="C19" s="150" t="s">
        <v>7180</v>
      </c>
      <c r="D19" s="150">
        <v>226</v>
      </c>
      <c r="E19" s="150" t="s">
        <v>7205</v>
      </c>
      <c r="F19" s="150" t="s">
        <v>144</v>
      </c>
      <c r="G19" s="150" t="s">
        <v>154</v>
      </c>
      <c r="H19" s="150" t="s">
        <v>456</v>
      </c>
      <c r="I19" s="150" t="s">
        <v>7182</v>
      </c>
      <c r="M19" t="s">
        <v>7206</v>
      </c>
      <c r="N19" t="s">
        <v>7740</v>
      </c>
      <c r="O19" t="s">
        <v>7979</v>
      </c>
      <c r="P19" t="s">
        <v>9040</v>
      </c>
    </row>
    <row r="20" spans="1:16">
      <c r="A20" s="150" t="s">
        <v>7188</v>
      </c>
      <c r="B20" s="150" t="e">
        <v>#N/A</v>
      </c>
      <c r="C20" s="150" t="s">
        <v>7180</v>
      </c>
      <c r="D20" s="150">
        <v>226</v>
      </c>
      <c r="E20" s="150" t="s">
        <v>7207</v>
      </c>
      <c r="F20" s="150" t="s">
        <v>144</v>
      </c>
      <c r="G20" s="150" t="s">
        <v>154</v>
      </c>
      <c r="H20" s="150" t="s">
        <v>456</v>
      </c>
      <c r="I20" s="150" t="s">
        <v>7190</v>
      </c>
      <c r="M20" t="s">
        <v>7206</v>
      </c>
      <c r="N20" t="s">
        <v>7741</v>
      </c>
      <c r="O20" t="s">
        <v>7980</v>
      </c>
      <c r="P20" t="s">
        <v>9041</v>
      </c>
    </row>
    <row r="21" spans="1:16">
      <c r="A21" s="150" t="s">
        <v>7188</v>
      </c>
      <c r="B21" s="150" t="e">
        <v>#VALUE!</v>
      </c>
      <c r="C21" s="150" t="s">
        <v>7180</v>
      </c>
      <c r="D21" s="150">
        <v>226</v>
      </c>
      <c r="E21" s="150" t="s">
        <v>7208</v>
      </c>
      <c r="F21" s="150" t="s">
        <v>144</v>
      </c>
      <c r="G21" s="150" t="s">
        <v>154</v>
      </c>
      <c r="H21" s="150" t="s">
        <v>456</v>
      </c>
      <c r="I21" s="150" t="s">
        <v>7190</v>
      </c>
      <c r="M21" t="s">
        <v>7206</v>
      </c>
      <c r="N21" t="s">
        <v>7742</v>
      </c>
      <c r="O21" t="s">
        <v>7981</v>
      </c>
      <c r="P21" t="s">
        <v>9042</v>
      </c>
    </row>
    <row r="22" spans="1:16">
      <c r="A22" s="150" t="s">
        <v>7188</v>
      </c>
      <c r="B22" s="150" t="e">
        <v>#VALUE!</v>
      </c>
      <c r="C22" s="150" t="s">
        <v>7180</v>
      </c>
      <c r="D22" s="150">
        <v>226</v>
      </c>
      <c r="E22" s="150" t="s">
        <v>7209</v>
      </c>
      <c r="F22" s="150" t="s">
        <v>144</v>
      </c>
      <c r="G22" s="150" t="s">
        <v>154</v>
      </c>
      <c r="H22" s="150" t="s">
        <v>456</v>
      </c>
      <c r="I22" s="150" t="s">
        <v>7190</v>
      </c>
      <c r="M22" t="s">
        <v>7206</v>
      </c>
      <c r="N22" t="s">
        <v>7743</v>
      </c>
      <c r="O22" t="s">
        <v>7982</v>
      </c>
      <c r="P22" t="s">
        <v>9043</v>
      </c>
    </row>
    <row r="23" spans="1:16">
      <c r="A23" s="150" t="s">
        <v>7178</v>
      </c>
      <c r="B23" s="150" t="s">
        <v>7179</v>
      </c>
      <c r="C23" s="150" t="s">
        <v>7180</v>
      </c>
      <c r="D23" s="150">
        <v>227</v>
      </c>
      <c r="E23" s="150" t="s">
        <v>7210</v>
      </c>
      <c r="F23" s="150" t="s">
        <v>139</v>
      </c>
      <c r="G23" s="150" t="s">
        <v>178</v>
      </c>
      <c r="H23" s="150" t="s">
        <v>558</v>
      </c>
      <c r="I23" s="150" t="s">
        <v>7182</v>
      </c>
      <c r="M23" t="s">
        <v>7211</v>
      </c>
      <c r="N23" t="s">
        <v>7744</v>
      </c>
      <c r="O23" t="s">
        <v>7983</v>
      </c>
      <c r="P23" t="s">
        <v>9044</v>
      </c>
    </row>
    <row r="24" spans="1:16">
      <c r="A24" s="150" t="s">
        <v>7188</v>
      </c>
      <c r="B24" s="150" t="e">
        <v>#N/A</v>
      </c>
      <c r="C24" s="150" t="s">
        <v>7180</v>
      </c>
      <c r="D24" s="150">
        <v>227</v>
      </c>
      <c r="E24" s="150" t="s">
        <v>7212</v>
      </c>
      <c r="F24" s="150" t="s">
        <v>139</v>
      </c>
      <c r="G24" s="150" t="s">
        <v>178</v>
      </c>
      <c r="H24" s="150" t="s">
        <v>558</v>
      </c>
      <c r="I24" s="150" t="s">
        <v>7190</v>
      </c>
      <c r="M24" t="s">
        <v>7211</v>
      </c>
      <c r="N24" t="s">
        <v>7745</v>
      </c>
      <c r="O24" t="s">
        <v>7984</v>
      </c>
      <c r="P24" t="s">
        <v>9045</v>
      </c>
    </row>
    <row r="25" spans="1:16">
      <c r="A25" s="150" t="s">
        <v>7188</v>
      </c>
      <c r="B25" s="150" t="e">
        <v>#VALUE!</v>
      </c>
      <c r="C25" s="150" t="s">
        <v>7180</v>
      </c>
      <c r="D25" s="150">
        <v>227</v>
      </c>
      <c r="E25" s="150" t="s">
        <v>7213</v>
      </c>
      <c r="F25" s="150" t="s">
        <v>139</v>
      </c>
      <c r="G25" s="150" t="s">
        <v>178</v>
      </c>
      <c r="H25" s="150" t="s">
        <v>558</v>
      </c>
      <c r="I25" s="150" t="s">
        <v>7190</v>
      </c>
      <c r="M25" t="s">
        <v>7211</v>
      </c>
      <c r="N25" t="s">
        <v>7746</v>
      </c>
      <c r="O25" t="s">
        <v>7985</v>
      </c>
      <c r="P25" t="s">
        <v>9046</v>
      </c>
    </row>
    <row r="26" spans="1:16">
      <c r="A26" s="150" t="s">
        <v>7188</v>
      </c>
      <c r="B26" s="150" t="e">
        <v>#VALUE!</v>
      </c>
      <c r="C26" s="150" t="s">
        <v>7180</v>
      </c>
      <c r="D26" s="150">
        <v>227</v>
      </c>
      <c r="E26" s="150" t="s">
        <v>7214</v>
      </c>
      <c r="F26" s="150" t="s">
        <v>139</v>
      </c>
      <c r="G26" s="150" t="s">
        <v>178</v>
      </c>
      <c r="H26" s="150" t="s">
        <v>558</v>
      </c>
      <c r="I26" s="150" t="s">
        <v>7190</v>
      </c>
      <c r="M26" t="s">
        <v>7211</v>
      </c>
      <c r="N26" t="s">
        <v>7747</v>
      </c>
      <c r="O26" t="s">
        <v>7986</v>
      </c>
      <c r="P26" t="s">
        <v>9047</v>
      </c>
    </row>
    <row r="27" spans="1:16">
      <c r="A27" s="150" t="s">
        <v>7178</v>
      </c>
      <c r="B27" s="150" t="s">
        <v>7179</v>
      </c>
      <c r="C27" s="150" t="s">
        <v>7180</v>
      </c>
      <c r="D27" s="150">
        <v>228</v>
      </c>
      <c r="E27" s="150" t="s">
        <v>7215</v>
      </c>
      <c r="F27" s="150" t="s">
        <v>139</v>
      </c>
      <c r="G27" s="150" t="s">
        <v>179</v>
      </c>
      <c r="H27" s="150" t="s">
        <v>648</v>
      </c>
      <c r="I27" s="150" t="s">
        <v>7182</v>
      </c>
      <c r="M27" t="s">
        <v>7216</v>
      </c>
      <c r="N27" t="s">
        <v>7748</v>
      </c>
      <c r="O27" t="s">
        <v>7987</v>
      </c>
      <c r="P27" t="s">
        <v>9048</v>
      </c>
    </row>
    <row r="28" spans="1:16">
      <c r="A28" s="150" t="s">
        <v>7184</v>
      </c>
      <c r="B28" s="150" t="s">
        <v>7185</v>
      </c>
      <c r="C28" s="150" t="s">
        <v>7180</v>
      </c>
      <c r="D28" s="150">
        <v>228</v>
      </c>
      <c r="E28" s="150" t="s">
        <v>7217</v>
      </c>
      <c r="F28" s="150" t="s">
        <v>139</v>
      </c>
      <c r="G28" s="150" t="s">
        <v>179</v>
      </c>
      <c r="H28" s="150" t="s">
        <v>648</v>
      </c>
      <c r="I28" s="150" t="s">
        <v>7187</v>
      </c>
      <c r="M28" t="s">
        <v>7216</v>
      </c>
      <c r="N28" t="s">
        <v>7749</v>
      </c>
      <c r="O28" t="s">
        <v>7988</v>
      </c>
      <c r="P28" t="s">
        <v>9049</v>
      </c>
    </row>
    <row r="29" spans="1:16">
      <c r="A29" s="150" t="s">
        <v>7188</v>
      </c>
      <c r="B29" s="150" t="e">
        <v>#N/A</v>
      </c>
      <c r="C29" s="150" t="s">
        <v>7180</v>
      </c>
      <c r="D29" s="150">
        <v>228</v>
      </c>
      <c r="E29" s="150" t="s">
        <v>7218</v>
      </c>
      <c r="F29" s="150" t="s">
        <v>139</v>
      </c>
      <c r="G29" s="150" t="s">
        <v>179</v>
      </c>
      <c r="H29" s="150" t="s">
        <v>648</v>
      </c>
      <c r="I29" s="150" t="s">
        <v>7190</v>
      </c>
      <c r="M29" t="s">
        <v>7216</v>
      </c>
      <c r="N29" t="s">
        <v>7750</v>
      </c>
      <c r="O29" t="s">
        <v>7989</v>
      </c>
      <c r="P29" t="s">
        <v>9050</v>
      </c>
    </row>
    <row r="30" spans="1:16">
      <c r="A30" s="150" t="s">
        <v>7188</v>
      </c>
      <c r="B30" s="150" t="e">
        <v>#VALUE!</v>
      </c>
      <c r="C30" s="150" t="s">
        <v>7180</v>
      </c>
      <c r="D30" s="150">
        <v>228</v>
      </c>
      <c r="E30" s="150" t="s">
        <v>7219</v>
      </c>
      <c r="F30" s="150" t="s">
        <v>139</v>
      </c>
      <c r="G30" s="150" t="s">
        <v>179</v>
      </c>
      <c r="H30" s="150" t="s">
        <v>648</v>
      </c>
      <c r="I30" s="150" t="s">
        <v>7190</v>
      </c>
      <c r="M30" t="s">
        <v>7216</v>
      </c>
      <c r="N30" t="s">
        <v>7751</v>
      </c>
      <c r="O30" t="s">
        <v>7990</v>
      </c>
      <c r="P30" t="s">
        <v>9051</v>
      </c>
    </row>
    <row r="31" spans="1:16">
      <c r="A31" s="150" t="s">
        <v>7188</v>
      </c>
      <c r="B31" s="150" t="e">
        <v>#VALUE!</v>
      </c>
      <c r="C31" s="150" t="s">
        <v>7180</v>
      </c>
      <c r="D31" s="150">
        <v>228</v>
      </c>
      <c r="E31" s="150" t="s">
        <v>7220</v>
      </c>
      <c r="F31" s="150" t="s">
        <v>139</v>
      </c>
      <c r="G31" s="150" t="s">
        <v>179</v>
      </c>
      <c r="H31" s="150" t="s">
        <v>648</v>
      </c>
      <c r="I31" s="150" t="s">
        <v>7190</v>
      </c>
      <c r="M31" t="s">
        <v>7216</v>
      </c>
      <c r="N31" t="s">
        <v>7752</v>
      </c>
      <c r="O31" t="s">
        <v>7991</v>
      </c>
      <c r="P31" t="s">
        <v>9052</v>
      </c>
    </row>
    <row r="32" spans="1:16">
      <c r="A32" s="150" t="s">
        <v>7178</v>
      </c>
      <c r="B32" s="150" t="s">
        <v>7179</v>
      </c>
      <c r="C32" s="150" t="s">
        <v>7180</v>
      </c>
      <c r="D32" s="150">
        <v>229</v>
      </c>
      <c r="E32" s="150" t="s">
        <v>7221</v>
      </c>
      <c r="F32" s="150" t="s">
        <v>139</v>
      </c>
      <c r="G32" s="150" t="s">
        <v>179</v>
      </c>
      <c r="H32" s="150" t="s">
        <v>440</v>
      </c>
      <c r="I32" s="150" t="s">
        <v>7182</v>
      </c>
      <c r="M32" t="s">
        <v>7222</v>
      </c>
      <c r="N32" t="s">
        <v>7753</v>
      </c>
      <c r="O32" t="s">
        <v>7992</v>
      </c>
      <c r="P32" t="s">
        <v>9053</v>
      </c>
    </row>
    <row r="33" spans="1:16">
      <c r="A33" s="150" t="s">
        <v>7184</v>
      </c>
      <c r="B33" s="150" t="s">
        <v>7185</v>
      </c>
      <c r="C33" s="150" t="s">
        <v>7180</v>
      </c>
      <c r="D33" s="150">
        <v>229</v>
      </c>
      <c r="E33" s="150" t="s">
        <v>7223</v>
      </c>
      <c r="F33" s="150" t="s">
        <v>139</v>
      </c>
      <c r="G33" s="150" t="s">
        <v>179</v>
      </c>
      <c r="H33" s="150" t="s">
        <v>440</v>
      </c>
      <c r="I33" s="150" t="s">
        <v>7187</v>
      </c>
      <c r="M33" t="s">
        <v>7222</v>
      </c>
      <c r="N33" t="s">
        <v>7754</v>
      </c>
      <c r="O33" t="s">
        <v>7993</v>
      </c>
      <c r="P33" t="s">
        <v>9054</v>
      </c>
    </row>
    <row r="34" spans="1:16">
      <c r="A34" s="150" t="s">
        <v>7188</v>
      </c>
      <c r="B34" s="150" t="e">
        <v>#N/A</v>
      </c>
      <c r="C34" s="150" t="s">
        <v>7180</v>
      </c>
      <c r="D34" s="150">
        <v>229</v>
      </c>
      <c r="E34" s="150" t="s">
        <v>7224</v>
      </c>
      <c r="F34" s="150" t="s">
        <v>139</v>
      </c>
      <c r="G34" s="150" t="s">
        <v>179</v>
      </c>
      <c r="H34" s="150" t="s">
        <v>440</v>
      </c>
      <c r="I34" s="150" t="s">
        <v>7190</v>
      </c>
      <c r="M34" t="s">
        <v>7222</v>
      </c>
      <c r="N34" t="s">
        <v>7755</v>
      </c>
      <c r="O34" t="s">
        <v>7994</v>
      </c>
      <c r="P34" t="s">
        <v>9055</v>
      </c>
    </row>
    <row r="35" spans="1:16">
      <c r="A35" s="150" t="s">
        <v>7188</v>
      </c>
      <c r="B35" s="150" t="e">
        <v>#VALUE!</v>
      </c>
      <c r="C35" s="150" t="s">
        <v>7180</v>
      </c>
      <c r="D35" s="150">
        <v>229</v>
      </c>
      <c r="E35" s="150" t="s">
        <v>7225</v>
      </c>
      <c r="F35" s="150" t="s">
        <v>139</v>
      </c>
      <c r="G35" s="150" t="s">
        <v>179</v>
      </c>
      <c r="H35" s="150" t="s">
        <v>440</v>
      </c>
      <c r="I35" s="150" t="s">
        <v>7190</v>
      </c>
      <c r="M35" t="s">
        <v>7222</v>
      </c>
      <c r="N35" t="s">
        <v>7756</v>
      </c>
      <c r="O35" t="s">
        <v>7995</v>
      </c>
      <c r="P35" t="s">
        <v>9056</v>
      </c>
    </row>
    <row r="36" spans="1:16">
      <c r="A36" s="150" t="s">
        <v>7188</v>
      </c>
      <c r="B36" s="150" t="e">
        <v>#VALUE!</v>
      </c>
      <c r="C36" s="150" t="s">
        <v>7180</v>
      </c>
      <c r="D36" s="150">
        <v>229</v>
      </c>
      <c r="E36" s="150" t="s">
        <v>7226</v>
      </c>
      <c r="F36" s="150" t="s">
        <v>139</v>
      </c>
      <c r="G36" s="150" t="s">
        <v>179</v>
      </c>
      <c r="H36" s="150" t="s">
        <v>440</v>
      </c>
      <c r="I36" s="150" t="s">
        <v>7190</v>
      </c>
      <c r="M36" t="s">
        <v>7222</v>
      </c>
      <c r="N36" t="s">
        <v>7757</v>
      </c>
      <c r="O36" t="s">
        <v>7996</v>
      </c>
      <c r="P36" t="s">
        <v>9057</v>
      </c>
    </row>
    <row r="37" spans="1:16">
      <c r="A37" s="150" t="s">
        <v>7178</v>
      </c>
      <c r="B37" s="150" t="s">
        <v>7179</v>
      </c>
      <c r="C37" s="150" t="s">
        <v>7180</v>
      </c>
      <c r="D37" s="150">
        <v>230</v>
      </c>
      <c r="E37" s="150" t="s">
        <v>7227</v>
      </c>
      <c r="F37" s="150" t="s">
        <v>139</v>
      </c>
      <c r="G37" s="150" t="s">
        <v>179</v>
      </c>
      <c r="H37" s="150" t="s">
        <v>649</v>
      </c>
      <c r="I37" s="150" t="s">
        <v>7182</v>
      </c>
      <c r="M37" t="s">
        <v>7228</v>
      </c>
      <c r="N37" t="s">
        <v>7758</v>
      </c>
      <c r="O37" t="s">
        <v>7997</v>
      </c>
      <c r="P37" t="s">
        <v>9058</v>
      </c>
    </row>
    <row r="38" spans="1:16">
      <c r="A38" s="150" t="s">
        <v>7184</v>
      </c>
      <c r="B38" s="150" t="s">
        <v>7185</v>
      </c>
      <c r="C38" s="150" t="s">
        <v>7180</v>
      </c>
      <c r="D38" s="150">
        <v>230</v>
      </c>
      <c r="E38" s="150" t="s">
        <v>7229</v>
      </c>
      <c r="F38" s="150" t="s">
        <v>139</v>
      </c>
      <c r="G38" s="150" t="s">
        <v>179</v>
      </c>
      <c r="H38" s="150" t="s">
        <v>649</v>
      </c>
      <c r="I38" s="150" t="s">
        <v>7187</v>
      </c>
      <c r="M38" t="s">
        <v>7228</v>
      </c>
      <c r="N38" t="s">
        <v>7759</v>
      </c>
      <c r="O38" t="s">
        <v>7998</v>
      </c>
    </row>
    <row r="39" spans="1:16">
      <c r="A39" s="150" t="s">
        <v>7188</v>
      </c>
      <c r="B39" s="150" t="e">
        <v>#N/A</v>
      </c>
      <c r="C39" s="150" t="s">
        <v>7180</v>
      </c>
      <c r="D39" s="150">
        <v>230</v>
      </c>
      <c r="E39" s="150" t="s">
        <v>7230</v>
      </c>
      <c r="F39" s="150" t="s">
        <v>139</v>
      </c>
      <c r="G39" s="150" t="s">
        <v>179</v>
      </c>
      <c r="H39" s="150" t="s">
        <v>649</v>
      </c>
      <c r="I39" s="150" t="s">
        <v>7190</v>
      </c>
      <c r="M39" t="s">
        <v>7228</v>
      </c>
      <c r="N39" t="s">
        <v>7760</v>
      </c>
      <c r="O39" t="s">
        <v>7999</v>
      </c>
    </row>
    <row r="40" spans="1:16">
      <c r="A40" s="150" t="s">
        <v>7188</v>
      </c>
      <c r="B40" s="150" t="e">
        <v>#VALUE!</v>
      </c>
      <c r="C40" s="150" t="s">
        <v>7180</v>
      </c>
      <c r="D40" s="150">
        <v>230</v>
      </c>
      <c r="E40" s="150" t="s">
        <v>7231</v>
      </c>
      <c r="F40" s="150" t="s">
        <v>139</v>
      </c>
      <c r="G40" s="150" t="s">
        <v>179</v>
      </c>
      <c r="H40" s="150" t="s">
        <v>649</v>
      </c>
      <c r="I40" s="150" t="s">
        <v>7190</v>
      </c>
      <c r="M40" t="s">
        <v>7228</v>
      </c>
      <c r="N40" t="s">
        <v>7761</v>
      </c>
      <c r="O40" t="s">
        <v>8000</v>
      </c>
    </row>
    <row r="41" spans="1:16">
      <c r="A41" s="150" t="s">
        <v>7188</v>
      </c>
      <c r="B41" s="150" t="e">
        <v>#VALUE!</v>
      </c>
      <c r="C41" s="150" t="s">
        <v>7180</v>
      </c>
      <c r="D41" s="150">
        <v>230</v>
      </c>
      <c r="E41" s="150" t="s">
        <v>7232</v>
      </c>
      <c r="F41" s="150" t="s">
        <v>139</v>
      </c>
      <c r="G41" s="150" t="s">
        <v>179</v>
      </c>
      <c r="H41" s="150" t="s">
        <v>649</v>
      </c>
      <c r="I41" s="150" t="s">
        <v>7190</v>
      </c>
      <c r="M41" t="s">
        <v>7228</v>
      </c>
      <c r="N41" t="s">
        <v>7762</v>
      </c>
      <c r="O41" t="s">
        <v>8001</v>
      </c>
    </row>
    <row r="42" spans="1:16">
      <c r="A42" s="150" t="s">
        <v>7178</v>
      </c>
      <c r="B42" s="150" t="s">
        <v>7179</v>
      </c>
      <c r="C42" s="150" t="s">
        <v>7180</v>
      </c>
      <c r="D42" s="150">
        <v>231</v>
      </c>
      <c r="E42" s="150" t="s">
        <v>7233</v>
      </c>
      <c r="F42" s="150" t="s">
        <v>139</v>
      </c>
      <c r="G42" s="150" t="s">
        <v>178</v>
      </c>
      <c r="H42" s="150" t="s">
        <v>51</v>
      </c>
      <c r="I42" s="150" t="s">
        <v>7182</v>
      </c>
      <c r="M42" t="s">
        <v>7234</v>
      </c>
      <c r="N42" t="s">
        <v>7763</v>
      </c>
      <c r="O42" t="s">
        <v>8002</v>
      </c>
    </row>
    <row r="43" spans="1:16">
      <c r="A43" s="150" t="s">
        <v>7184</v>
      </c>
      <c r="B43" s="150" t="s">
        <v>7185</v>
      </c>
      <c r="C43" s="150" t="s">
        <v>7180</v>
      </c>
      <c r="D43" s="150">
        <v>231</v>
      </c>
      <c r="E43" s="150" t="s">
        <v>7235</v>
      </c>
      <c r="F43" s="150" t="s">
        <v>139</v>
      </c>
      <c r="G43" s="150" t="s">
        <v>178</v>
      </c>
      <c r="H43" s="150" t="s">
        <v>51</v>
      </c>
      <c r="I43" s="150" t="s">
        <v>7187</v>
      </c>
      <c r="M43" t="s">
        <v>7234</v>
      </c>
      <c r="N43" t="s">
        <v>7764</v>
      </c>
      <c r="O43" t="s">
        <v>8003</v>
      </c>
    </row>
    <row r="44" spans="1:16">
      <c r="A44" s="150" t="s">
        <v>7188</v>
      </c>
      <c r="B44" s="150" t="e">
        <v>#N/A</v>
      </c>
      <c r="C44" s="150" t="s">
        <v>7180</v>
      </c>
      <c r="D44" s="150">
        <v>231</v>
      </c>
      <c r="E44" s="150" t="s">
        <v>7236</v>
      </c>
      <c r="F44" s="150" t="s">
        <v>139</v>
      </c>
      <c r="G44" s="150" t="s">
        <v>178</v>
      </c>
      <c r="H44" s="150" t="s">
        <v>51</v>
      </c>
      <c r="I44" s="150" t="s">
        <v>7190</v>
      </c>
      <c r="M44" t="s">
        <v>7234</v>
      </c>
      <c r="N44" t="s">
        <v>7765</v>
      </c>
      <c r="O44" t="s">
        <v>8004</v>
      </c>
    </row>
    <row r="45" spans="1:16">
      <c r="A45" s="150" t="s">
        <v>7188</v>
      </c>
      <c r="B45" s="150" t="e">
        <v>#VALUE!</v>
      </c>
      <c r="C45" s="150" t="s">
        <v>7180</v>
      </c>
      <c r="D45" s="150">
        <v>231</v>
      </c>
      <c r="E45" s="150" t="s">
        <v>7237</v>
      </c>
      <c r="F45" s="150" t="s">
        <v>139</v>
      </c>
      <c r="G45" s="150" t="s">
        <v>178</v>
      </c>
      <c r="H45" s="150" t="s">
        <v>51</v>
      </c>
      <c r="I45" s="150" t="s">
        <v>7190</v>
      </c>
      <c r="M45" t="s">
        <v>7234</v>
      </c>
      <c r="N45" t="s">
        <v>7766</v>
      </c>
      <c r="O45" t="s">
        <v>8005</v>
      </c>
    </row>
    <row r="46" spans="1:16">
      <c r="A46" s="150" t="s">
        <v>7188</v>
      </c>
      <c r="B46" s="150" t="e">
        <v>#VALUE!</v>
      </c>
      <c r="C46" s="150" t="s">
        <v>7180</v>
      </c>
      <c r="D46" s="150">
        <v>231</v>
      </c>
      <c r="E46" s="150" t="s">
        <v>7238</v>
      </c>
      <c r="F46" s="150" t="s">
        <v>139</v>
      </c>
      <c r="G46" s="150" t="s">
        <v>178</v>
      </c>
      <c r="H46" s="150" t="s">
        <v>51</v>
      </c>
      <c r="I46" s="150" t="s">
        <v>7190</v>
      </c>
      <c r="M46" t="s">
        <v>7234</v>
      </c>
      <c r="N46" t="s">
        <v>7767</v>
      </c>
      <c r="O46" t="s">
        <v>8006</v>
      </c>
    </row>
    <row r="47" spans="1:16">
      <c r="A47" s="150" t="s">
        <v>7178</v>
      </c>
      <c r="B47" s="150" t="s">
        <v>7179</v>
      </c>
      <c r="C47" s="150" t="s">
        <v>7180</v>
      </c>
      <c r="D47" s="150">
        <v>232</v>
      </c>
      <c r="E47" s="150" t="s">
        <v>7239</v>
      </c>
      <c r="F47" s="150" t="s">
        <v>139</v>
      </c>
      <c r="G47" s="150" t="s">
        <v>178</v>
      </c>
      <c r="H47" s="150" t="s">
        <v>648</v>
      </c>
      <c r="I47" s="150" t="s">
        <v>7182</v>
      </c>
      <c r="M47" t="s">
        <v>7240</v>
      </c>
      <c r="N47" t="s">
        <v>7768</v>
      </c>
      <c r="O47" t="s">
        <v>8007</v>
      </c>
    </row>
    <row r="48" spans="1:16">
      <c r="A48" s="150" t="s">
        <v>7184</v>
      </c>
      <c r="B48" s="150" t="s">
        <v>7185</v>
      </c>
      <c r="C48" s="150" t="s">
        <v>7180</v>
      </c>
      <c r="D48" s="150">
        <v>232</v>
      </c>
      <c r="E48" s="150" t="s">
        <v>7241</v>
      </c>
      <c r="F48" s="150" t="s">
        <v>139</v>
      </c>
      <c r="G48" s="150" t="s">
        <v>178</v>
      </c>
      <c r="H48" s="150" t="s">
        <v>648</v>
      </c>
      <c r="I48" s="150" t="s">
        <v>7187</v>
      </c>
      <c r="M48" t="s">
        <v>7240</v>
      </c>
      <c r="N48" t="s">
        <v>7769</v>
      </c>
      <c r="O48" t="s">
        <v>8008</v>
      </c>
    </row>
    <row r="49" spans="1:15">
      <c r="A49" s="150" t="s">
        <v>7188</v>
      </c>
      <c r="B49" s="150" t="e">
        <v>#N/A</v>
      </c>
      <c r="C49" s="150" t="s">
        <v>7180</v>
      </c>
      <c r="D49" s="150">
        <v>232</v>
      </c>
      <c r="E49" s="150" t="s">
        <v>7242</v>
      </c>
      <c r="F49" s="150" t="s">
        <v>139</v>
      </c>
      <c r="G49" s="150" t="s">
        <v>178</v>
      </c>
      <c r="H49" s="150" t="s">
        <v>648</v>
      </c>
      <c r="I49" s="150" t="s">
        <v>7190</v>
      </c>
      <c r="M49" t="s">
        <v>7240</v>
      </c>
      <c r="N49" t="s">
        <v>7770</v>
      </c>
      <c r="O49" t="s">
        <v>8009</v>
      </c>
    </row>
    <row r="50" spans="1:15">
      <c r="A50" s="150" t="s">
        <v>7188</v>
      </c>
      <c r="B50" s="150" t="e">
        <v>#VALUE!</v>
      </c>
      <c r="C50" s="150" t="s">
        <v>7180</v>
      </c>
      <c r="D50" s="150">
        <v>232</v>
      </c>
      <c r="E50" s="150" t="s">
        <v>7243</v>
      </c>
      <c r="F50" s="150" t="s">
        <v>139</v>
      </c>
      <c r="G50" s="150" t="s">
        <v>178</v>
      </c>
      <c r="H50" s="150" t="s">
        <v>648</v>
      </c>
      <c r="I50" s="150" t="s">
        <v>7190</v>
      </c>
      <c r="M50" t="s">
        <v>7240</v>
      </c>
      <c r="N50" t="s">
        <v>7771</v>
      </c>
      <c r="O50" t="s">
        <v>8010</v>
      </c>
    </row>
    <row r="51" spans="1:15">
      <c r="A51" s="150" t="s">
        <v>7188</v>
      </c>
      <c r="B51" s="150" t="e">
        <v>#VALUE!</v>
      </c>
      <c r="C51" s="150" t="s">
        <v>7180</v>
      </c>
      <c r="D51" s="150">
        <v>232</v>
      </c>
      <c r="E51" s="150" t="s">
        <v>7244</v>
      </c>
      <c r="F51" s="150" t="s">
        <v>139</v>
      </c>
      <c r="G51" s="150" t="s">
        <v>178</v>
      </c>
      <c r="H51" s="150" t="s">
        <v>648</v>
      </c>
      <c r="I51" s="150" t="s">
        <v>7190</v>
      </c>
      <c r="M51" t="s">
        <v>7240</v>
      </c>
      <c r="N51" t="s">
        <v>7772</v>
      </c>
      <c r="O51" t="s">
        <v>8011</v>
      </c>
    </row>
    <row r="52" spans="1:15">
      <c r="A52" s="150" t="s">
        <v>7178</v>
      </c>
      <c r="B52" s="150" t="s">
        <v>7179</v>
      </c>
      <c r="C52" s="150" t="s">
        <v>7180</v>
      </c>
      <c r="D52" s="150">
        <v>233</v>
      </c>
      <c r="E52" s="150" t="s">
        <v>7245</v>
      </c>
      <c r="F52" s="150" t="s">
        <v>139</v>
      </c>
      <c r="G52" s="150" t="s">
        <v>178</v>
      </c>
      <c r="H52" s="150" t="s">
        <v>440</v>
      </c>
      <c r="I52" s="150" t="s">
        <v>7182</v>
      </c>
      <c r="M52" t="s">
        <v>7246</v>
      </c>
      <c r="N52" t="s">
        <v>7773</v>
      </c>
      <c r="O52" t="s">
        <v>8012</v>
      </c>
    </row>
    <row r="53" spans="1:15">
      <c r="A53" s="150" t="s">
        <v>7184</v>
      </c>
      <c r="B53" s="150" t="s">
        <v>7185</v>
      </c>
      <c r="C53" s="150" t="s">
        <v>7180</v>
      </c>
      <c r="D53" s="150">
        <v>233</v>
      </c>
      <c r="E53" s="150" t="s">
        <v>7247</v>
      </c>
      <c r="F53" s="150" t="s">
        <v>139</v>
      </c>
      <c r="G53" s="150" t="s">
        <v>178</v>
      </c>
      <c r="H53" s="150" t="s">
        <v>440</v>
      </c>
      <c r="I53" s="150" t="s">
        <v>7187</v>
      </c>
      <c r="M53" t="s">
        <v>7246</v>
      </c>
      <c r="N53" t="s">
        <v>7774</v>
      </c>
      <c r="O53" t="s">
        <v>8013</v>
      </c>
    </row>
    <row r="54" spans="1:15">
      <c r="A54" s="150" t="s">
        <v>7188</v>
      </c>
      <c r="B54" s="150" t="e">
        <v>#N/A</v>
      </c>
      <c r="C54" s="150" t="s">
        <v>7180</v>
      </c>
      <c r="D54" s="150">
        <v>233</v>
      </c>
      <c r="E54" s="150" t="s">
        <v>7248</v>
      </c>
      <c r="F54" s="150" t="s">
        <v>139</v>
      </c>
      <c r="G54" s="150" t="s">
        <v>178</v>
      </c>
      <c r="H54" s="150" t="s">
        <v>440</v>
      </c>
      <c r="I54" s="150" t="s">
        <v>7190</v>
      </c>
      <c r="M54" t="s">
        <v>7246</v>
      </c>
      <c r="N54" t="s">
        <v>7775</v>
      </c>
      <c r="O54" t="s">
        <v>8014</v>
      </c>
    </row>
    <row r="55" spans="1:15">
      <c r="A55" s="150" t="s">
        <v>7188</v>
      </c>
      <c r="B55" s="150" t="e">
        <v>#VALUE!</v>
      </c>
      <c r="C55" s="150" t="s">
        <v>7180</v>
      </c>
      <c r="D55" s="150">
        <v>233</v>
      </c>
      <c r="E55" s="150" t="s">
        <v>7249</v>
      </c>
      <c r="F55" s="150" t="s">
        <v>139</v>
      </c>
      <c r="G55" s="150" t="s">
        <v>178</v>
      </c>
      <c r="H55" s="150" t="s">
        <v>440</v>
      </c>
      <c r="I55" s="150" t="s">
        <v>7190</v>
      </c>
      <c r="M55" t="s">
        <v>7246</v>
      </c>
      <c r="N55" t="s">
        <v>7776</v>
      </c>
      <c r="O55" t="s">
        <v>8015</v>
      </c>
    </row>
    <row r="56" spans="1:15">
      <c r="A56" s="150" t="s">
        <v>7188</v>
      </c>
      <c r="B56" s="150" t="e">
        <v>#VALUE!</v>
      </c>
      <c r="C56" s="150" t="s">
        <v>7180</v>
      </c>
      <c r="D56" s="150">
        <v>233</v>
      </c>
      <c r="E56" s="150" t="s">
        <v>7250</v>
      </c>
      <c r="F56" s="150" t="s">
        <v>139</v>
      </c>
      <c r="G56" s="150" t="s">
        <v>178</v>
      </c>
      <c r="H56" s="150" t="s">
        <v>440</v>
      </c>
      <c r="I56" s="150" t="s">
        <v>7190</v>
      </c>
      <c r="M56" t="s">
        <v>7246</v>
      </c>
      <c r="N56" t="s">
        <v>7777</v>
      </c>
      <c r="O56" t="s">
        <v>8016</v>
      </c>
    </row>
    <row r="57" spans="1:15">
      <c r="A57" s="150" t="s">
        <v>7178</v>
      </c>
      <c r="B57" s="150" t="s">
        <v>7179</v>
      </c>
      <c r="C57" s="150" t="s">
        <v>7180</v>
      </c>
      <c r="D57" s="150">
        <v>234</v>
      </c>
      <c r="E57" s="150" t="s">
        <v>7251</v>
      </c>
      <c r="F57" s="150" t="s">
        <v>139</v>
      </c>
      <c r="G57" s="150" t="s">
        <v>178</v>
      </c>
      <c r="H57" s="150" t="s">
        <v>649</v>
      </c>
      <c r="I57" s="150" t="s">
        <v>7182</v>
      </c>
      <c r="M57" t="s">
        <v>7252</v>
      </c>
      <c r="N57" t="s">
        <v>7778</v>
      </c>
      <c r="O57" t="s">
        <v>8017</v>
      </c>
    </row>
    <row r="58" spans="1:15">
      <c r="A58" s="150" t="s">
        <v>7184</v>
      </c>
      <c r="B58" s="150" t="s">
        <v>7185</v>
      </c>
      <c r="C58" s="150" t="s">
        <v>7180</v>
      </c>
      <c r="D58" s="150">
        <v>234</v>
      </c>
      <c r="E58" s="150" t="s">
        <v>7253</v>
      </c>
      <c r="F58" s="150" t="s">
        <v>139</v>
      </c>
      <c r="G58" s="150" t="s">
        <v>178</v>
      </c>
      <c r="H58" s="150" t="s">
        <v>649</v>
      </c>
      <c r="I58" s="150" t="s">
        <v>7187</v>
      </c>
      <c r="M58" t="s">
        <v>7252</v>
      </c>
      <c r="N58" t="s">
        <v>7779</v>
      </c>
      <c r="O58" t="s">
        <v>8018</v>
      </c>
    </row>
    <row r="59" spans="1:15">
      <c r="A59" s="150" t="s">
        <v>7188</v>
      </c>
      <c r="B59" s="150" t="e">
        <v>#N/A</v>
      </c>
      <c r="C59" s="150" t="s">
        <v>7180</v>
      </c>
      <c r="D59" s="150">
        <v>234</v>
      </c>
      <c r="E59" s="150" t="s">
        <v>7254</v>
      </c>
      <c r="F59" s="150" t="s">
        <v>139</v>
      </c>
      <c r="G59" s="150" t="s">
        <v>178</v>
      </c>
      <c r="H59" s="150" t="s">
        <v>649</v>
      </c>
      <c r="I59" s="150" t="s">
        <v>7190</v>
      </c>
      <c r="M59" t="s">
        <v>7252</v>
      </c>
      <c r="N59" t="s">
        <v>7780</v>
      </c>
      <c r="O59" t="s">
        <v>8019</v>
      </c>
    </row>
    <row r="60" spans="1:15">
      <c r="A60" s="150" t="s">
        <v>7188</v>
      </c>
      <c r="B60" s="150" t="e">
        <v>#VALUE!</v>
      </c>
      <c r="C60" s="150" t="s">
        <v>7180</v>
      </c>
      <c r="D60" s="150">
        <v>234</v>
      </c>
      <c r="E60" s="150" t="s">
        <v>7255</v>
      </c>
      <c r="F60" s="150" t="s">
        <v>139</v>
      </c>
      <c r="G60" s="150" t="s">
        <v>178</v>
      </c>
      <c r="H60" s="150" t="s">
        <v>649</v>
      </c>
      <c r="I60" s="150" t="s">
        <v>7190</v>
      </c>
      <c r="M60" t="s">
        <v>7252</v>
      </c>
      <c r="N60" t="s">
        <v>7781</v>
      </c>
      <c r="O60" t="s">
        <v>8020</v>
      </c>
    </row>
    <row r="61" spans="1:15">
      <c r="A61" s="150" t="s">
        <v>7188</v>
      </c>
      <c r="B61" s="150" t="e">
        <v>#VALUE!</v>
      </c>
      <c r="C61" s="150" t="s">
        <v>7180</v>
      </c>
      <c r="D61" s="150">
        <v>234</v>
      </c>
      <c r="E61" s="150" t="s">
        <v>7256</v>
      </c>
      <c r="F61" s="150" t="s">
        <v>139</v>
      </c>
      <c r="G61" s="150" t="s">
        <v>178</v>
      </c>
      <c r="H61" s="150" t="s">
        <v>649</v>
      </c>
      <c r="I61" s="150" t="s">
        <v>7190</v>
      </c>
      <c r="M61" t="s">
        <v>7252</v>
      </c>
      <c r="N61" t="s">
        <v>7782</v>
      </c>
      <c r="O61" t="s">
        <v>8021</v>
      </c>
    </row>
    <row r="62" spans="1:15">
      <c r="A62" s="150" t="s">
        <v>7178</v>
      </c>
      <c r="B62" s="150" t="s">
        <v>7179</v>
      </c>
      <c r="C62" s="150" t="s">
        <v>7180</v>
      </c>
      <c r="D62" s="150">
        <v>235</v>
      </c>
      <c r="E62" s="150" t="s">
        <v>7257</v>
      </c>
      <c r="F62" s="150" t="s">
        <v>139</v>
      </c>
      <c r="G62" s="150" t="s">
        <v>179</v>
      </c>
      <c r="H62" s="150" t="s">
        <v>496</v>
      </c>
      <c r="I62" s="150" t="s">
        <v>7182</v>
      </c>
      <c r="M62" t="s">
        <v>7258</v>
      </c>
      <c r="N62" t="s">
        <v>7783</v>
      </c>
      <c r="O62" t="s">
        <v>8022</v>
      </c>
    </row>
    <row r="63" spans="1:15">
      <c r="A63" s="150" t="s">
        <v>7184</v>
      </c>
      <c r="B63" s="150" t="s">
        <v>7185</v>
      </c>
      <c r="C63" s="150" t="s">
        <v>7180</v>
      </c>
      <c r="D63" s="150">
        <v>235</v>
      </c>
      <c r="E63" s="150" t="s">
        <v>7259</v>
      </c>
      <c r="F63" s="150" t="s">
        <v>139</v>
      </c>
      <c r="G63" s="150" t="s">
        <v>179</v>
      </c>
      <c r="H63" s="150" t="s">
        <v>496</v>
      </c>
      <c r="I63" s="150" t="s">
        <v>7187</v>
      </c>
      <c r="M63" t="s">
        <v>7258</v>
      </c>
      <c r="N63" t="s">
        <v>7784</v>
      </c>
      <c r="O63" t="s">
        <v>8023</v>
      </c>
    </row>
    <row r="64" spans="1:15">
      <c r="A64" s="150" t="s">
        <v>7188</v>
      </c>
      <c r="B64" s="150" t="e">
        <v>#N/A</v>
      </c>
      <c r="C64" s="150" t="s">
        <v>7180</v>
      </c>
      <c r="D64" s="150">
        <v>235</v>
      </c>
      <c r="E64" s="150" t="s">
        <v>7260</v>
      </c>
      <c r="F64" s="150" t="s">
        <v>139</v>
      </c>
      <c r="G64" s="150" t="s">
        <v>179</v>
      </c>
      <c r="H64" s="150" t="s">
        <v>496</v>
      </c>
      <c r="I64" s="150" t="s">
        <v>7190</v>
      </c>
      <c r="M64" t="s">
        <v>7258</v>
      </c>
      <c r="N64" t="s">
        <v>7785</v>
      </c>
      <c r="O64" t="s">
        <v>8024</v>
      </c>
    </row>
    <row r="65" spans="1:15">
      <c r="A65" s="150" t="s">
        <v>7188</v>
      </c>
      <c r="B65" s="150" t="e">
        <v>#VALUE!</v>
      </c>
      <c r="C65" s="150" t="s">
        <v>7180</v>
      </c>
      <c r="D65" s="150">
        <v>235</v>
      </c>
      <c r="E65" s="150" t="s">
        <v>7261</v>
      </c>
      <c r="F65" s="150" t="s">
        <v>139</v>
      </c>
      <c r="G65" s="150" t="s">
        <v>179</v>
      </c>
      <c r="H65" s="150" t="s">
        <v>496</v>
      </c>
      <c r="I65" s="150" t="s">
        <v>7190</v>
      </c>
      <c r="M65" t="s">
        <v>7258</v>
      </c>
      <c r="N65" t="s">
        <v>7786</v>
      </c>
      <c r="O65" t="s">
        <v>8025</v>
      </c>
    </row>
    <row r="66" spans="1:15">
      <c r="A66" s="150" t="s">
        <v>7188</v>
      </c>
      <c r="B66" s="150" t="e">
        <v>#VALUE!</v>
      </c>
      <c r="C66" s="150" t="s">
        <v>7180</v>
      </c>
      <c r="D66" s="150">
        <v>235</v>
      </c>
      <c r="E66" s="150" t="s">
        <v>7262</v>
      </c>
      <c r="F66" s="150" t="s">
        <v>139</v>
      </c>
      <c r="G66" s="150" t="s">
        <v>179</v>
      </c>
      <c r="H66" s="150" t="s">
        <v>496</v>
      </c>
      <c r="I66" s="150" t="s">
        <v>7190</v>
      </c>
      <c r="M66" t="s">
        <v>7258</v>
      </c>
      <c r="N66" t="s">
        <v>7787</v>
      </c>
      <c r="O66" t="s">
        <v>8026</v>
      </c>
    </row>
    <row r="67" spans="1:15">
      <c r="A67" s="150" t="s">
        <v>7178</v>
      </c>
      <c r="B67" s="150" t="s">
        <v>7179</v>
      </c>
      <c r="C67" s="150" t="s">
        <v>7180</v>
      </c>
      <c r="D67" s="150">
        <v>236</v>
      </c>
      <c r="E67" s="150" t="s">
        <v>7263</v>
      </c>
      <c r="F67" s="150" t="s">
        <v>139</v>
      </c>
      <c r="G67" s="150" t="s">
        <v>178</v>
      </c>
      <c r="H67" s="150" t="s">
        <v>496</v>
      </c>
      <c r="I67" s="150" t="s">
        <v>7182</v>
      </c>
      <c r="M67" t="s">
        <v>7264</v>
      </c>
      <c r="N67" t="s">
        <v>7788</v>
      </c>
      <c r="O67" t="s">
        <v>8027</v>
      </c>
    </row>
    <row r="68" spans="1:15">
      <c r="A68" s="150" t="s">
        <v>7184</v>
      </c>
      <c r="B68" s="150" t="s">
        <v>7185</v>
      </c>
      <c r="C68" s="150" t="s">
        <v>7180</v>
      </c>
      <c r="D68" s="150">
        <v>236</v>
      </c>
      <c r="E68" s="150" t="s">
        <v>7265</v>
      </c>
      <c r="F68" s="150" t="s">
        <v>139</v>
      </c>
      <c r="G68" s="150" t="s">
        <v>178</v>
      </c>
      <c r="H68" s="150" t="s">
        <v>496</v>
      </c>
      <c r="I68" s="150" t="s">
        <v>7187</v>
      </c>
      <c r="M68" t="s">
        <v>7264</v>
      </c>
      <c r="N68" t="s">
        <v>7789</v>
      </c>
      <c r="O68" t="s">
        <v>8028</v>
      </c>
    </row>
    <row r="69" spans="1:15">
      <c r="A69" s="150" t="s">
        <v>7188</v>
      </c>
      <c r="B69" s="150" t="e">
        <v>#N/A</v>
      </c>
      <c r="C69" s="150" t="s">
        <v>7180</v>
      </c>
      <c r="D69" s="150">
        <v>236</v>
      </c>
      <c r="E69" s="150" t="s">
        <v>7266</v>
      </c>
      <c r="F69" s="150" t="s">
        <v>139</v>
      </c>
      <c r="G69" s="150" t="s">
        <v>178</v>
      </c>
      <c r="H69" s="150" t="s">
        <v>496</v>
      </c>
      <c r="I69" s="150" t="s">
        <v>7190</v>
      </c>
      <c r="M69" t="s">
        <v>7264</v>
      </c>
      <c r="N69" t="s">
        <v>7790</v>
      </c>
      <c r="O69" t="s">
        <v>8029</v>
      </c>
    </row>
    <row r="70" spans="1:15">
      <c r="A70" s="150" t="s">
        <v>7188</v>
      </c>
      <c r="B70" s="150" t="e">
        <v>#VALUE!</v>
      </c>
      <c r="C70" s="150" t="s">
        <v>7180</v>
      </c>
      <c r="D70" s="150">
        <v>236</v>
      </c>
      <c r="E70" s="150" t="s">
        <v>7267</v>
      </c>
      <c r="F70" s="150" t="s">
        <v>139</v>
      </c>
      <c r="G70" s="150" t="s">
        <v>178</v>
      </c>
      <c r="H70" s="150" t="s">
        <v>496</v>
      </c>
      <c r="I70" s="150" t="s">
        <v>7190</v>
      </c>
      <c r="M70" t="s">
        <v>7264</v>
      </c>
      <c r="N70" t="s">
        <v>7791</v>
      </c>
      <c r="O70" t="s">
        <v>8030</v>
      </c>
    </row>
    <row r="71" spans="1:15">
      <c r="A71" s="150" t="s">
        <v>7188</v>
      </c>
      <c r="B71" s="150" t="e">
        <v>#VALUE!</v>
      </c>
      <c r="C71" s="150" t="s">
        <v>7180</v>
      </c>
      <c r="D71" s="150">
        <v>236</v>
      </c>
      <c r="E71" s="150" t="s">
        <v>7268</v>
      </c>
      <c r="F71" s="150" t="s">
        <v>139</v>
      </c>
      <c r="G71" s="150" t="s">
        <v>178</v>
      </c>
      <c r="H71" s="150" t="s">
        <v>496</v>
      </c>
      <c r="I71" s="150" t="s">
        <v>7190</v>
      </c>
      <c r="M71" t="s">
        <v>7264</v>
      </c>
      <c r="N71" t="s">
        <v>7792</v>
      </c>
      <c r="O71" t="s">
        <v>8031</v>
      </c>
    </row>
    <row r="72" spans="1:15">
      <c r="A72" s="150" t="s">
        <v>7178</v>
      </c>
      <c r="B72" s="150" t="s">
        <v>7179</v>
      </c>
      <c r="C72" s="150" t="s">
        <v>7180</v>
      </c>
      <c r="D72" s="150">
        <v>237</v>
      </c>
      <c r="E72" s="150" t="s">
        <v>7269</v>
      </c>
      <c r="F72" s="150" t="s">
        <v>144</v>
      </c>
      <c r="G72" s="150" t="s">
        <v>154</v>
      </c>
      <c r="H72" s="150" t="s">
        <v>650</v>
      </c>
      <c r="I72" s="150" t="s">
        <v>7182</v>
      </c>
      <c r="M72" t="s">
        <v>7270</v>
      </c>
      <c r="N72" t="s">
        <v>7793</v>
      </c>
      <c r="O72" t="s">
        <v>8032</v>
      </c>
    </row>
    <row r="73" spans="1:15">
      <c r="A73" s="150" t="s">
        <v>7184</v>
      </c>
      <c r="B73" s="150" t="s">
        <v>7185</v>
      </c>
      <c r="C73" s="150" t="s">
        <v>7180</v>
      </c>
      <c r="D73" s="150">
        <v>237</v>
      </c>
      <c r="E73" s="150" t="s">
        <v>7271</v>
      </c>
      <c r="F73" s="150" t="s">
        <v>144</v>
      </c>
      <c r="G73" s="150" t="s">
        <v>154</v>
      </c>
      <c r="H73" s="150" t="s">
        <v>650</v>
      </c>
      <c r="I73" s="150" t="s">
        <v>7187</v>
      </c>
      <c r="M73" t="s">
        <v>7270</v>
      </c>
      <c r="N73" t="s">
        <v>7794</v>
      </c>
      <c r="O73" t="s">
        <v>8033</v>
      </c>
    </row>
    <row r="74" spans="1:15">
      <c r="A74" s="150" t="s">
        <v>7188</v>
      </c>
      <c r="B74" s="150" t="e">
        <v>#N/A</v>
      </c>
      <c r="C74" s="150" t="s">
        <v>7180</v>
      </c>
      <c r="D74" s="150">
        <v>237</v>
      </c>
      <c r="E74" s="150" t="s">
        <v>7272</v>
      </c>
      <c r="F74" s="150" t="s">
        <v>144</v>
      </c>
      <c r="G74" s="150" t="s">
        <v>154</v>
      </c>
      <c r="H74" s="150" t="s">
        <v>650</v>
      </c>
      <c r="I74" s="150" t="s">
        <v>7190</v>
      </c>
      <c r="M74" t="s">
        <v>7270</v>
      </c>
      <c r="N74" t="s">
        <v>7795</v>
      </c>
      <c r="O74" t="s">
        <v>8034</v>
      </c>
    </row>
    <row r="75" spans="1:15">
      <c r="A75" s="150" t="s">
        <v>7188</v>
      </c>
      <c r="B75" s="150" t="e">
        <v>#VALUE!</v>
      </c>
      <c r="C75" s="150" t="s">
        <v>7180</v>
      </c>
      <c r="D75" s="150">
        <v>237</v>
      </c>
      <c r="E75" s="150" t="s">
        <v>7273</v>
      </c>
      <c r="F75" s="150" t="s">
        <v>144</v>
      </c>
      <c r="G75" s="150" t="s">
        <v>154</v>
      </c>
      <c r="H75" s="150" t="s">
        <v>650</v>
      </c>
      <c r="I75" s="150" t="s">
        <v>7190</v>
      </c>
      <c r="M75" t="s">
        <v>7270</v>
      </c>
      <c r="N75" t="s">
        <v>7796</v>
      </c>
      <c r="O75" t="s">
        <v>8035</v>
      </c>
    </row>
    <row r="76" spans="1:15">
      <c r="A76" s="150" t="s">
        <v>7188</v>
      </c>
      <c r="B76" s="150" t="e">
        <v>#VALUE!</v>
      </c>
      <c r="C76" s="150" t="s">
        <v>7180</v>
      </c>
      <c r="D76" s="150">
        <v>237</v>
      </c>
      <c r="E76" s="150" t="s">
        <v>7274</v>
      </c>
      <c r="F76" s="150" t="s">
        <v>144</v>
      </c>
      <c r="G76" s="150" t="s">
        <v>154</v>
      </c>
      <c r="H76" s="150" t="s">
        <v>650</v>
      </c>
      <c r="I76" s="150" t="s">
        <v>7190</v>
      </c>
      <c r="M76" t="s">
        <v>7270</v>
      </c>
      <c r="N76" t="s">
        <v>7797</v>
      </c>
      <c r="O76" t="s">
        <v>8036</v>
      </c>
    </row>
    <row r="77" spans="1:15">
      <c r="A77" s="150" t="s">
        <v>7178</v>
      </c>
      <c r="B77" s="150" t="s">
        <v>7179</v>
      </c>
      <c r="C77" s="150" t="s">
        <v>7180</v>
      </c>
      <c r="D77" s="150">
        <v>238</v>
      </c>
      <c r="E77" s="150" t="s">
        <v>7275</v>
      </c>
      <c r="F77" s="150" t="s">
        <v>141</v>
      </c>
      <c r="G77" s="150" t="s">
        <v>209</v>
      </c>
      <c r="H77" s="150" t="s">
        <v>553</v>
      </c>
      <c r="I77" s="150" t="s">
        <v>7182</v>
      </c>
      <c r="M77" t="s">
        <v>7276</v>
      </c>
      <c r="N77" t="s">
        <v>7798</v>
      </c>
      <c r="O77" t="s">
        <v>8037</v>
      </c>
    </row>
    <row r="78" spans="1:15">
      <c r="A78" s="150" t="s">
        <v>7184</v>
      </c>
      <c r="B78" s="150" t="s">
        <v>7185</v>
      </c>
      <c r="C78" s="150" t="s">
        <v>7180</v>
      </c>
      <c r="D78" s="150">
        <v>238</v>
      </c>
      <c r="E78" s="150" t="s">
        <v>7277</v>
      </c>
      <c r="F78" s="150" t="s">
        <v>141</v>
      </c>
      <c r="G78" s="150" t="s">
        <v>209</v>
      </c>
      <c r="H78" s="150" t="s">
        <v>553</v>
      </c>
      <c r="I78" s="150" t="s">
        <v>7187</v>
      </c>
      <c r="M78" t="s">
        <v>7276</v>
      </c>
      <c r="N78" t="s">
        <v>7799</v>
      </c>
      <c r="O78" t="s">
        <v>8038</v>
      </c>
    </row>
    <row r="79" spans="1:15">
      <c r="A79" s="150" t="s">
        <v>7188</v>
      </c>
      <c r="B79" s="150" t="e">
        <v>#N/A</v>
      </c>
      <c r="C79" s="150" t="s">
        <v>7180</v>
      </c>
      <c r="D79" s="150">
        <v>238</v>
      </c>
      <c r="E79" s="150" t="s">
        <v>7278</v>
      </c>
      <c r="F79" s="150" t="s">
        <v>141</v>
      </c>
      <c r="G79" s="150" t="s">
        <v>209</v>
      </c>
      <c r="H79" s="150" t="s">
        <v>553</v>
      </c>
      <c r="I79" s="150" t="s">
        <v>7190</v>
      </c>
      <c r="M79" t="s">
        <v>7276</v>
      </c>
      <c r="N79" t="s">
        <v>7800</v>
      </c>
      <c r="O79" t="s">
        <v>8039</v>
      </c>
    </row>
    <row r="80" spans="1:15">
      <c r="A80" s="150" t="s">
        <v>7188</v>
      </c>
      <c r="B80" s="150" t="e">
        <v>#VALUE!</v>
      </c>
      <c r="C80" s="150" t="s">
        <v>7180</v>
      </c>
      <c r="D80" s="150">
        <v>238</v>
      </c>
      <c r="E80" s="150" t="s">
        <v>7279</v>
      </c>
      <c r="F80" s="150" t="s">
        <v>141</v>
      </c>
      <c r="G80" s="150" t="s">
        <v>209</v>
      </c>
      <c r="H80" s="150" t="s">
        <v>553</v>
      </c>
      <c r="I80" s="150" t="s">
        <v>7190</v>
      </c>
      <c r="M80" t="s">
        <v>7276</v>
      </c>
      <c r="N80" t="s">
        <v>7801</v>
      </c>
      <c r="O80" t="s">
        <v>8040</v>
      </c>
    </row>
    <row r="81" spans="1:15">
      <c r="A81" s="150" t="s">
        <v>7188</v>
      </c>
      <c r="B81" s="150" t="e">
        <v>#VALUE!</v>
      </c>
      <c r="C81" s="150" t="s">
        <v>7180</v>
      </c>
      <c r="D81" s="150">
        <v>238</v>
      </c>
      <c r="E81" s="150" t="s">
        <v>7280</v>
      </c>
      <c r="F81" s="150" t="s">
        <v>141</v>
      </c>
      <c r="G81" s="150" t="s">
        <v>209</v>
      </c>
      <c r="H81" s="150" t="s">
        <v>553</v>
      </c>
      <c r="I81" s="150" t="s">
        <v>7190</v>
      </c>
      <c r="M81" t="s">
        <v>7276</v>
      </c>
      <c r="N81" t="s">
        <v>7802</v>
      </c>
      <c r="O81" t="s">
        <v>8041</v>
      </c>
    </row>
    <row r="82" spans="1:15">
      <c r="A82" s="150" t="s">
        <v>7178</v>
      </c>
      <c r="B82" s="150" t="s">
        <v>7179</v>
      </c>
      <c r="C82" s="150" t="s">
        <v>7180</v>
      </c>
      <c r="D82" s="150">
        <v>239</v>
      </c>
      <c r="E82" s="150" t="s">
        <v>7281</v>
      </c>
      <c r="F82" s="150" t="s">
        <v>141</v>
      </c>
      <c r="G82" s="150" t="s">
        <v>209</v>
      </c>
      <c r="H82" s="150" t="s">
        <v>440</v>
      </c>
      <c r="I82" s="150" t="s">
        <v>7182</v>
      </c>
      <c r="M82" t="s">
        <v>7282</v>
      </c>
      <c r="N82" t="s">
        <v>7803</v>
      </c>
      <c r="O82" t="s">
        <v>8042</v>
      </c>
    </row>
    <row r="83" spans="1:15">
      <c r="A83" s="150" t="s">
        <v>7184</v>
      </c>
      <c r="B83" s="150" t="s">
        <v>7185</v>
      </c>
      <c r="C83" s="150" t="s">
        <v>7180</v>
      </c>
      <c r="D83" s="150">
        <v>239</v>
      </c>
      <c r="E83" s="150" t="s">
        <v>7283</v>
      </c>
      <c r="F83" s="150" t="s">
        <v>141</v>
      </c>
      <c r="G83" s="150" t="s">
        <v>209</v>
      </c>
      <c r="H83" s="150" t="s">
        <v>440</v>
      </c>
      <c r="I83" s="150" t="s">
        <v>7187</v>
      </c>
      <c r="M83" t="s">
        <v>7282</v>
      </c>
      <c r="N83" t="s">
        <v>7804</v>
      </c>
      <c r="O83" t="s">
        <v>8043</v>
      </c>
    </row>
    <row r="84" spans="1:15">
      <c r="A84" s="150" t="s">
        <v>7188</v>
      </c>
      <c r="B84" s="150" t="e">
        <v>#N/A</v>
      </c>
      <c r="C84" s="150" t="s">
        <v>7180</v>
      </c>
      <c r="D84" s="150">
        <v>239</v>
      </c>
      <c r="E84" s="150" t="s">
        <v>7284</v>
      </c>
      <c r="F84" s="150" t="s">
        <v>141</v>
      </c>
      <c r="G84" s="150" t="s">
        <v>209</v>
      </c>
      <c r="H84" s="150" t="s">
        <v>440</v>
      </c>
      <c r="I84" s="150" t="s">
        <v>7190</v>
      </c>
      <c r="M84" t="s">
        <v>7282</v>
      </c>
      <c r="N84" t="s">
        <v>7805</v>
      </c>
      <c r="O84" t="s">
        <v>8044</v>
      </c>
    </row>
    <row r="85" spans="1:15">
      <c r="A85" s="150" t="s">
        <v>7188</v>
      </c>
      <c r="B85" s="150" t="e">
        <v>#VALUE!</v>
      </c>
      <c r="C85" s="150" t="s">
        <v>7180</v>
      </c>
      <c r="D85" s="150">
        <v>239</v>
      </c>
      <c r="E85" s="150" t="s">
        <v>7285</v>
      </c>
      <c r="F85" s="150" t="s">
        <v>141</v>
      </c>
      <c r="G85" s="150" t="s">
        <v>209</v>
      </c>
      <c r="H85" s="150" t="s">
        <v>440</v>
      </c>
      <c r="I85" s="150" t="s">
        <v>7190</v>
      </c>
      <c r="M85" t="s">
        <v>7282</v>
      </c>
      <c r="N85" t="s">
        <v>7806</v>
      </c>
      <c r="O85" t="s">
        <v>8045</v>
      </c>
    </row>
    <row r="86" spans="1:15">
      <c r="A86" s="150" t="s">
        <v>7188</v>
      </c>
      <c r="B86" s="150" t="e">
        <v>#VALUE!</v>
      </c>
      <c r="C86" s="150" t="s">
        <v>7180</v>
      </c>
      <c r="D86" s="150">
        <v>239</v>
      </c>
      <c r="E86" s="150" t="s">
        <v>7286</v>
      </c>
      <c r="F86" s="150" t="s">
        <v>141</v>
      </c>
      <c r="G86" s="150" t="s">
        <v>209</v>
      </c>
      <c r="H86" s="150" t="s">
        <v>440</v>
      </c>
      <c r="I86" s="150" t="s">
        <v>7190</v>
      </c>
      <c r="M86" t="s">
        <v>7282</v>
      </c>
      <c r="N86" t="s">
        <v>7807</v>
      </c>
      <c r="O86" t="s">
        <v>8046</v>
      </c>
    </row>
    <row r="87" spans="1:15">
      <c r="A87" s="150" t="s">
        <v>7178</v>
      </c>
      <c r="B87" s="150" t="s">
        <v>7179</v>
      </c>
      <c r="C87" s="150" t="s">
        <v>7180</v>
      </c>
      <c r="D87" s="150">
        <v>240</v>
      </c>
      <c r="E87" s="150" t="s">
        <v>7287</v>
      </c>
      <c r="F87" s="150" t="s">
        <v>141</v>
      </c>
      <c r="G87" s="150" t="s">
        <v>221</v>
      </c>
      <c r="H87" s="150" t="s">
        <v>553</v>
      </c>
      <c r="I87" s="150" t="s">
        <v>7182</v>
      </c>
      <c r="M87" t="s">
        <v>7288</v>
      </c>
      <c r="N87" t="s">
        <v>7808</v>
      </c>
      <c r="O87" t="s">
        <v>8047</v>
      </c>
    </row>
    <row r="88" spans="1:15">
      <c r="A88" s="150" t="s">
        <v>7184</v>
      </c>
      <c r="B88" s="150" t="s">
        <v>7185</v>
      </c>
      <c r="C88" s="150" t="s">
        <v>7180</v>
      </c>
      <c r="D88" s="150">
        <v>240</v>
      </c>
      <c r="E88" s="150" t="s">
        <v>7289</v>
      </c>
      <c r="F88" s="150" t="s">
        <v>141</v>
      </c>
      <c r="G88" s="150" t="s">
        <v>221</v>
      </c>
      <c r="H88" s="150" t="s">
        <v>553</v>
      </c>
      <c r="I88" s="150" t="s">
        <v>7187</v>
      </c>
      <c r="M88" t="s">
        <v>7288</v>
      </c>
      <c r="N88" t="s">
        <v>7809</v>
      </c>
      <c r="O88" t="s">
        <v>8048</v>
      </c>
    </row>
    <row r="89" spans="1:15">
      <c r="A89" s="150" t="s">
        <v>7188</v>
      </c>
      <c r="B89" s="150" t="e">
        <v>#N/A</v>
      </c>
      <c r="C89" s="150" t="s">
        <v>7180</v>
      </c>
      <c r="D89" s="150">
        <v>240</v>
      </c>
      <c r="E89" s="150" t="s">
        <v>7290</v>
      </c>
      <c r="F89" s="150" t="s">
        <v>141</v>
      </c>
      <c r="G89" s="150" t="s">
        <v>221</v>
      </c>
      <c r="H89" s="150" t="s">
        <v>553</v>
      </c>
      <c r="I89" s="150" t="s">
        <v>7190</v>
      </c>
      <c r="M89" t="s">
        <v>7288</v>
      </c>
      <c r="N89" t="s">
        <v>7810</v>
      </c>
      <c r="O89" t="s">
        <v>8049</v>
      </c>
    </row>
    <row r="90" spans="1:15">
      <c r="A90" s="150" t="s">
        <v>7188</v>
      </c>
      <c r="B90" s="150" t="e">
        <v>#VALUE!</v>
      </c>
      <c r="C90" s="150" t="s">
        <v>7180</v>
      </c>
      <c r="D90" s="150">
        <v>240</v>
      </c>
      <c r="E90" s="150" t="s">
        <v>7291</v>
      </c>
      <c r="F90" s="150" t="s">
        <v>141</v>
      </c>
      <c r="G90" s="150" t="s">
        <v>221</v>
      </c>
      <c r="H90" s="150" t="s">
        <v>553</v>
      </c>
      <c r="I90" s="150" t="s">
        <v>7190</v>
      </c>
      <c r="M90" t="s">
        <v>7288</v>
      </c>
      <c r="N90" t="s">
        <v>7811</v>
      </c>
      <c r="O90" t="s">
        <v>8050</v>
      </c>
    </row>
    <row r="91" spans="1:15">
      <c r="A91" s="150" t="s">
        <v>7188</v>
      </c>
      <c r="B91" s="150" t="e">
        <v>#VALUE!</v>
      </c>
      <c r="C91" s="150" t="s">
        <v>7180</v>
      </c>
      <c r="D91" s="150">
        <v>240</v>
      </c>
      <c r="E91" s="150" t="s">
        <v>7292</v>
      </c>
      <c r="F91" s="150" t="s">
        <v>141</v>
      </c>
      <c r="G91" s="150" t="s">
        <v>221</v>
      </c>
      <c r="H91" s="150" t="s">
        <v>553</v>
      </c>
      <c r="I91" s="150" t="s">
        <v>7190</v>
      </c>
      <c r="M91" t="s">
        <v>7288</v>
      </c>
      <c r="N91" t="s">
        <v>7812</v>
      </c>
      <c r="O91" t="s">
        <v>8051</v>
      </c>
    </row>
    <row r="92" spans="1:15">
      <c r="A92" s="150" t="s">
        <v>7178</v>
      </c>
      <c r="B92" s="150" t="s">
        <v>7179</v>
      </c>
      <c r="C92" s="150" t="s">
        <v>7180</v>
      </c>
      <c r="D92" s="150">
        <v>241</v>
      </c>
      <c r="E92" s="150" t="s">
        <v>7293</v>
      </c>
      <c r="F92" s="150" t="s">
        <v>144</v>
      </c>
      <c r="G92" s="150" t="s">
        <v>154</v>
      </c>
      <c r="H92" s="150" t="s">
        <v>652</v>
      </c>
      <c r="I92" s="150" t="s">
        <v>7182</v>
      </c>
      <c r="M92" t="s">
        <v>7294</v>
      </c>
      <c r="N92" t="s">
        <v>7813</v>
      </c>
      <c r="O92" t="s">
        <v>8052</v>
      </c>
    </row>
    <row r="93" spans="1:15">
      <c r="A93" s="150" t="s">
        <v>7184</v>
      </c>
      <c r="B93" s="150" t="s">
        <v>7185</v>
      </c>
      <c r="C93" s="150" t="s">
        <v>7180</v>
      </c>
      <c r="D93" s="150">
        <v>241</v>
      </c>
      <c r="E93" s="150" t="s">
        <v>7295</v>
      </c>
      <c r="F93" s="150" t="s">
        <v>144</v>
      </c>
      <c r="G93" s="150" t="s">
        <v>154</v>
      </c>
      <c r="H93" s="150" t="s">
        <v>652</v>
      </c>
      <c r="I93" s="150" t="s">
        <v>7187</v>
      </c>
      <c r="M93" t="s">
        <v>7294</v>
      </c>
      <c r="N93" t="s">
        <v>7814</v>
      </c>
      <c r="O93" t="s">
        <v>8053</v>
      </c>
    </row>
    <row r="94" spans="1:15">
      <c r="A94" s="150" t="s">
        <v>7188</v>
      </c>
      <c r="B94" s="150" t="e">
        <v>#N/A</v>
      </c>
      <c r="C94" s="150" t="s">
        <v>7180</v>
      </c>
      <c r="D94" s="150">
        <v>241</v>
      </c>
      <c r="E94" s="150" t="s">
        <v>7296</v>
      </c>
      <c r="F94" s="150" t="s">
        <v>144</v>
      </c>
      <c r="G94" s="150" t="s">
        <v>154</v>
      </c>
      <c r="H94" s="150" t="s">
        <v>652</v>
      </c>
      <c r="I94" s="150" t="s">
        <v>7190</v>
      </c>
      <c r="M94" t="s">
        <v>7294</v>
      </c>
      <c r="N94" t="s">
        <v>7815</v>
      </c>
      <c r="O94" t="s">
        <v>8054</v>
      </c>
    </row>
    <row r="95" spans="1:15">
      <c r="A95" s="150" t="s">
        <v>7188</v>
      </c>
      <c r="B95" s="150" t="e">
        <v>#VALUE!</v>
      </c>
      <c r="C95" s="150" t="s">
        <v>7180</v>
      </c>
      <c r="D95" s="150">
        <v>241</v>
      </c>
      <c r="E95" s="150" t="s">
        <v>7297</v>
      </c>
      <c r="F95" s="150" t="s">
        <v>144</v>
      </c>
      <c r="G95" s="150" t="s">
        <v>154</v>
      </c>
      <c r="H95" s="150" t="s">
        <v>652</v>
      </c>
      <c r="I95" s="150" t="s">
        <v>7190</v>
      </c>
      <c r="M95" t="s">
        <v>7294</v>
      </c>
      <c r="N95" t="s">
        <v>7816</v>
      </c>
      <c r="O95" t="s">
        <v>8055</v>
      </c>
    </row>
    <row r="96" spans="1:15">
      <c r="A96" s="150" t="s">
        <v>7188</v>
      </c>
      <c r="B96" s="150" t="e">
        <v>#VALUE!</v>
      </c>
      <c r="C96" s="150" t="s">
        <v>7180</v>
      </c>
      <c r="D96" s="150">
        <v>241</v>
      </c>
      <c r="E96" s="150" t="s">
        <v>7298</v>
      </c>
      <c r="F96" s="150" t="s">
        <v>144</v>
      </c>
      <c r="G96" s="150" t="s">
        <v>154</v>
      </c>
      <c r="H96" s="150" t="s">
        <v>652</v>
      </c>
      <c r="I96" s="150" t="s">
        <v>7190</v>
      </c>
      <c r="M96" t="s">
        <v>7294</v>
      </c>
      <c r="N96" t="s">
        <v>7817</v>
      </c>
      <c r="O96" t="s">
        <v>8056</v>
      </c>
    </row>
    <row r="97" spans="1:15">
      <c r="A97" s="150" t="s">
        <v>7178</v>
      </c>
      <c r="B97" s="150" t="s">
        <v>7179</v>
      </c>
      <c r="C97" s="150" t="s">
        <v>7180</v>
      </c>
      <c r="D97" s="150">
        <v>242</v>
      </c>
      <c r="E97" s="150" t="s">
        <v>7299</v>
      </c>
      <c r="F97" s="150" t="s">
        <v>141</v>
      </c>
      <c r="G97" s="150" t="s">
        <v>222</v>
      </c>
      <c r="H97" s="150" t="s">
        <v>416</v>
      </c>
      <c r="I97" s="150" t="s">
        <v>7182</v>
      </c>
      <c r="M97" t="s">
        <v>7300</v>
      </c>
      <c r="N97" t="s">
        <v>7818</v>
      </c>
      <c r="O97" t="s">
        <v>8057</v>
      </c>
    </row>
    <row r="98" spans="1:15">
      <c r="A98" s="150" t="s">
        <v>7184</v>
      </c>
      <c r="B98" s="150" t="s">
        <v>7185</v>
      </c>
      <c r="C98" s="150" t="s">
        <v>7180</v>
      </c>
      <c r="D98" s="150">
        <v>242</v>
      </c>
      <c r="E98" s="150" t="s">
        <v>7301</v>
      </c>
      <c r="F98" s="150" t="s">
        <v>141</v>
      </c>
      <c r="G98" s="150" t="s">
        <v>222</v>
      </c>
      <c r="H98" s="150" t="s">
        <v>416</v>
      </c>
      <c r="I98" s="150" t="s">
        <v>7187</v>
      </c>
      <c r="M98" t="s">
        <v>7300</v>
      </c>
      <c r="N98" t="s">
        <v>7819</v>
      </c>
      <c r="O98" t="s">
        <v>8058</v>
      </c>
    </row>
    <row r="99" spans="1:15">
      <c r="A99" s="150" t="s">
        <v>7188</v>
      </c>
      <c r="B99" s="150" t="e">
        <v>#N/A</v>
      </c>
      <c r="C99" s="150" t="s">
        <v>7180</v>
      </c>
      <c r="D99" s="150">
        <v>242</v>
      </c>
      <c r="E99" s="150" t="s">
        <v>7302</v>
      </c>
      <c r="F99" s="150" t="s">
        <v>141</v>
      </c>
      <c r="G99" s="150" t="s">
        <v>222</v>
      </c>
      <c r="H99" s="150" t="s">
        <v>416</v>
      </c>
      <c r="I99" s="150" t="s">
        <v>7190</v>
      </c>
      <c r="M99" t="s">
        <v>7300</v>
      </c>
      <c r="N99" t="s">
        <v>7820</v>
      </c>
      <c r="O99" t="s">
        <v>8059</v>
      </c>
    </row>
    <row r="100" spans="1:15">
      <c r="A100" s="150" t="s">
        <v>7188</v>
      </c>
      <c r="B100" s="150" t="e">
        <v>#VALUE!</v>
      </c>
      <c r="C100" s="150" t="s">
        <v>7180</v>
      </c>
      <c r="D100" s="150">
        <v>242</v>
      </c>
      <c r="E100" s="150" t="s">
        <v>7303</v>
      </c>
      <c r="F100" s="150" t="s">
        <v>141</v>
      </c>
      <c r="G100" s="150" t="s">
        <v>222</v>
      </c>
      <c r="H100" s="150" t="s">
        <v>416</v>
      </c>
      <c r="I100" s="150" t="s">
        <v>7190</v>
      </c>
      <c r="M100" t="s">
        <v>7300</v>
      </c>
      <c r="N100" t="s">
        <v>7821</v>
      </c>
      <c r="O100" t="s">
        <v>8060</v>
      </c>
    </row>
    <row r="101" spans="1:15">
      <c r="A101" s="150" t="s">
        <v>7188</v>
      </c>
      <c r="B101" s="150" t="e">
        <v>#VALUE!</v>
      </c>
      <c r="C101" s="150" t="s">
        <v>7180</v>
      </c>
      <c r="D101" s="150">
        <v>242</v>
      </c>
      <c r="E101" s="150" t="s">
        <v>7304</v>
      </c>
      <c r="F101" s="150" t="s">
        <v>141</v>
      </c>
      <c r="G101" s="150" t="s">
        <v>222</v>
      </c>
      <c r="H101" s="150" t="s">
        <v>416</v>
      </c>
      <c r="I101" s="150" t="s">
        <v>7190</v>
      </c>
      <c r="M101" t="s">
        <v>7300</v>
      </c>
      <c r="N101" t="s">
        <v>7822</v>
      </c>
      <c r="O101" t="s">
        <v>8061</v>
      </c>
    </row>
    <row r="102" spans="1:15">
      <c r="A102" s="150" t="s">
        <v>7178</v>
      </c>
      <c r="B102" s="150" t="s">
        <v>7179</v>
      </c>
      <c r="C102" s="150" t="s">
        <v>7180</v>
      </c>
      <c r="D102" s="150">
        <v>243</v>
      </c>
      <c r="E102" s="150" t="s">
        <v>7305</v>
      </c>
      <c r="F102" s="150" t="s">
        <v>141</v>
      </c>
      <c r="G102" s="150" t="s">
        <v>222</v>
      </c>
      <c r="H102" s="150" t="s">
        <v>417</v>
      </c>
      <c r="I102" s="150" t="s">
        <v>7182</v>
      </c>
      <c r="M102" t="s">
        <v>7306</v>
      </c>
      <c r="N102" t="s">
        <v>7823</v>
      </c>
      <c r="O102" t="s">
        <v>8062</v>
      </c>
    </row>
    <row r="103" spans="1:15">
      <c r="A103" s="150" t="s">
        <v>7184</v>
      </c>
      <c r="B103" s="150" t="s">
        <v>7185</v>
      </c>
      <c r="C103" s="150" t="s">
        <v>7180</v>
      </c>
      <c r="D103" s="150">
        <v>243</v>
      </c>
      <c r="E103" s="150" t="s">
        <v>7307</v>
      </c>
      <c r="F103" s="150" t="s">
        <v>141</v>
      </c>
      <c r="G103" s="150" t="s">
        <v>222</v>
      </c>
      <c r="H103" s="150" t="s">
        <v>417</v>
      </c>
      <c r="I103" s="150" t="s">
        <v>7187</v>
      </c>
      <c r="M103" t="s">
        <v>7306</v>
      </c>
      <c r="N103" t="s">
        <v>7824</v>
      </c>
      <c r="O103" t="s">
        <v>8063</v>
      </c>
    </row>
    <row r="104" spans="1:15">
      <c r="A104" s="150" t="s">
        <v>7188</v>
      </c>
      <c r="B104" s="150" t="e">
        <v>#N/A</v>
      </c>
      <c r="C104" s="150" t="s">
        <v>7180</v>
      </c>
      <c r="D104" s="150">
        <v>243</v>
      </c>
      <c r="E104" s="150" t="s">
        <v>7308</v>
      </c>
      <c r="F104" s="150" t="s">
        <v>141</v>
      </c>
      <c r="G104" s="150" t="s">
        <v>222</v>
      </c>
      <c r="H104" s="150" t="s">
        <v>417</v>
      </c>
      <c r="I104" s="150" t="s">
        <v>7190</v>
      </c>
      <c r="M104" t="s">
        <v>7306</v>
      </c>
      <c r="N104" t="s">
        <v>7825</v>
      </c>
      <c r="O104" t="s">
        <v>8064</v>
      </c>
    </row>
    <row r="105" spans="1:15">
      <c r="A105" s="150" t="s">
        <v>7188</v>
      </c>
      <c r="B105" s="150" t="e">
        <v>#VALUE!</v>
      </c>
      <c r="C105" s="150" t="s">
        <v>7180</v>
      </c>
      <c r="D105" s="150">
        <v>243</v>
      </c>
      <c r="E105" s="150" t="s">
        <v>7309</v>
      </c>
      <c r="F105" s="150" t="s">
        <v>141</v>
      </c>
      <c r="G105" s="150" t="s">
        <v>222</v>
      </c>
      <c r="H105" s="150" t="s">
        <v>417</v>
      </c>
      <c r="I105" s="150" t="s">
        <v>7190</v>
      </c>
      <c r="M105" t="s">
        <v>7306</v>
      </c>
      <c r="N105" t="s">
        <v>7826</v>
      </c>
      <c r="O105" t="s">
        <v>8065</v>
      </c>
    </row>
    <row r="106" spans="1:15">
      <c r="A106" s="150" t="s">
        <v>7188</v>
      </c>
      <c r="B106" s="150" t="e">
        <v>#VALUE!</v>
      </c>
      <c r="C106" s="150" t="s">
        <v>7180</v>
      </c>
      <c r="D106" s="150">
        <v>243</v>
      </c>
      <c r="E106" s="150" t="s">
        <v>7310</v>
      </c>
      <c r="F106" s="150" t="s">
        <v>141</v>
      </c>
      <c r="G106" s="150" t="s">
        <v>222</v>
      </c>
      <c r="H106" s="150" t="s">
        <v>417</v>
      </c>
      <c r="I106" s="150" t="s">
        <v>7190</v>
      </c>
      <c r="M106" t="s">
        <v>7306</v>
      </c>
      <c r="N106" t="s">
        <v>7827</v>
      </c>
      <c r="O106" t="s">
        <v>8066</v>
      </c>
    </row>
    <row r="107" spans="1:15">
      <c r="A107" s="150" t="s">
        <v>7178</v>
      </c>
      <c r="B107" s="150" t="s">
        <v>7179</v>
      </c>
      <c r="C107" s="150" t="s">
        <v>7180</v>
      </c>
      <c r="D107" s="150">
        <v>244</v>
      </c>
      <c r="E107" s="150" t="s">
        <v>7311</v>
      </c>
      <c r="F107" s="150" t="s">
        <v>141</v>
      </c>
      <c r="G107" s="150" t="s">
        <v>222</v>
      </c>
      <c r="H107" s="150" t="s">
        <v>414</v>
      </c>
      <c r="I107" s="150" t="s">
        <v>7182</v>
      </c>
      <c r="M107" t="s">
        <v>7312</v>
      </c>
      <c r="N107" t="s">
        <v>7828</v>
      </c>
      <c r="O107" t="s">
        <v>8067</v>
      </c>
    </row>
    <row r="108" spans="1:15">
      <c r="A108" s="150" t="s">
        <v>7184</v>
      </c>
      <c r="B108" s="150" t="s">
        <v>7185</v>
      </c>
      <c r="C108" s="150" t="s">
        <v>7180</v>
      </c>
      <c r="D108" s="150">
        <v>244</v>
      </c>
      <c r="E108" s="150" t="s">
        <v>7313</v>
      </c>
      <c r="F108" s="150" t="s">
        <v>141</v>
      </c>
      <c r="G108" s="150" t="s">
        <v>222</v>
      </c>
      <c r="H108" s="150" t="s">
        <v>414</v>
      </c>
      <c r="I108" s="150" t="s">
        <v>7187</v>
      </c>
      <c r="M108" t="s">
        <v>7312</v>
      </c>
      <c r="N108" t="s">
        <v>7829</v>
      </c>
      <c r="O108" t="s">
        <v>8068</v>
      </c>
    </row>
    <row r="109" spans="1:15">
      <c r="A109" s="150" t="s">
        <v>7188</v>
      </c>
      <c r="B109" s="150" t="e">
        <v>#N/A</v>
      </c>
      <c r="C109" s="150" t="s">
        <v>7180</v>
      </c>
      <c r="D109" s="150">
        <v>244</v>
      </c>
      <c r="E109" s="150" t="s">
        <v>7314</v>
      </c>
      <c r="F109" s="150" t="s">
        <v>141</v>
      </c>
      <c r="G109" s="150" t="s">
        <v>222</v>
      </c>
      <c r="H109" s="150" t="s">
        <v>414</v>
      </c>
      <c r="I109" s="150" t="s">
        <v>7190</v>
      </c>
      <c r="M109" t="s">
        <v>7312</v>
      </c>
      <c r="N109" t="s">
        <v>7830</v>
      </c>
      <c r="O109" t="s">
        <v>8069</v>
      </c>
    </row>
    <row r="110" spans="1:15">
      <c r="A110" s="150" t="s">
        <v>7188</v>
      </c>
      <c r="B110" s="150" t="e">
        <v>#VALUE!</v>
      </c>
      <c r="C110" s="150" t="s">
        <v>7180</v>
      </c>
      <c r="D110" s="150">
        <v>244</v>
      </c>
      <c r="E110" s="150" t="s">
        <v>7315</v>
      </c>
      <c r="F110" s="150" t="s">
        <v>141</v>
      </c>
      <c r="G110" s="150" t="s">
        <v>222</v>
      </c>
      <c r="H110" s="150" t="s">
        <v>414</v>
      </c>
      <c r="I110" s="150" t="s">
        <v>7190</v>
      </c>
      <c r="M110" t="s">
        <v>7312</v>
      </c>
      <c r="N110" t="s">
        <v>7831</v>
      </c>
      <c r="O110" t="s">
        <v>8070</v>
      </c>
    </row>
    <row r="111" spans="1:15">
      <c r="A111" s="150" t="s">
        <v>7188</v>
      </c>
      <c r="B111" s="150" t="e">
        <v>#VALUE!</v>
      </c>
      <c r="C111" s="150" t="s">
        <v>7180</v>
      </c>
      <c r="D111" s="150">
        <v>244</v>
      </c>
      <c r="E111" s="150" t="s">
        <v>7316</v>
      </c>
      <c r="F111" s="150" t="s">
        <v>141</v>
      </c>
      <c r="G111" s="150" t="s">
        <v>222</v>
      </c>
      <c r="H111" s="150" t="s">
        <v>414</v>
      </c>
      <c r="I111" s="150" t="s">
        <v>7190</v>
      </c>
      <c r="M111" t="s">
        <v>7312</v>
      </c>
      <c r="N111" t="s">
        <v>7832</v>
      </c>
      <c r="O111" t="s">
        <v>8071</v>
      </c>
    </row>
    <row r="112" spans="1:15">
      <c r="A112" s="150" t="s">
        <v>7178</v>
      </c>
      <c r="B112" s="150" t="s">
        <v>7179</v>
      </c>
      <c r="C112" s="150" t="s">
        <v>7180</v>
      </c>
      <c r="D112" s="150">
        <v>245</v>
      </c>
      <c r="E112" s="150" t="s">
        <v>7317</v>
      </c>
      <c r="F112" s="150" t="s">
        <v>141</v>
      </c>
      <c r="G112" s="150" t="s">
        <v>222</v>
      </c>
      <c r="H112" s="150" t="s">
        <v>553</v>
      </c>
      <c r="I112" s="150" t="s">
        <v>7182</v>
      </c>
      <c r="M112" t="s">
        <v>7318</v>
      </c>
      <c r="N112" t="s">
        <v>7833</v>
      </c>
      <c r="O112" t="s">
        <v>8072</v>
      </c>
    </row>
    <row r="113" spans="1:15">
      <c r="A113" s="150" t="s">
        <v>7184</v>
      </c>
      <c r="B113" s="150" t="s">
        <v>7185</v>
      </c>
      <c r="C113" s="150" t="s">
        <v>7180</v>
      </c>
      <c r="D113" s="150">
        <v>245</v>
      </c>
      <c r="E113" s="150" t="s">
        <v>7319</v>
      </c>
      <c r="F113" s="150" t="s">
        <v>141</v>
      </c>
      <c r="G113" s="150" t="s">
        <v>222</v>
      </c>
      <c r="H113" s="150" t="s">
        <v>553</v>
      </c>
      <c r="I113" s="150" t="s">
        <v>7187</v>
      </c>
      <c r="M113" t="s">
        <v>7318</v>
      </c>
      <c r="N113" t="s">
        <v>7834</v>
      </c>
      <c r="O113" t="s">
        <v>8073</v>
      </c>
    </row>
    <row r="114" spans="1:15">
      <c r="A114" s="150" t="s">
        <v>7188</v>
      </c>
      <c r="B114" s="150" t="e">
        <v>#N/A</v>
      </c>
      <c r="C114" s="150" t="s">
        <v>7180</v>
      </c>
      <c r="D114" s="150">
        <v>245</v>
      </c>
      <c r="E114" s="150" t="s">
        <v>7320</v>
      </c>
      <c r="F114" s="150" t="s">
        <v>141</v>
      </c>
      <c r="G114" s="150" t="s">
        <v>222</v>
      </c>
      <c r="H114" s="150" t="s">
        <v>553</v>
      </c>
      <c r="I114" s="150" t="s">
        <v>7190</v>
      </c>
      <c r="M114" t="s">
        <v>7318</v>
      </c>
      <c r="N114" t="s">
        <v>7835</v>
      </c>
      <c r="O114" t="s">
        <v>8074</v>
      </c>
    </row>
    <row r="115" spans="1:15">
      <c r="A115" s="150" t="s">
        <v>7188</v>
      </c>
      <c r="B115" s="150" t="e">
        <v>#VALUE!</v>
      </c>
      <c r="C115" s="150" t="s">
        <v>7180</v>
      </c>
      <c r="D115" s="150">
        <v>245</v>
      </c>
      <c r="E115" s="150" t="s">
        <v>7321</v>
      </c>
      <c r="F115" s="150" t="s">
        <v>141</v>
      </c>
      <c r="G115" s="150" t="s">
        <v>222</v>
      </c>
      <c r="H115" s="150" t="s">
        <v>553</v>
      </c>
      <c r="I115" s="150" t="s">
        <v>7190</v>
      </c>
      <c r="M115" t="s">
        <v>7318</v>
      </c>
      <c r="N115" t="s">
        <v>7836</v>
      </c>
      <c r="O115" t="s">
        <v>8075</v>
      </c>
    </row>
    <row r="116" spans="1:15">
      <c r="A116" s="150" t="s">
        <v>7188</v>
      </c>
      <c r="B116" s="150" t="e">
        <v>#VALUE!</v>
      </c>
      <c r="C116" s="150" t="s">
        <v>7180</v>
      </c>
      <c r="D116" s="150">
        <v>245</v>
      </c>
      <c r="E116" s="150" t="s">
        <v>7322</v>
      </c>
      <c r="F116" s="150" t="s">
        <v>141</v>
      </c>
      <c r="G116" s="150" t="s">
        <v>222</v>
      </c>
      <c r="H116" s="150" t="s">
        <v>553</v>
      </c>
      <c r="I116" s="150" t="s">
        <v>7190</v>
      </c>
      <c r="M116" t="s">
        <v>7318</v>
      </c>
      <c r="N116" t="s">
        <v>7837</v>
      </c>
      <c r="O116" t="s">
        <v>8076</v>
      </c>
    </row>
    <row r="117" spans="1:15">
      <c r="A117" s="150" t="s">
        <v>7178</v>
      </c>
      <c r="B117" s="150" t="s">
        <v>7179</v>
      </c>
      <c r="C117" s="150" t="s">
        <v>7180</v>
      </c>
      <c r="D117" s="150">
        <v>246</v>
      </c>
      <c r="E117" s="150" t="s">
        <v>7323</v>
      </c>
      <c r="F117" s="150" t="s">
        <v>141</v>
      </c>
      <c r="G117" s="150" t="s">
        <v>222</v>
      </c>
      <c r="H117" s="150" t="s">
        <v>440</v>
      </c>
      <c r="I117" s="150" t="s">
        <v>7182</v>
      </c>
      <c r="M117" t="s">
        <v>7324</v>
      </c>
      <c r="N117" t="s">
        <v>7838</v>
      </c>
      <c r="O117" t="s">
        <v>8077</v>
      </c>
    </row>
    <row r="118" spans="1:15">
      <c r="A118" s="150" t="s">
        <v>7184</v>
      </c>
      <c r="B118" s="150" t="s">
        <v>7185</v>
      </c>
      <c r="C118" s="150" t="s">
        <v>7180</v>
      </c>
      <c r="D118" s="150">
        <v>246</v>
      </c>
      <c r="E118" s="150" t="s">
        <v>7325</v>
      </c>
      <c r="F118" s="150" t="s">
        <v>141</v>
      </c>
      <c r="G118" s="150" t="s">
        <v>222</v>
      </c>
      <c r="H118" s="150" t="s">
        <v>440</v>
      </c>
      <c r="I118" s="150" t="s">
        <v>7187</v>
      </c>
      <c r="M118" t="s">
        <v>7324</v>
      </c>
      <c r="N118" t="s">
        <v>7839</v>
      </c>
      <c r="O118" t="s">
        <v>8078</v>
      </c>
    </row>
    <row r="119" spans="1:15">
      <c r="A119" s="150" t="s">
        <v>7188</v>
      </c>
      <c r="B119" s="150" t="e">
        <v>#N/A</v>
      </c>
      <c r="C119" s="150" t="s">
        <v>7180</v>
      </c>
      <c r="D119" s="150">
        <v>246</v>
      </c>
      <c r="E119" s="150" t="s">
        <v>7326</v>
      </c>
      <c r="F119" s="150" t="s">
        <v>141</v>
      </c>
      <c r="G119" s="150" t="s">
        <v>222</v>
      </c>
      <c r="H119" s="150" t="s">
        <v>440</v>
      </c>
      <c r="I119" s="150" t="s">
        <v>7190</v>
      </c>
      <c r="M119" t="s">
        <v>7324</v>
      </c>
      <c r="N119" t="s">
        <v>7840</v>
      </c>
      <c r="O119" t="s">
        <v>8079</v>
      </c>
    </row>
    <row r="120" spans="1:15">
      <c r="A120" s="150" t="s">
        <v>7188</v>
      </c>
      <c r="B120" s="150" t="e">
        <v>#VALUE!</v>
      </c>
      <c r="C120" s="150" t="s">
        <v>7180</v>
      </c>
      <c r="D120" s="150">
        <v>246</v>
      </c>
      <c r="E120" s="150" t="s">
        <v>7327</v>
      </c>
      <c r="F120" s="150" t="s">
        <v>141</v>
      </c>
      <c r="G120" s="150" t="s">
        <v>222</v>
      </c>
      <c r="H120" s="150" t="s">
        <v>440</v>
      </c>
      <c r="I120" s="150" t="s">
        <v>7190</v>
      </c>
      <c r="M120" t="s">
        <v>7324</v>
      </c>
      <c r="N120" t="s">
        <v>7841</v>
      </c>
      <c r="O120" t="s">
        <v>8080</v>
      </c>
    </row>
    <row r="121" spans="1:15">
      <c r="A121" s="150" t="s">
        <v>7188</v>
      </c>
      <c r="B121" s="150" t="e">
        <v>#VALUE!</v>
      </c>
      <c r="C121" s="150" t="s">
        <v>7180</v>
      </c>
      <c r="D121" s="150">
        <v>246</v>
      </c>
      <c r="E121" s="150" t="s">
        <v>7328</v>
      </c>
      <c r="F121" s="150" t="s">
        <v>141</v>
      </c>
      <c r="G121" s="150" t="s">
        <v>222</v>
      </c>
      <c r="H121" s="150" t="s">
        <v>440</v>
      </c>
      <c r="I121" s="150" t="s">
        <v>7190</v>
      </c>
      <c r="M121" t="s">
        <v>7324</v>
      </c>
      <c r="N121" t="s">
        <v>7842</v>
      </c>
      <c r="O121" t="s">
        <v>8081</v>
      </c>
    </row>
    <row r="122" spans="1:15">
      <c r="A122" s="150" t="s">
        <v>7178</v>
      </c>
      <c r="B122" s="150" t="s">
        <v>7179</v>
      </c>
      <c r="C122" s="150" t="s">
        <v>7180</v>
      </c>
      <c r="D122" s="150">
        <v>247</v>
      </c>
      <c r="E122" s="150" t="s">
        <v>7329</v>
      </c>
      <c r="F122" s="150" t="s">
        <v>144</v>
      </c>
      <c r="G122" s="150" t="s">
        <v>154</v>
      </c>
      <c r="H122" s="150" t="s">
        <v>450</v>
      </c>
      <c r="I122" s="150" t="s">
        <v>7182</v>
      </c>
      <c r="M122" t="s">
        <v>7330</v>
      </c>
      <c r="N122" t="s">
        <v>7843</v>
      </c>
      <c r="O122" t="s">
        <v>8082</v>
      </c>
    </row>
    <row r="123" spans="1:15">
      <c r="A123" s="150" t="s">
        <v>7188</v>
      </c>
      <c r="B123" s="150" t="e">
        <v>#N/A</v>
      </c>
      <c r="C123" s="150" t="s">
        <v>7180</v>
      </c>
      <c r="D123" s="150">
        <v>247</v>
      </c>
      <c r="E123" s="150" t="s">
        <v>7331</v>
      </c>
      <c r="F123" s="150" t="s">
        <v>144</v>
      </c>
      <c r="G123" s="150" t="s">
        <v>154</v>
      </c>
      <c r="H123" s="150" t="s">
        <v>450</v>
      </c>
      <c r="I123" s="150" t="s">
        <v>7190</v>
      </c>
      <c r="M123" t="s">
        <v>7330</v>
      </c>
      <c r="N123" t="s">
        <v>7844</v>
      </c>
      <c r="O123" t="s">
        <v>8083</v>
      </c>
    </row>
    <row r="124" spans="1:15">
      <c r="A124" s="150" t="s">
        <v>7188</v>
      </c>
      <c r="B124" s="150" t="e">
        <v>#VALUE!</v>
      </c>
      <c r="C124" s="150" t="s">
        <v>7180</v>
      </c>
      <c r="D124" s="150">
        <v>247</v>
      </c>
      <c r="E124" s="150" t="s">
        <v>7332</v>
      </c>
      <c r="F124" s="150" t="s">
        <v>144</v>
      </c>
      <c r="G124" s="150" t="s">
        <v>154</v>
      </c>
      <c r="H124" s="150" t="s">
        <v>450</v>
      </c>
      <c r="I124" s="150" t="s">
        <v>7190</v>
      </c>
      <c r="M124" t="s">
        <v>7330</v>
      </c>
      <c r="N124" t="s">
        <v>7845</v>
      </c>
      <c r="O124" t="s">
        <v>8084</v>
      </c>
    </row>
    <row r="125" spans="1:15">
      <c r="A125" s="150" t="s">
        <v>7188</v>
      </c>
      <c r="B125" s="150" t="e">
        <v>#VALUE!</v>
      </c>
      <c r="C125" s="150" t="s">
        <v>7180</v>
      </c>
      <c r="D125" s="150">
        <v>247</v>
      </c>
      <c r="E125" s="150" t="s">
        <v>7333</v>
      </c>
      <c r="F125" s="150" t="s">
        <v>144</v>
      </c>
      <c r="G125" s="150" t="s">
        <v>154</v>
      </c>
      <c r="H125" s="150" t="s">
        <v>450</v>
      </c>
      <c r="I125" s="150" t="s">
        <v>7190</v>
      </c>
      <c r="M125" t="s">
        <v>7330</v>
      </c>
      <c r="N125" t="s">
        <v>7846</v>
      </c>
      <c r="O125" t="s">
        <v>8085</v>
      </c>
    </row>
    <row r="126" spans="1:15">
      <c r="A126" s="150" t="s">
        <v>7178</v>
      </c>
      <c r="B126" s="150" t="s">
        <v>7179</v>
      </c>
      <c r="C126" s="150" t="s">
        <v>7180</v>
      </c>
      <c r="D126" s="150">
        <v>248</v>
      </c>
      <c r="E126" s="150" t="s">
        <v>7334</v>
      </c>
      <c r="F126" s="150" t="s">
        <v>138</v>
      </c>
      <c r="G126" s="150" t="s">
        <v>175</v>
      </c>
      <c r="H126" s="150" t="s">
        <v>653</v>
      </c>
      <c r="I126" s="150" t="s">
        <v>7182</v>
      </c>
      <c r="M126" t="s">
        <v>7335</v>
      </c>
      <c r="N126" t="s">
        <v>7847</v>
      </c>
      <c r="O126" t="s">
        <v>8086</v>
      </c>
    </row>
    <row r="127" spans="1:15">
      <c r="A127" s="150" t="s">
        <v>7184</v>
      </c>
      <c r="B127" s="150" t="s">
        <v>7185</v>
      </c>
      <c r="C127" s="150" t="s">
        <v>7180</v>
      </c>
      <c r="D127" s="150">
        <v>248</v>
      </c>
      <c r="E127" s="150" t="s">
        <v>7336</v>
      </c>
      <c r="F127" s="150" t="s">
        <v>138</v>
      </c>
      <c r="G127" s="150" t="s">
        <v>175</v>
      </c>
      <c r="H127" s="150" t="s">
        <v>653</v>
      </c>
      <c r="I127" s="150" t="s">
        <v>7187</v>
      </c>
      <c r="M127" t="s">
        <v>7335</v>
      </c>
      <c r="N127" t="s">
        <v>7848</v>
      </c>
      <c r="O127" t="s">
        <v>8087</v>
      </c>
    </row>
    <row r="128" spans="1:15">
      <c r="A128" s="150" t="s">
        <v>7188</v>
      </c>
      <c r="B128" s="150" t="e">
        <v>#N/A</v>
      </c>
      <c r="C128" s="150" t="s">
        <v>7180</v>
      </c>
      <c r="D128" s="150">
        <v>248</v>
      </c>
      <c r="E128" s="150" t="s">
        <v>7337</v>
      </c>
      <c r="F128" s="150" t="s">
        <v>138</v>
      </c>
      <c r="G128" s="150" t="s">
        <v>175</v>
      </c>
      <c r="H128" s="150" t="s">
        <v>653</v>
      </c>
      <c r="I128" s="150" t="s">
        <v>7190</v>
      </c>
      <c r="M128" t="s">
        <v>7335</v>
      </c>
      <c r="N128" t="s">
        <v>7849</v>
      </c>
      <c r="O128" t="s">
        <v>8088</v>
      </c>
    </row>
    <row r="129" spans="1:15">
      <c r="A129" s="150" t="s">
        <v>7188</v>
      </c>
      <c r="B129" s="150" t="e">
        <v>#VALUE!</v>
      </c>
      <c r="C129" s="150" t="s">
        <v>7180</v>
      </c>
      <c r="D129" s="150">
        <v>248</v>
      </c>
      <c r="E129" s="150" t="s">
        <v>7338</v>
      </c>
      <c r="F129" s="150" t="s">
        <v>138</v>
      </c>
      <c r="G129" s="150" t="s">
        <v>175</v>
      </c>
      <c r="H129" s="150" t="s">
        <v>653</v>
      </c>
      <c r="I129" s="150" t="s">
        <v>7190</v>
      </c>
      <c r="M129" t="s">
        <v>7335</v>
      </c>
      <c r="N129" t="s">
        <v>7850</v>
      </c>
      <c r="O129" t="s">
        <v>8089</v>
      </c>
    </row>
    <row r="130" spans="1:15">
      <c r="A130" s="150" t="s">
        <v>7188</v>
      </c>
      <c r="B130" s="150" t="e">
        <v>#VALUE!</v>
      </c>
      <c r="C130" s="150" t="s">
        <v>7180</v>
      </c>
      <c r="D130" s="150">
        <v>248</v>
      </c>
      <c r="E130" s="150" t="s">
        <v>7339</v>
      </c>
      <c r="F130" s="150" t="s">
        <v>138</v>
      </c>
      <c r="G130" s="150" t="s">
        <v>175</v>
      </c>
      <c r="H130" s="150" t="s">
        <v>653</v>
      </c>
      <c r="I130" s="150" t="s">
        <v>7190</v>
      </c>
      <c r="M130" t="s">
        <v>7335</v>
      </c>
      <c r="N130" t="s">
        <v>7851</v>
      </c>
      <c r="O130" t="s">
        <v>8090</v>
      </c>
    </row>
    <row r="131" spans="1:15">
      <c r="A131" s="150" t="s">
        <v>7178</v>
      </c>
      <c r="B131" s="150" t="s">
        <v>7179</v>
      </c>
      <c r="C131" s="150" t="s">
        <v>7180</v>
      </c>
      <c r="D131" s="150">
        <v>249</v>
      </c>
      <c r="E131" s="150" t="s">
        <v>7340</v>
      </c>
      <c r="F131" s="150" t="s">
        <v>138</v>
      </c>
      <c r="G131" s="150" t="s">
        <v>175</v>
      </c>
      <c r="H131" s="150" t="s">
        <v>440</v>
      </c>
      <c r="I131" s="150" t="s">
        <v>7182</v>
      </c>
      <c r="M131" t="s">
        <v>7341</v>
      </c>
      <c r="N131" t="s">
        <v>7852</v>
      </c>
      <c r="O131" t="s">
        <v>8091</v>
      </c>
    </row>
    <row r="132" spans="1:15">
      <c r="A132" s="150" t="s">
        <v>7184</v>
      </c>
      <c r="B132" s="150" t="s">
        <v>7185</v>
      </c>
      <c r="C132" s="150" t="s">
        <v>7180</v>
      </c>
      <c r="D132" s="150">
        <v>249</v>
      </c>
      <c r="E132" s="150" t="s">
        <v>7342</v>
      </c>
      <c r="F132" s="150" t="s">
        <v>138</v>
      </c>
      <c r="G132" s="150" t="s">
        <v>175</v>
      </c>
      <c r="H132" s="150" t="s">
        <v>440</v>
      </c>
      <c r="I132" s="150" t="s">
        <v>7187</v>
      </c>
      <c r="M132" t="s">
        <v>7341</v>
      </c>
      <c r="N132" t="s">
        <v>7853</v>
      </c>
      <c r="O132" t="s">
        <v>8092</v>
      </c>
    </row>
    <row r="133" spans="1:15">
      <c r="A133" s="150" t="s">
        <v>7188</v>
      </c>
      <c r="B133" s="150" t="e">
        <v>#N/A</v>
      </c>
      <c r="C133" s="150" t="s">
        <v>7180</v>
      </c>
      <c r="D133" s="150">
        <v>249</v>
      </c>
      <c r="E133" s="150" t="s">
        <v>7343</v>
      </c>
      <c r="F133" s="150" t="s">
        <v>138</v>
      </c>
      <c r="G133" s="150" t="s">
        <v>175</v>
      </c>
      <c r="H133" s="150" t="s">
        <v>440</v>
      </c>
      <c r="I133" s="150" t="s">
        <v>7190</v>
      </c>
      <c r="M133" t="s">
        <v>7341</v>
      </c>
      <c r="N133" t="s">
        <v>7854</v>
      </c>
      <c r="O133" t="s">
        <v>8093</v>
      </c>
    </row>
    <row r="134" spans="1:15">
      <c r="A134" s="150" t="s">
        <v>7188</v>
      </c>
      <c r="B134" s="150" t="e">
        <v>#VALUE!</v>
      </c>
      <c r="C134" s="150" t="s">
        <v>7180</v>
      </c>
      <c r="D134" s="150">
        <v>249</v>
      </c>
      <c r="E134" s="150" t="s">
        <v>7344</v>
      </c>
      <c r="F134" s="150" t="s">
        <v>138</v>
      </c>
      <c r="G134" s="150" t="s">
        <v>175</v>
      </c>
      <c r="H134" s="150" t="s">
        <v>440</v>
      </c>
      <c r="I134" s="150" t="s">
        <v>7190</v>
      </c>
      <c r="M134" t="s">
        <v>7341</v>
      </c>
      <c r="N134" t="s">
        <v>7855</v>
      </c>
      <c r="O134" t="s">
        <v>8094</v>
      </c>
    </row>
    <row r="135" spans="1:15">
      <c r="A135" s="150" t="s">
        <v>7188</v>
      </c>
      <c r="B135" s="150" t="e">
        <v>#VALUE!</v>
      </c>
      <c r="C135" s="150" t="s">
        <v>7180</v>
      </c>
      <c r="D135" s="150">
        <v>249</v>
      </c>
      <c r="E135" s="150" t="s">
        <v>7345</v>
      </c>
      <c r="F135" s="150" t="s">
        <v>138</v>
      </c>
      <c r="G135" s="150" t="s">
        <v>175</v>
      </c>
      <c r="H135" s="150" t="s">
        <v>440</v>
      </c>
      <c r="I135" s="150" t="s">
        <v>7190</v>
      </c>
      <c r="M135" t="s">
        <v>7341</v>
      </c>
      <c r="N135" t="s">
        <v>7856</v>
      </c>
      <c r="O135" t="s">
        <v>8095</v>
      </c>
    </row>
    <row r="136" spans="1:15">
      <c r="A136" s="150" t="s">
        <v>7178</v>
      </c>
      <c r="B136" s="150" t="s">
        <v>7179</v>
      </c>
      <c r="C136" s="150" t="s">
        <v>7180</v>
      </c>
      <c r="D136" s="150">
        <v>250</v>
      </c>
      <c r="E136" s="150" t="s">
        <v>7346</v>
      </c>
      <c r="F136" s="150" t="s">
        <v>138</v>
      </c>
      <c r="G136" s="150" t="s">
        <v>174</v>
      </c>
      <c r="H136" s="150" t="s">
        <v>653</v>
      </c>
      <c r="I136" s="150" t="s">
        <v>7182</v>
      </c>
      <c r="M136" t="s">
        <v>7347</v>
      </c>
      <c r="N136" t="s">
        <v>7857</v>
      </c>
      <c r="O136" t="s">
        <v>8096</v>
      </c>
    </row>
    <row r="137" spans="1:15">
      <c r="A137" s="150" t="s">
        <v>7184</v>
      </c>
      <c r="B137" s="150" t="s">
        <v>7185</v>
      </c>
      <c r="C137" s="150" t="s">
        <v>7180</v>
      </c>
      <c r="D137" s="150">
        <v>250</v>
      </c>
      <c r="E137" s="150" t="s">
        <v>7348</v>
      </c>
      <c r="F137" s="150" t="s">
        <v>138</v>
      </c>
      <c r="G137" s="150" t="s">
        <v>174</v>
      </c>
      <c r="H137" s="150" t="s">
        <v>653</v>
      </c>
      <c r="I137" s="150" t="s">
        <v>7187</v>
      </c>
      <c r="M137" t="s">
        <v>7347</v>
      </c>
      <c r="N137" t="s">
        <v>7858</v>
      </c>
      <c r="O137" t="s">
        <v>8097</v>
      </c>
    </row>
    <row r="138" spans="1:15">
      <c r="A138" s="150" t="s">
        <v>7188</v>
      </c>
      <c r="B138" s="150" t="e">
        <v>#N/A</v>
      </c>
      <c r="C138" s="150" t="s">
        <v>7180</v>
      </c>
      <c r="D138" s="150">
        <v>250</v>
      </c>
      <c r="E138" s="150" t="s">
        <v>7349</v>
      </c>
      <c r="F138" s="150" t="s">
        <v>138</v>
      </c>
      <c r="G138" s="150" t="s">
        <v>174</v>
      </c>
      <c r="H138" s="150" t="s">
        <v>653</v>
      </c>
      <c r="I138" s="150" t="s">
        <v>7190</v>
      </c>
      <c r="M138" t="s">
        <v>7347</v>
      </c>
      <c r="N138" t="s">
        <v>7859</v>
      </c>
      <c r="O138" t="s">
        <v>8098</v>
      </c>
    </row>
    <row r="139" spans="1:15">
      <c r="A139" s="150" t="s">
        <v>7188</v>
      </c>
      <c r="B139" s="150" t="e">
        <v>#VALUE!</v>
      </c>
      <c r="C139" s="150" t="s">
        <v>7180</v>
      </c>
      <c r="D139" s="150">
        <v>250</v>
      </c>
      <c r="E139" s="150" t="s">
        <v>7350</v>
      </c>
      <c r="F139" s="150" t="s">
        <v>138</v>
      </c>
      <c r="G139" s="150" t="s">
        <v>174</v>
      </c>
      <c r="H139" s="150" t="s">
        <v>653</v>
      </c>
      <c r="I139" s="150" t="s">
        <v>7190</v>
      </c>
      <c r="M139" t="s">
        <v>7347</v>
      </c>
      <c r="N139" t="s">
        <v>7860</v>
      </c>
      <c r="O139" t="s">
        <v>8099</v>
      </c>
    </row>
    <row r="140" spans="1:15">
      <c r="A140" s="150" t="s">
        <v>7188</v>
      </c>
      <c r="B140" s="150" t="e">
        <v>#VALUE!</v>
      </c>
      <c r="C140" s="150" t="s">
        <v>7180</v>
      </c>
      <c r="D140" s="150">
        <v>250</v>
      </c>
      <c r="E140" s="150" t="s">
        <v>7351</v>
      </c>
      <c r="F140" s="150" t="s">
        <v>138</v>
      </c>
      <c r="G140" s="150" t="s">
        <v>174</v>
      </c>
      <c r="H140" s="150" t="s">
        <v>653</v>
      </c>
      <c r="I140" s="150" t="s">
        <v>7190</v>
      </c>
      <c r="M140" t="s">
        <v>7347</v>
      </c>
      <c r="N140" t="s">
        <v>7861</v>
      </c>
      <c r="O140" t="s">
        <v>8100</v>
      </c>
    </row>
    <row r="141" spans="1:15">
      <c r="A141" s="150" t="s">
        <v>7178</v>
      </c>
      <c r="B141" s="150" t="s">
        <v>7179</v>
      </c>
      <c r="C141" s="150" t="s">
        <v>7180</v>
      </c>
      <c r="D141" s="150">
        <v>251</v>
      </c>
      <c r="E141" s="150" t="s">
        <v>7352</v>
      </c>
      <c r="F141" s="150" t="s">
        <v>138</v>
      </c>
      <c r="G141" s="150" t="s">
        <v>174</v>
      </c>
      <c r="H141" s="150" t="s">
        <v>655</v>
      </c>
      <c r="I141" s="150" t="s">
        <v>7182</v>
      </c>
      <c r="M141" t="s">
        <v>7353</v>
      </c>
      <c r="N141" t="s">
        <v>7862</v>
      </c>
      <c r="O141" t="s">
        <v>8101</v>
      </c>
    </row>
    <row r="142" spans="1:15">
      <c r="A142" s="150" t="s">
        <v>7184</v>
      </c>
      <c r="B142" s="150" t="s">
        <v>7185</v>
      </c>
      <c r="C142" s="150" t="s">
        <v>7180</v>
      </c>
      <c r="D142" s="150">
        <v>251</v>
      </c>
      <c r="E142" s="150" t="s">
        <v>7354</v>
      </c>
      <c r="F142" s="150" t="s">
        <v>138</v>
      </c>
      <c r="G142" s="150" t="s">
        <v>174</v>
      </c>
      <c r="H142" s="150" t="s">
        <v>655</v>
      </c>
      <c r="I142" s="150" t="s">
        <v>7187</v>
      </c>
      <c r="M142" t="s">
        <v>7353</v>
      </c>
      <c r="N142" t="s">
        <v>7863</v>
      </c>
      <c r="O142" t="s">
        <v>8102</v>
      </c>
    </row>
    <row r="143" spans="1:15">
      <c r="A143" s="150" t="s">
        <v>7188</v>
      </c>
      <c r="B143" s="150" t="e">
        <v>#N/A</v>
      </c>
      <c r="C143" s="150" t="s">
        <v>7180</v>
      </c>
      <c r="D143" s="150">
        <v>251</v>
      </c>
      <c r="E143" s="150" t="s">
        <v>7355</v>
      </c>
      <c r="F143" s="150" t="s">
        <v>138</v>
      </c>
      <c r="G143" s="150" t="s">
        <v>174</v>
      </c>
      <c r="H143" s="150" t="s">
        <v>655</v>
      </c>
      <c r="I143" s="150" t="s">
        <v>7190</v>
      </c>
      <c r="M143" t="s">
        <v>7353</v>
      </c>
      <c r="N143" t="s">
        <v>7864</v>
      </c>
      <c r="O143" t="s">
        <v>8103</v>
      </c>
    </row>
    <row r="144" spans="1:15">
      <c r="A144" s="150" t="s">
        <v>7188</v>
      </c>
      <c r="B144" s="150" t="e">
        <v>#VALUE!</v>
      </c>
      <c r="C144" s="150" t="s">
        <v>7180</v>
      </c>
      <c r="D144" s="150">
        <v>251</v>
      </c>
      <c r="E144" s="150" t="s">
        <v>7356</v>
      </c>
      <c r="F144" s="150" t="s">
        <v>138</v>
      </c>
      <c r="G144" s="150" t="s">
        <v>174</v>
      </c>
      <c r="H144" s="150" t="s">
        <v>655</v>
      </c>
      <c r="I144" s="150" t="s">
        <v>7190</v>
      </c>
      <c r="M144" t="s">
        <v>7353</v>
      </c>
      <c r="N144" t="s">
        <v>7865</v>
      </c>
      <c r="O144" t="s">
        <v>8104</v>
      </c>
    </row>
    <row r="145" spans="1:15">
      <c r="A145" s="150" t="s">
        <v>7188</v>
      </c>
      <c r="B145" s="150" t="e">
        <v>#VALUE!</v>
      </c>
      <c r="C145" s="150" t="s">
        <v>7180</v>
      </c>
      <c r="D145" s="150">
        <v>251</v>
      </c>
      <c r="E145" s="150" t="s">
        <v>7357</v>
      </c>
      <c r="F145" s="150" t="s">
        <v>138</v>
      </c>
      <c r="G145" s="150" t="s">
        <v>174</v>
      </c>
      <c r="H145" s="150" t="s">
        <v>655</v>
      </c>
      <c r="I145" s="150" t="s">
        <v>7190</v>
      </c>
      <c r="M145" t="s">
        <v>7353</v>
      </c>
      <c r="N145" t="s">
        <v>7866</v>
      </c>
      <c r="O145" t="s">
        <v>8105</v>
      </c>
    </row>
    <row r="146" spans="1:15">
      <c r="A146" s="150" t="s">
        <v>7178</v>
      </c>
      <c r="B146" s="150" t="s">
        <v>7179</v>
      </c>
      <c r="C146" s="150" t="s">
        <v>7180</v>
      </c>
      <c r="D146" s="150">
        <v>252</v>
      </c>
      <c r="E146" s="150" t="s">
        <v>7358</v>
      </c>
      <c r="F146" s="150" t="s">
        <v>138</v>
      </c>
      <c r="G146" s="150" t="s">
        <v>174</v>
      </c>
      <c r="H146" s="150" t="s">
        <v>440</v>
      </c>
      <c r="I146" s="150" t="s">
        <v>7182</v>
      </c>
      <c r="M146" t="s">
        <v>7359</v>
      </c>
      <c r="N146" t="s">
        <v>7867</v>
      </c>
      <c r="O146" t="s">
        <v>8106</v>
      </c>
    </row>
    <row r="147" spans="1:15">
      <c r="A147" s="150" t="s">
        <v>7184</v>
      </c>
      <c r="B147" s="150" t="s">
        <v>7185</v>
      </c>
      <c r="C147" s="150" t="s">
        <v>7180</v>
      </c>
      <c r="D147" s="150">
        <v>252</v>
      </c>
      <c r="E147" s="150" t="s">
        <v>7360</v>
      </c>
      <c r="F147" s="150" t="s">
        <v>138</v>
      </c>
      <c r="G147" s="150" t="s">
        <v>174</v>
      </c>
      <c r="H147" s="150" t="s">
        <v>440</v>
      </c>
      <c r="I147" s="150" t="s">
        <v>7187</v>
      </c>
      <c r="M147" t="s">
        <v>7359</v>
      </c>
      <c r="N147" t="s">
        <v>7868</v>
      </c>
      <c r="O147" t="s">
        <v>8107</v>
      </c>
    </row>
    <row r="148" spans="1:15">
      <c r="A148" s="150" t="s">
        <v>7188</v>
      </c>
      <c r="B148" s="150" t="e">
        <v>#N/A</v>
      </c>
      <c r="C148" s="150" t="s">
        <v>7180</v>
      </c>
      <c r="D148" s="150">
        <v>252</v>
      </c>
      <c r="E148" s="150" t="s">
        <v>7361</v>
      </c>
      <c r="F148" s="150" t="s">
        <v>138</v>
      </c>
      <c r="G148" s="150" t="s">
        <v>174</v>
      </c>
      <c r="H148" s="150" t="s">
        <v>440</v>
      </c>
      <c r="I148" s="150" t="s">
        <v>7190</v>
      </c>
      <c r="M148" t="s">
        <v>7359</v>
      </c>
      <c r="N148" t="s">
        <v>7869</v>
      </c>
      <c r="O148" t="s">
        <v>8108</v>
      </c>
    </row>
    <row r="149" spans="1:15">
      <c r="A149" s="150" t="s">
        <v>7188</v>
      </c>
      <c r="B149" s="150" t="e">
        <v>#VALUE!</v>
      </c>
      <c r="C149" s="150" t="s">
        <v>7180</v>
      </c>
      <c r="D149" s="150">
        <v>252</v>
      </c>
      <c r="E149" s="150" t="s">
        <v>7362</v>
      </c>
      <c r="F149" s="150" t="s">
        <v>138</v>
      </c>
      <c r="G149" s="150" t="s">
        <v>174</v>
      </c>
      <c r="H149" s="150" t="s">
        <v>440</v>
      </c>
      <c r="I149" s="150" t="s">
        <v>7190</v>
      </c>
      <c r="M149" t="s">
        <v>7359</v>
      </c>
      <c r="N149" t="s">
        <v>7870</v>
      </c>
      <c r="O149" t="s">
        <v>8109</v>
      </c>
    </row>
    <row r="150" spans="1:15">
      <c r="A150" s="150" t="s">
        <v>7188</v>
      </c>
      <c r="B150" s="150" t="e">
        <v>#VALUE!</v>
      </c>
      <c r="C150" s="150" t="s">
        <v>7180</v>
      </c>
      <c r="D150" s="150">
        <v>252</v>
      </c>
      <c r="E150" s="150" t="s">
        <v>7363</v>
      </c>
      <c r="F150" s="150" t="s">
        <v>138</v>
      </c>
      <c r="G150" s="150" t="s">
        <v>174</v>
      </c>
      <c r="H150" s="150" t="s">
        <v>440</v>
      </c>
      <c r="I150" s="150" t="s">
        <v>7190</v>
      </c>
      <c r="M150" t="s">
        <v>7359</v>
      </c>
      <c r="N150" t="s">
        <v>7871</v>
      </c>
      <c r="O150" t="s">
        <v>8110</v>
      </c>
    </row>
    <row r="151" spans="1:15">
      <c r="A151" s="150" t="s">
        <v>7178</v>
      </c>
      <c r="B151" s="150" t="s">
        <v>7179</v>
      </c>
      <c r="C151" s="150" t="s">
        <v>7180</v>
      </c>
      <c r="D151" s="150">
        <v>253</v>
      </c>
      <c r="E151" s="150" t="s">
        <v>7364</v>
      </c>
      <c r="F151" s="150" t="s">
        <v>138</v>
      </c>
      <c r="G151" s="150" t="s">
        <v>151</v>
      </c>
      <c r="H151" s="150" t="s">
        <v>184</v>
      </c>
      <c r="I151" s="150" t="s">
        <v>7182</v>
      </c>
      <c r="M151" t="s">
        <v>7365</v>
      </c>
      <c r="N151" t="s">
        <v>7872</v>
      </c>
      <c r="O151" t="s">
        <v>8111</v>
      </c>
    </row>
    <row r="152" spans="1:15">
      <c r="A152" s="150" t="s">
        <v>7184</v>
      </c>
      <c r="B152" s="150" t="s">
        <v>7185</v>
      </c>
      <c r="C152" s="150" t="s">
        <v>7180</v>
      </c>
      <c r="D152" s="150">
        <v>253</v>
      </c>
      <c r="E152" s="150" t="s">
        <v>7366</v>
      </c>
      <c r="F152" s="150" t="s">
        <v>138</v>
      </c>
      <c r="G152" s="150" t="s">
        <v>151</v>
      </c>
      <c r="H152" s="150" t="s">
        <v>184</v>
      </c>
      <c r="I152" s="150" t="s">
        <v>7187</v>
      </c>
      <c r="M152" t="s">
        <v>7365</v>
      </c>
      <c r="N152" t="s">
        <v>7873</v>
      </c>
      <c r="O152" t="s">
        <v>8112</v>
      </c>
    </row>
    <row r="153" spans="1:15">
      <c r="A153" s="150" t="s">
        <v>7188</v>
      </c>
      <c r="B153" s="150" t="e">
        <v>#N/A</v>
      </c>
      <c r="C153" s="150" t="s">
        <v>7180</v>
      </c>
      <c r="D153" s="150">
        <v>253</v>
      </c>
      <c r="E153" s="150" t="s">
        <v>7367</v>
      </c>
      <c r="F153" s="150" t="s">
        <v>138</v>
      </c>
      <c r="G153" s="150" t="s">
        <v>151</v>
      </c>
      <c r="H153" s="150" t="s">
        <v>184</v>
      </c>
      <c r="I153" s="150" t="s">
        <v>7190</v>
      </c>
      <c r="M153" t="s">
        <v>7365</v>
      </c>
      <c r="N153" t="s">
        <v>7874</v>
      </c>
      <c r="O153" t="s">
        <v>8113</v>
      </c>
    </row>
    <row r="154" spans="1:15">
      <c r="A154" s="150" t="s">
        <v>7188</v>
      </c>
      <c r="B154" s="150" t="e">
        <v>#VALUE!</v>
      </c>
      <c r="C154" s="150" t="s">
        <v>7180</v>
      </c>
      <c r="D154" s="150">
        <v>253</v>
      </c>
      <c r="E154" s="150" t="s">
        <v>7368</v>
      </c>
      <c r="F154" s="150" t="s">
        <v>138</v>
      </c>
      <c r="G154" s="150" t="s">
        <v>151</v>
      </c>
      <c r="H154" s="150" t="s">
        <v>184</v>
      </c>
      <c r="I154" s="150" t="s">
        <v>7190</v>
      </c>
      <c r="M154" t="s">
        <v>7365</v>
      </c>
      <c r="N154" t="s">
        <v>7875</v>
      </c>
      <c r="O154" t="s">
        <v>8114</v>
      </c>
    </row>
    <row r="155" spans="1:15">
      <c r="A155" s="150" t="s">
        <v>7188</v>
      </c>
      <c r="B155" s="150" t="e">
        <v>#VALUE!</v>
      </c>
      <c r="C155" s="150" t="s">
        <v>7180</v>
      </c>
      <c r="D155" s="150">
        <v>253</v>
      </c>
      <c r="E155" s="150" t="s">
        <v>7369</v>
      </c>
      <c r="F155" s="150" t="s">
        <v>138</v>
      </c>
      <c r="G155" s="150" t="s">
        <v>151</v>
      </c>
      <c r="H155" s="150" t="s">
        <v>184</v>
      </c>
      <c r="I155" s="150" t="s">
        <v>7190</v>
      </c>
      <c r="M155" t="s">
        <v>7365</v>
      </c>
      <c r="N155" t="s">
        <v>7876</v>
      </c>
      <c r="O155" t="s">
        <v>8115</v>
      </c>
    </row>
    <row r="156" spans="1:15">
      <c r="A156" s="150" t="s">
        <v>7178</v>
      </c>
      <c r="B156" s="150" t="s">
        <v>7179</v>
      </c>
      <c r="C156" s="150" t="s">
        <v>7180</v>
      </c>
      <c r="D156" s="150">
        <v>254</v>
      </c>
      <c r="E156" s="150" t="s">
        <v>7370</v>
      </c>
      <c r="F156" s="150" t="s">
        <v>144</v>
      </c>
      <c r="G156" s="150" t="s">
        <v>154</v>
      </c>
      <c r="H156" s="150" t="s">
        <v>458</v>
      </c>
      <c r="I156" s="150" t="s">
        <v>7182</v>
      </c>
      <c r="M156" t="s">
        <v>7371</v>
      </c>
      <c r="N156" t="s">
        <v>7877</v>
      </c>
      <c r="O156" t="s">
        <v>8116</v>
      </c>
    </row>
    <row r="157" spans="1:15">
      <c r="A157" s="150" t="s">
        <v>7188</v>
      </c>
      <c r="B157" s="150" t="e">
        <v>#N/A</v>
      </c>
      <c r="C157" s="150" t="s">
        <v>7180</v>
      </c>
      <c r="D157" s="150">
        <v>254</v>
      </c>
      <c r="E157" s="150" t="s">
        <v>7372</v>
      </c>
      <c r="F157" s="150" t="s">
        <v>144</v>
      </c>
      <c r="G157" s="150" t="s">
        <v>154</v>
      </c>
      <c r="H157" s="150" t="s">
        <v>458</v>
      </c>
      <c r="I157" s="150" t="s">
        <v>7190</v>
      </c>
      <c r="M157" t="s">
        <v>7371</v>
      </c>
      <c r="N157" t="s">
        <v>7878</v>
      </c>
      <c r="O157" t="s">
        <v>8117</v>
      </c>
    </row>
    <row r="158" spans="1:15">
      <c r="A158" s="150" t="s">
        <v>7188</v>
      </c>
      <c r="B158" s="150" t="e">
        <v>#VALUE!</v>
      </c>
      <c r="C158" s="150" t="s">
        <v>7180</v>
      </c>
      <c r="D158" s="150">
        <v>254</v>
      </c>
      <c r="E158" s="150" t="s">
        <v>7373</v>
      </c>
      <c r="F158" s="150" t="s">
        <v>144</v>
      </c>
      <c r="G158" s="150" t="s">
        <v>154</v>
      </c>
      <c r="H158" s="150" t="s">
        <v>458</v>
      </c>
      <c r="I158" s="150" t="s">
        <v>7190</v>
      </c>
      <c r="M158" t="s">
        <v>7371</v>
      </c>
      <c r="N158" t="s">
        <v>7879</v>
      </c>
      <c r="O158" t="s">
        <v>8118</v>
      </c>
    </row>
    <row r="159" spans="1:15">
      <c r="A159" s="150" t="s">
        <v>7188</v>
      </c>
      <c r="B159" s="150" t="e">
        <v>#VALUE!</v>
      </c>
      <c r="C159" s="150" t="s">
        <v>7180</v>
      </c>
      <c r="D159" s="150">
        <v>254</v>
      </c>
      <c r="E159" s="150" t="s">
        <v>7374</v>
      </c>
      <c r="F159" s="150" t="s">
        <v>144</v>
      </c>
      <c r="G159" s="150" t="s">
        <v>154</v>
      </c>
      <c r="H159" s="150" t="s">
        <v>458</v>
      </c>
      <c r="I159" s="150" t="s">
        <v>7190</v>
      </c>
      <c r="M159" t="s">
        <v>7371</v>
      </c>
      <c r="N159" t="s">
        <v>7880</v>
      </c>
      <c r="O159" t="s">
        <v>8119</v>
      </c>
    </row>
    <row r="160" spans="1:15">
      <c r="A160" s="150" t="s">
        <v>7178</v>
      </c>
      <c r="B160" s="150" t="s">
        <v>7179</v>
      </c>
      <c r="C160" s="150" t="s">
        <v>7180</v>
      </c>
      <c r="D160" s="150">
        <v>255</v>
      </c>
      <c r="E160" s="150" t="s">
        <v>7375</v>
      </c>
      <c r="F160" s="150" t="s">
        <v>144</v>
      </c>
      <c r="G160" s="150" t="s">
        <v>154</v>
      </c>
      <c r="H160" s="150" t="s">
        <v>656</v>
      </c>
      <c r="I160" s="150" t="s">
        <v>7182</v>
      </c>
      <c r="M160" t="s">
        <v>7376</v>
      </c>
      <c r="N160" t="s">
        <v>7881</v>
      </c>
      <c r="O160" t="s">
        <v>8120</v>
      </c>
    </row>
    <row r="161" spans="1:15">
      <c r="A161" s="150" t="s">
        <v>7184</v>
      </c>
      <c r="B161" s="150" t="s">
        <v>7185</v>
      </c>
      <c r="C161" s="150" t="s">
        <v>7180</v>
      </c>
      <c r="D161" s="150">
        <v>255</v>
      </c>
      <c r="E161" s="150" t="s">
        <v>7377</v>
      </c>
      <c r="F161" s="150" t="s">
        <v>144</v>
      </c>
      <c r="G161" s="150" t="s">
        <v>154</v>
      </c>
      <c r="H161" s="150" t="s">
        <v>656</v>
      </c>
      <c r="I161" s="150" t="s">
        <v>7187</v>
      </c>
      <c r="M161" t="s">
        <v>7376</v>
      </c>
      <c r="N161" t="s">
        <v>7882</v>
      </c>
      <c r="O161" t="s">
        <v>8121</v>
      </c>
    </row>
    <row r="162" spans="1:15">
      <c r="A162" s="150" t="s">
        <v>7188</v>
      </c>
      <c r="B162" s="150" t="e">
        <v>#N/A</v>
      </c>
      <c r="C162" s="150" t="s">
        <v>7180</v>
      </c>
      <c r="D162" s="150">
        <v>255</v>
      </c>
      <c r="E162" s="150" t="s">
        <v>7378</v>
      </c>
      <c r="F162" s="150" t="s">
        <v>144</v>
      </c>
      <c r="G162" s="150" t="s">
        <v>154</v>
      </c>
      <c r="H162" s="150" t="s">
        <v>656</v>
      </c>
      <c r="I162" s="150" t="s">
        <v>7190</v>
      </c>
      <c r="M162" t="s">
        <v>7376</v>
      </c>
      <c r="N162" t="s">
        <v>7883</v>
      </c>
      <c r="O162" t="s">
        <v>8122</v>
      </c>
    </row>
    <row r="163" spans="1:15">
      <c r="A163" s="150" t="s">
        <v>7188</v>
      </c>
      <c r="B163" s="150" t="e">
        <v>#VALUE!</v>
      </c>
      <c r="C163" s="150" t="s">
        <v>7180</v>
      </c>
      <c r="D163" s="150">
        <v>255</v>
      </c>
      <c r="E163" s="150" t="s">
        <v>7379</v>
      </c>
      <c r="F163" s="150" t="s">
        <v>144</v>
      </c>
      <c r="G163" s="150" t="s">
        <v>154</v>
      </c>
      <c r="H163" s="150" t="s">
        <v>656</v>
      </c>
      <c r="I163" s="150" t="s">
        <v>7190</v>
      </c>
      <c r="M163" t="s">
        <v>7376</v>
      </c>
      <c r="N163" t="s">
        <v>7884</v>
      </c>
      <c r="O163" t="s">
        <v>8123</v>
      </c>
    </row>
    <row r="164" spans="1:15">
      <c r="A164" s="150" t="s">
        <v>7188</v>
      </c>
      <c r="B164" s="150" t="e">
        <v>#VALUE!</v>
      </c>
      <c r="C164" s="150" t="s">
        <v>7180</v>
      </c>
      <c r="D164" s="150">
        <v>255</v>
      </c>
      <c r="E164" s="150" t="s">
        <v>7380</v>
      </c>
      <c r="F164" s="150" t="s">
        <v>144</v>
      </c>
      <c r="G164" s="150" t="s">
        <v>154</v>
      </c>
      <c r="H164" s="150" t="s">
        <v>656</v>
      </c>
      <c r="I164" s="150" t="s">
        <v>7190</v>
      </c>
      <c r="M164" t="s">
        <v>7376</v>
      </c>
      <c r="N164" t="s">
        <v>7885</v>
      </c>
      <c r="O164" t="s">
        <v>8124</v>
      </c>
    </row>
    <row r="165" spans="1:15">
      <c r="A165" s="150" t="s">
        <v>7178</v>
      </c>
      <c r="B165" s="150" t="s">
        <v>7179</v>
      </c>
      <c r="C165" s="150" t="s">
        <v>7180</v>
      </c>
      <c r="D165" s="150">
        <v>256</v>
      </c>
      <c r="E165" s="150" t="s">
        <v>7381</v>
      </c>
      <c r="F165" s="150" t="s">
        <v>146</v>
      </c>
      <c r="G165" s="150" t="s">
        <v>233</v>
      </c>
      <c r="H165" s="150" t="s">
        <v>553</v>
      </c>
      <c r="I165" s="150" t="s">
        <v>7182</v>
      </c>
      <c r="M165" t="s">
        <v>7382</v>
      </c>
      <c r="N165" t="s">
        <v>7886</v>
      </c>
      <c r="O165" t="s">
        <v>8125</v>
      </c>
    </row>
    <row r="166" spans="1:15">
      <c r="A166" s="150" t="s">
        <v>7184</v>
      </c>
      <c r="B166" s="150" t="s">
        <v>7185</v>
      </c>
      <c r="C166" s="150" t="s">
        <v>7180</v>
      </c>
      <c r="D166" s="150">
        <v>256</v>
      </c>
      <c r="E166" s="150" t="s">
        <v>7383</v>
      </c>
      <c r="F166" s="150" t="s">
        <v>146</v>
      </c>
      <c r="G166" s="150" t="s">
        <v>233</v>
      </c>
      <c r="H166" s="150" t="s">
        <v>553</v>
      </c>
      <c r="I166" s="150" t="s">
        <v>7187</v>
      </c>
      <c r="M166" t="s">
        <v>7382</v>
      </c>
      <c r="N166" t="s">
        <v>7887</v>
      </c>
      <c r="O166" t="s">
        <v>8126</v>
      </c>
    </row>
    <row r="167" spans="1:15">
      <c r="A167" s="150" t="s">
        <v>7188</v>
      </c>
      <c r="B167" s="150" t="e">
        <v>#N/A</v>
      </c>
      <c r="C167" s="150" t="s">
        <v>7180</v>
      </c>
      <c r="D167" s="150">
        <v>256</v>
      </c>
      <c r="E167" s="150" t="s">
        <v>7384</v>
      </c>
      <c r="F167" s="150" t="s">
        <v>146</v>
      </c>
      <c r="G167" s="150" t="s">
        <v>233</v>
      </c>
      <c r="H167" s="150" t="s">
        <v>553</v>
      </c>
      <c r="I167" s="150" t="s">
        <v>7190</v>
      </c>
      <c r="M167" t="s">
        <v>7382</v>
      </c>
      <c r="N167" t="s">
        <v>7888</v>
      </c>
      <c r="O167" t="s">
        <v>8127</v>
      </c>
    </row>
    <row r="168" spans="1:15">
      <c r="A168" s="150" t="s">
        <v>7188</v>
      </c>
      <c r="B168" s="150" t="e">
        <v>#VALUE!</v>
      </c>
      <c r="C168" s="150" t="s">
        <v>7180</v>
      </c>
      <c r="D168" s="150">
        <v>256</v>
      </c>
      <c r="E168" s="150" t="s">
        <v>7385</v>
      </c>
      <c r="F168" s="150" t="s">
        <v>146</v>
      </c>
      <c r="G168" s="150" t="s">
        <v>233</v>
      </c>
      <c r="H168" s="150" t="s">
        <v>553</v>
      </c>
      <c r="I168" s="150" t="s">
        <v>7190</v>
      </c>
      <c r="M168" t="s">
        <v>7382</v>
      </c>
      <c r="N168" t="s">
        <v>7889</v>
      </c>
      <c r="O168" t="s">
        <v>8128</v>
      </c>
    </row>
    <row r="169" spans="1:15">
      <c r="A169" s="150" t="s">
        <v>7188</v>
      </c>
      <c r="B169" s="150" t="e">
        <v>#VALUE!</v>
      </c>
      <c r="C169" s="150" t="s">
        <v>7180</v>
      </c>
      <c r="D169" s="150">
        <v>256</v>
      </c>
      <c r="E169" s="150" t="s">
        <v>7386</v>
      </c>
      <c r="F169" s="150" t="s">
        <v>146</v>
      </c>
      <c r="G169" s="150" t="s">
        <v>233</v>
      </c>
      <c r="H169" s="150" t="s">
        <v>553</v>
      </c>
      <c r="I169" s="150" t="s">
        <v>7190</v>
      </c>
      <c r="M169" t="s">
        <v>7382</v>
      </c>
      <c r="N169" t="s">
        <v>7890</v>
      </c>
      <c r="O169" t="s">
        <v>8129</v>
      </c>
    </row>
    <row r="170" spans="1:15">
      <c r="A170" s="150" t="s">
        <v>7178</v>
      </c>
      <c r="B170" s="150" t="s">
        <v>7179</v>
      </c>
      <c r="C170" s="150" t="s">
        <v>7180</v>
      </c>
      <c r="D170" s="150">
        <v>257</v>
      </c>
      <c r="E170" s="150" t="s">
        <v>7387</v>
      </c>
      <c r="F170" s="150" t="s">
        <v>147</v>
      </c>
      <c r="G170" s="150" t="s">
        <v>236</v>
      </c>
      <c r="H170" s="150" t="s">
        <v>553</v>
      </c>
      <c r="I170" s="150" t="s">
        <v>7182</v>
      </c>
      <c r="M170" t="s">
        <v>7388</v>
      </c>
      <c r="N170" t="s">
        <v>7891</v>
      </c>
      <c r="O170" t="s">
        <v>8130</v>
      </c>
    </row>
    <row r="171" spans="1:15">
      <c r="A171" s="150" t="s">
        <v>7184</v>
      </c>
      <c r="B171" s="150" t="s">
        <v>7185</v>
      </c>
      <c r="C171" s="150" t="s">
        <v>7180</v>
      </c>
      <c r="D171" s="150">
        <v>257</v>
      </c>
      <c r="E171" s="150" t="s">
        <v>7389</v>
      </c>
      <c r="F171" s="150" t="s">
        <v>147</v>
      </c>
      <c r="G171" s="150" t="s">
        <v>236</v>
      </c>
      <c r="H171" s="150" t="s">
        <v>553</v>
      </c>
      <c r="I171" s="150" t="s">
        <v>7187</v>
      </c>
      <c r="M171" t="s">
        <v>7388</v>
      </c>
      <c r="N171" t="s">
        <v>7892</v>
      </c>
      <c r="O171" t="s">
        <v>8131</v>
      </c>
    </row>
    <row r="172" spans="1:15">
      <c r="A172" s="150" t="s">
        <v>7188</v>
      </c>
      <c r="B172" s="150" t="e">
        <v>#N/A</v>
      </c>
      <c r="C172" s="150" t="s">
        <v>7180</v>
      </c>
      <c r="D172" s="150">
        <v>257</v>
      </c>
      <c r="E172" s="150" t="s">
        <v>7390</v>
      </c>
      <c r="F172" s="150" t="s">
        <v>147</v>
      </c>
      <c r="G172" s="150" t="s">
        <v>236</v>
      </c>
      <c r="H172" s="150" t="s">
        <v>553</v>
      </c>
      <c r="I172" s="150" t="s">
        <v>7190</v>
      </c>
      <c r="M172" t="s">
        <v>7388</v>
      </c>
      <c r="N172" t="s">
        <v>7893</v>
      </c>
      <c r="O172" t="s">
        <v>8132</v>
      </c>
    </row>
    <row r="173" spans="1:15">
      <c r="A173" s="150" t="s">
        <v>7188</v>
      </c>
      <c r="B173" s="150" t="e">
        <v>#VALUE!</v>
      </c>
      <c r="C173" s="150" t="s">
        <v>7180</v>
      </c>
      <c r="D173" s="150">
        <v>257</v>
      </c>
      <c r="E173" s="150" t="s">
        <v>7391</v>
      </c>
      <c r="F173" s="150" t="s">
        <v>147</v>
      </c>
      <c r="G173" s="150" t="s">
        <v>236</v>
      </c>
      <c r="H173" s="150" t="s">
        <v>553</v>
      </c>
      <c r="I173" s="150" t="s">
        <v>7190</v>
      </c>
      <c r="M173" t="s">
        <v>7388</v>
      </c>
      <c r="N173" t="s">
        <v>7894</v>
      </c>
      <c r="O173" t="s">
        <v>8133</v>
      </c>
    </row>
    <row r="174" spans="1:15">
      <c r="A174" s="150" t="s">
        <v>7188</v>
      </c>
      <c r="B174" s="150" t="e">
        <v>#VALUE!</v>
      </c>
      <c r="C174" s="150" t="s">
        <v>7180</v>
      </c>
      <c r="D174" s="150">
        <v>257</v>
      </c>
      <c r="E174" s="150" t="s">
        <v>7392</v>
      </c>
      <c r="F174" s="150" t="s">
        <v>147</v>
      </c>
      <c r="G174" s="150" t="s">
        <v>236</v>
      </c>
      <c r="H174" s="150" t="s">
        <v>553</v>
      </c>
      <c r="I174" s="150" t="s">
        <v>7190</v>
      </c>
      <c r="M174" t="s">
        <v>7388</v>
      </c>
      <c r="N174" t="s">
        <v>7895</v>
      </c>
      <c r="O174" t="s">
        <v>8134</v>
      </c>
    </row>
    <row r="175" spans="1:15">
      <c r="A175" s="150" t="s">
        <v>7178</v>
      </c>
      <c r="B175" s="150" t="s">
        <v>7179</v>
      </c>
      <c r="C175" s="150" t="s">
        <v>7180</v>
      </c>
      <c r="D175" s="150">
        <v>258</v>
      </c>
      <c r="E175" s="150" t="s">
        <v>7393</v>
      </c>
      <c r="F175" s="150" t="s">
        <v>146</v>
      </c>
      <c r="G175" s="150" t="s">
        <v>234</v>
      </c>
      <c r="H175" s="150" t="s">
        <v>445</v>
      </c>
      <c r="I175" s="150" t="s">
        <v>7182</v>
      </c>
      <c r="M175" t="s">
        <v>7394</v>
      </c>
      <c r="N175" t="s">
        <v>7896</v>
      </c>
      <c r="O175" t="s">
        <v>8135</v>
      </c>
    </row>
    <row r="176" spans="1:15">
      <c r="A176" s="150" t="s">
        <v>7184</v>
      </c>
      <c r="B176" s="150" t="s">
        <v>7185</v>
      </c>
      <c r="C176" s="150" t="s">
        <v>7180</v>
      </c>
      <c r="D176" s="150">
        <v>258</v>
      </c>
      <c r="E176" s="150" t="s">
        <v>7395</v>
      </c>
      <c r="F176" s="150" t="s">
        <v>146</v>
      </c>
      <c r="G176" s="150" t="s">
        <v>234</v>
      </c>
      <c r="H176" s="150" t="s">
        <v>445</v>
      </c>
      <c r="I176" s="150" t="s">
        <v>7187</v>
      </c>
      <c r="M176" t="s">
        <v>7394</v>
      </c>
      <c r="N176" t="s">
        <v>7897</v>
      </c>
      <c r="O176" t="s">
        <v>8136</v>
      </c>
    </row>
    <row r="177" spans="1:15">
      <c r="A177" s="150" t="s">
        <v>7188</v>
      </c>
      <c r="B177" s="150" t="e">
        <v>#N/A</v>
      </c>
      <c r="C177" s="150" t="s">
        <v>7180</v>
      </c>
      <c r="D177" s="150">
        <v>258</v>
      </c>
      <c r="E177" s="150" t="s">
        <v>7396</v>
      </c>
      <c r="F177" s="150" t="s">
        <v>146</v>
      </c>
      <c r="G177" s="150" t="s">
        <v>234</v>
      </c>
      <c r="H177" s="150" t="s">
        <v>445</v>
      </c>
      <c r="I177" s="150" t="s">
        <v>7190</v>
      </c>
      <c r="M177" t="s">
        <v>7394</v>
      </c>
      <c r="N177" t="s">
        <v>7898</v>
      </c>
      <c r="O177" t="s">
        <v>8137</v>
      </c>
    </row>
    <row r="178" spans="1:15">
      <c r="A178" s="150" t="s">
        <v>7188</v>
      </c>
      <c r="B178" s="150" t="e">
        <v>#VALUE!</v>
      </c>
      <c r="C178" s="150" t="s">
        <v>7180</v>
      </c>
      <c r="D178" s="150">
        <v>258</v>
      </c>
      <c r="E178" s="150" t="s">
        <v>7397</v>
      </c>
      <c r="F178" s="150" t="s">
        <v>146</v>
      </c>
      <c r="G178" s="150" t="s">
        <v>234</v>
      </c>
      <c r="H178" s="150" t="s">
        <v>445</v>
      </c>
      <c r="I178" s="150" t="s">
        <v>7190</v>
      </c>
      <c r="M178" t="s">
        <v>7394</v>
      </c>
      <c r="N178" t="s">
        <v>7899</v>
      </c>
      <c r="O178" t="s">
        <v>8138</v>
      </c>
    </row>
    <row r="179" spans="1:15">
      <c r="A179" s="150" t="s">
        <v>7188</v>
      </c>
      <c r="B179" s="150" t="e">
        <v>#VALUE!</v>
      </c>
      <c r="C179" s="150" t="s">
        <v>7180</v>
      </c>
      <c r="D179" s="150">
        <v>258</v>
      </c>
      <c r="E179" s="150" t="s">
        <v>7398</v>
      </c>
      <c r="F179" s="150" t="s">
        <v>146</v>
      </c>
      <c r="G179" s="150" t="s">
        <v>234</v>
      </c>
      <c r="H179" s="150" t="s">
        <v>445</v>
      </c>
      <c r="I179" s="150" t="s">
        <v>7190</v>
      </c>
      <c r="M179" t="s">
        <v>7394</v>
      </c>
      <c r="N179" t="s">
        <v>7900</v>
      </c>
      <c r="O179" t="s">
        <v>8139</v>
      </c>
    </row>
    <row r="180" spans="1:15">
      <c r="A180" s="150" t="s">
        <v>7178</v>
      </c>
      <c r="B180" s="150" t="s">
        <v>7179</v>
      </c>
      <c r="C180" s="150" t="s">
        <v>7180</v>
      </c>
      <c r="D180" s="150">
        <v>259</v>
      </c>
      <c r="E180" s="150" t="s">
        <v>7399</v>
      </c>
      <c r="F180" s="150" t="s">
        <v>146</v>
      </c>
      <c r="G180" s="150" t="s">
        <v>234</v>
      </c>
      <c r="H180" s="150" t="s">
        <v>553</v>
      </c>
      <c r="I180" s="150" t="s">
        <v>7182</v>
      </c>
      <c r="M180" t="s">
        <v>7400</v>
      </c>
      <c r="N180" t="s">
        <v>7901</v>
      </c>
      <c r="O180" t="s">
        <v>8140</v>
      </c>
    </row>
    <row r="181" spans="1:15">
      <c r="A181" s="150" t="s">
        <v>7184</v>
      </c>
      <c r="B181" s="150" t="s">
        <v>7185</v>
      </c>
      <c r="C181" s="150" t="s">
        <v>7180</v>
      </c>
      <c r="D181" s="150">
        <v>259</v>
      </c>
      <c r="E181" s="150" t="s">
        <v>7401</v>
      </c>
      <c r="F181" s="150" t="s">
        <v>146</v>
      </c>
      <c r="G181" s="150" t="s">
        <v>234</v>
      </c>
      <c r="H181" s="150" t="s">
        <v>553</v>
      </c>
      <c r="I181" s="150" t="s">
        <v>7187</v>
      </c>
      <c r="M181" t="s">
        <v>7400</v>
      </c>
      <c r="N181" t="s">
        <v>7902</v>
      </c>
      <c r="O181" t="s">
        <v>8141</v>
      </c>
    </row>
    <row r="182" spans="1:15">
      <c r="A182" s="150" t="s">
        <v>7188</v>
      </c>
      <c r="B182" s="150" t="e">
        <v>#N/A</v>
      </c>
      <c r="C182" s="150" t="s">
        <v>7180</v>
      </c>
      <c r="D182" s="150">
        <v>259</v>
      </c>
      <c r="E182" s="150" t="s">
        <v>7402</v>
      </c>
      <c r="F182" s="150" t="s">
        <v>146</v>
      </c>
      <c r="G182" s="150" t="s">
        <v>234</v>
      </c>
      <c r="H182" s="150" t="s">
        <v>553</v>
      </c>
      <c r="I182" s="150" t="s">
        <v>7190</v>
      </c>
      <c r="M182" t="s">
        <v>7400</v>
      </c>
      <c r="N182" t="s">
        <v>7903</v>
      </c>
      <c r="O182" t="s">
        <v>8142</v>
      </c>
    </row>
    <row r="183" spans="1:15">
      <c r="A183" s="150" t="s">
        <v>7188</v>
      </c>
      <c r="B183" s="150" t="e">
        <v>#VALUE!</v>
      </c>
      <c r="C183" s="150" t="s">
        <v>7180</v>
      </c>
      <c r="D183" s="150">
        <v>259</v>
      </c>
      <c r="E183" s="150" t="s">
        <v>7403</v>
      </c>
      <c r="F183" s="150" t="s">
        <v>146</v>
      </c>
      <c r="G183" s="150" t="s">
        <v>234</v>
      </c>
      <c r="H183" s="150" t="s">
        <v>553</v>
      </c>
      <c r="I183" s="150" t="s">
        <v>7190</v>
      </c>
      <c r="M183" t="s">
        <v>7400</v>
      </c>
      <c r="N183" t="s">
        <v>7904</v>
      </c>
      <c r="O183" t="s">
        <v>8143</v>
      </c>
    </row>
    <row r="184" spans="1:15">
      <c r="A184" s="150" t="s">
        <v>7188</v>
      </c>
      <c r="B184" s="150" t="e">
        <v>#VALUE!</v>
      </c>
      <c r="C184" s="150" t="s">
        <v>7180</v>
      </c>
      <c r="D184" s="150">
        <v>259</v>
      </c>
      <c r="E184" s="150" t="s">
        <v>7404</v>
      </c>
      <c r="F184" s="150" t="s">
        <v>146</v>
      </c>
      <c r="G184" s="150" t="s">
        <v>234</v>
      </c>
      <c r="H184" s="150" t="s">
        <v>553</v>
      </c>
      <c r="I184" s="150" t="s">
        <v>7190</v>
      </c>
      <c r="M184" t="s">
        <v>7400</v>
      </c>
      <c r="N184" t="s">
        <v>7905</v>
      </c>
      <c r="O184" t="s">
        <v>8144</v>
      </c>
    </row>
    <row r="185" spans="1:15">
      <c r="A185" s="150" t="s">
        <v>7178</v>
      </c>
      <c r="B185" s="150" t="s">
        <v>7179</v>
      </c>
      <c r="C185" s="150" t="s">
        <v>7180</v>
      </c>
      <c r="D185" s="150">
        <v>260</v>
      </c>
      <c r="E185" s="150" t="s">
        <v>7405</v>
      </c>
      <c r="F185" s="150" t="s">
        <v>147</v>
      </c>
      <c r="G185" s="150" t="s">
        <v>232</v>
      </c>
      <c r="H185" s="150" t="s">
        <v>553</v>
      </c>
      <c r="I185" s="150" t="s">
        <v>7182</v>
      </c>
      <c r="M185" t="s">
        <v>7406</v>
      </c>
      <c r="N185" t="s">
        <v>7906</v>
      </c>
      <c r="O185" t="s">
        <v>8145</v>
      </c>
    </row>
    <row r="186" spans="1:15">
      <c r="A186" s="150" t="s">
        <v>7184</v>
      </c>
      <c r="B186" s="150" t="s">
        <v>7185</v>
      </c>
      <c r="C186" s="150" t="s">
        <v>7180</v>
      </c>
      <c r="D186" s="150">
        <v>260</v>
      </c>
      <c r="E186" s="150" t="s">
        <v>7407</v>
      </c>
      <c r="F186" s="150" t="s">
        <v>147</v>
      </c>
      <c r="G186" s="150" t="s">
        <v>232</v>
      </c>
      <c r="H186" s="150" t="s">
        <v>553</v>
      </c>
      <c r="I186" s="150" t="s">
        <v>7187</v>
      </c>
      <c r="M186" t="s">
        <v>7406</v>
      </c>
      <c r="N186" t="s">
        <v>7907</v>
      </c>
      <c r="O186" t="s">
        <v>8146</v>
      </c>
    </row>
    <row r="187" spans="1:15">
      <c r="A187" s="150" t="s">
        <v>7188</v>
      </c>
      <c r="B187" s="150" t="e">
        <v>#N/A</v>
      </c>
      <c r="C187" s="150" t="s">
        <v>7180</v>
      </c>
      <c r="D187" s="150">
        <v>260</v>
      </c>
      <c r="E187" s="150" t="s">
        <v>7408</v>
      </c>
      <c r="F187" s="150" t="s">
        <v>147</v>
      </c>
      <c r="G187" s="150" t="s">
        <v>232</v>
      </c>
      <c r="H187" s="150" t="s">
        <v>553</v>
      </c>
      <c r="I187" s="150" t="s">
        <v>7190</v>
      </c>
      <c r="M187" t="s">
        <v>7406</v>
      </c>
      <c r="N187" t="s">
        <v>7908</v>
      </c>
      <c r="O187" t="s">
        <v>8147</v>
      </c>
    </row>
    <row r="188" spans="1:15">
      <c r="A188" s="150" t="s">
        <v>7188</v>
      </c>
      <c r="B188" s="150" t="e">
        <v>#VALUE!</v>
      </c>
      <c r="C188" s="150" t="s">
        <v>7180</v>
      </c>
      <c r="D188" s="150">
        <v>260</v>
      </c>
      <c r="E188" s="150" t="s">
        <v>7409</v>
      </c>
      <c r="F188" s="150" t="s">
        <v>147</v>
      </c>
      <c r="G188" s="150" t="s">
        <v>232</v>
      </c>
      <c r="H188" s="150" t="s">
        <v>553</v>
      </c>
      <c r="I188" s="150" t="s">
        <v>7190</v>
      </c>
      <c r="M188" t="s">
        <v>7406</v>
      </c>
      <c r="N188" t="s">
        <v>7909</v>
      </c>
      <c r="O188" t="s">
        <v>8148</v>
      </c>
    </row>
    <row r="189" spans="1:15">
      <c r="A189" s="150" t="s">
        <v>7188</v>
      </c>
      <c r="B189" s="150" t="e">
        <v>#VALUE!</v>
      </c>
      <c r="C189" s="150" t="s">
        <v>7180</v>
      </c>
      <c r="D189" s="150">
        <v>260</v>
      </c>
      <c r="E189" s="150" t="s">
        <v>7410</v>
      </c>
      <c r="F189" s="150" t="s">
        <v>147</v>
      </c>
      <c r="G189" s="150" t="s">
        <v>232</v>
      </c>
      <c r="H189" s="150" t="s">
        <v>553</v>
      </c>
      <c r="I189" s="150" t="s">
        <v>7190</v>
      </c>
      <c r="M189" t="s">
        <v>7406</v>
      </c>
      <c r="N189" t="s">
        <v>7910</v>
      </c>
      <c r="O189" t="s">
        <v>8149</v>
      </c>
    </row>
    <row r="190" spans="1:15">
      <c r="A190" s="150" t="s">
        <v>7178</v>
      </c>
      <c r="B190" s="150" t="s">
        <v>7179</v>
      </c>
      <c r="C190" s="150" t="s">
        <v>7180</v>
      </c>
      <c r="D190" s="150">
        <v>261</v>
      </c>
      <c r="E190" s="150" t="s">
        <v>7411</v>
      </c>
      <c r="F190" s="150" t="s">
        <v>147</v>
      </c>
      <c r="G190" s="150" t="s">
        <v>237</v>
      </c>
      <c r="H190" s="150" t="s">
        <v>553</v>
      </c>
      <c r="I190" s="150" t="s">
        <v>7182</v>
      </c>
      <c r="M190" t="s">
        <v>7412</v>
      </c>
      <c r="N190" t="s">
        <v>7911</v>
      </c>
      <c r="O190" t="s">
        <v>8150</v>
      </c>
    </row>
    <row r="191" spans="1:15">
      <c r="A191" s="150" t="s">
        <v>7184</v>
      </c>
      <c r="B191" s="150" t="s">
        <v>7185</v>
      </c>
      <c r="C191" s="150" t="s">
        <v>7180</v>
      </c>
      <c r="D191" s="150">
        <v>261</v>
      </c>
      <c r="E191" s="150" t="s">
        <v>7413</v>
      </c>
      <c r="F191" s="150" t="s">
        <v>147</v>
      </c>
      <c r="G191" s="150" t="s">
        <v>237</v>
      </c>
      <c r="H191" s="150" t="s">
        <v>553</v>
      </c>
      <c r="I191" s="150" t="s">
        <v>7187</v>
      </c>
      <c r="M191" t="s">
        <v>7412</v>
      </c>
      <c r="N191" t="s">
        <v>7912</v>
      </c>
      <c r="O191" t="s">
        <v>8151</v>
      </c>
    </row>
    <row r="192" spans="1:15">
      <c r="A192" s="150" t="s">
        <v>7188</v>
      </c>
      <c r="B192" s="150" t="e">
        <v>#N/A</v>
      </c>
      <c r="C192" s="150" t="s">
        <v>7180</v>
      </c>
      <c r="D192" s="150">
        <v>261</v>
      </c>
      <c r="E192" s="150" t="s">
        <v>7414</v>
      </c>
      <c r="F192" s="150" t="s">
        <v>147</v>
      </c>
      <c r="G192" s="150" t="s">
        <v>237</v>
      </c>
      <c r="H192" s="150" t="s">
        <v>553</v>
      </c>
      <c r="I192" s="150" t="s">
        <v>7190</v>
      </c>
      <c r="M192" t="s">
        <v>7412</v>
      </c>
      <c r="N192" t="s">
        <v>7913</v>
      </c>
      <c r="O192" t="s">
        <v>8152</v>
      </c>
    </row>
    <row r="193" spans="1:15">
      <c r="A193" s="150" t="s">
        <v>7188</v>
      </c>
      <c r="B193" s="150" t="e">
        <v>#VALUE!</v>
      </c>
      <c r="C193" s="150" t="s">
        <v>7180</v>
      </c>
      <c r="D193" s="150">
        <v>261</v>
      </c>
      <c r="E193" s="150" t="s">
        <v>7415</v>
      </c>
      <c r="F193" s="150" t="s">
        <v>147</v>
      </c>
      <c r="G193" s="150" t="s">
        <v>237</v>
      </c>
      <c r="H193" s="150" t="s">
        <v>553</v>
      </c>
      <c r="I193" s="150" t="s">
        <v>7190</v>
      </c>
      <c r="M193" t="s">
        <v>7412</v>
      </c>
      <c r="N193" t="s">
        <v>7914</v>
      </c>
      <c r="O193" t="s">
        <v>8153</v>
      </c>
    </row>
    <row r="194" spans="1:15">
      <c r="A194" s="150" t="s">
        <v>7188</v>
      </c>
      <c r="B194" s="150" t="e">
        <v>#VALUE!</v>
      </c>
      <c r="C194" s="150" t="s">
        <v>7180</v>
      </c>
      <c r="D194" s="150">
        <v>261</v>
      </c>
      <c r="E194" s="150" t="s">
        <v>7416</v>
      </c>
      <c r="F194" s="150" t="s">
        <v>147</v>
      </c>
      <c r="G194" s="150" t="s">
        <v>237</v>
      </c>
      <c r="H194" s="150" t="s">
        <v>553</v>
      </c>
      <c r="I194" s="150" t="s">
        <v>7190</v>
      </c>
      <c r="M194" t="s">
        <v>7412</v>
      </c>
      <c r="N194" t="s">
        <v>7915</v>
      </c>
      <c r="O194" t="s">
        <v>8154</v>
      </c>
    </row>
    <row r="195" spans="1:15">
      <c r="A195" s="150" t="s">
        <v>7178</v>
      </c>
      <c r="B195" s="150" t="s">
        <v>7179</v>
      </c>
      <c r="C195" s="150" t="s">
        <v>7180</v>
      </c>
      <c r="D195" s="150">
        <v>262</v>
      </c>
      <c r="E195" s="150" t="s">
        <v>7417</v>
      </c>
      <c r="F195" s="150" t="s">
        <v>147</v>
      </c>
      <c r="G195" s="150" t="s">
        <v>238</v>
      </c>
      <c r="H195" s="150" t="s">
        <v>553</v>
      </c>
      <c r="I195" s="150" t="s">
        <v>7182</v>
      </c>
      <c r="M195" t="s">
        <v>7418</v>
      </c>
      <c r="N195" t="s">
        <v>7916</v>
      </c>
      <c r="O195" t="s">
        <v>8155</v>
      </c>
    </row>
    <row r="196" spans="1:15">
      <c r="A196" s="150" t="s">
        <v>7184</v>
      </c>
      <c r="B196" s="150" t="s">
        <v>7185</v>
      </c>
      <c r="C196" s="150" t="s">
        <v>7180</v>
      </c>
      <c r="D196" s="150">
        <v>262</v>
      </c>
      <c r="E196" s="150" t="s">
        <v>7419</v>
      </c>
      <c r="F196" s="150" t="s">
        <v>147</v>
      </c>
      <c r="G196" s="150" t="s">
        <v>238</v>
      </c>
      <c r="H196" s="150" t="s">
        <v>553</v>
      </c>
      <c r="I196" s="150" t="s">
        <v>7187</v>
      </c>
      <c r="M196" t="s">
        <v>7418</v>
      </c>
      <c r="N196" t="s">
        <v>7917</v>
      </c>
      <c r="O196" t="s">
        <v>8156</v>
      </c>
    </row>
    <row r="197" spans="1:15">
      <c r="A197" s="150" t="s">
        <v>7188</v>
      </c>
      <c r="B197" s="150" t="e">
        <v>#N/A</v>
      </c>
      <c r="C197" s="150" t="s">
        <v>7180</v>
      </c>
      <c r="D197" s="150">
        <v>262</v>
      </c>
      <c r="E197" s="150" t="s">
        <v>7420</v>
      </c>
      <c r="F197" s="150" t="s">
        <v>147</v>
      </c>
      <c r="G197" s="150" t="s">
        <v>238</v>
      </c>
      <c r="H197" s="150" t="s">
        <v>553</v>
      </c>
      <c r="I197" s="150" t="s">
        <v>7190</v>
      </c>
      <c r="M197" t="s">
        <v>7418</v>
      </c>
      <c r="N197" t="s">
        <v>7918</v>
      </c>
      <c r="O197" t="s">
        <v>8157</v>
      </c>
    </row>
    <row r="198" spans="1:15">
      <c r="A198" s="150" t="s">
        <v>7188</v>
      </c>
      <c r="B198" s="150" t="e">
        <v>#VALUE!</v>
      </c>
      <c r="C198" s="150" t="s">
        <v>7180</v>
      </c>
      <c r="D198" s="150">
        <v>262</v>
      </c>
      <c r="E198" s="150" t="s">
        <v>7421</v>
      </c>
      <c r="F198" s="150" t="s">
        <v>147</v>
      </c>
      <c r="G198" s="150" t="s">
        <v>238</v>
      </c>
      <c r="H198" s="150" t="s">
        <v>553</v>
      </c>
      <c r="I198" s="150" t="s">
        <v>7190</v>
      </c>
      <c r="M198" t="s">
        <v>7418</v>
      </c>
      <c r="N198" t="s">
        <v>7919</v>
      </c>
      <c r="O198" t="s">
        <v>8158</v>
      </c>
    </row>
    <row r="199" spans="1:15">
      <c r="A199" s="150" t="s">
        <v>7188</v>
      </c>
      <c r="B199" s="150" t="e">
        <v>#VALUE!</v>
      </c>
      <c r="C199" s="150" t="s">
        <v>7180</v>
      </c>
      <c r="D199" s="150">
        <v>262</v>
      </c>
      <c r="E199" s="150" t="s">
        <v>7422</v>
      </c>
      <c r="F199" s="150" t="s">
        <v>147</v>
      </c>
      <c r="G199" s="150" t="s">
        <v>238</v>
      </c>
      <c r="H199" s="150" t="s">
        <v>553</v>
      </c>
      <c r="I199" s="150" t="s">
        <v>7190</v>
      </c>
      <c r="M199" t="s">
        <v>7418</v>
      </c>
      <c r="N199" t="s">
        <v>7920</v>
      </c>
      <c r="O199" t="s">
        <v>8159</v>
      </c>
    </row>
    <row r="200" spans="1:15">
      <c r="A200" s="150" t="s">
        <v>7178</v>
      </c>
      <c r="B200" s="150" t="s">
        <v>7179</v>
      </c>
      <c r="C200" s="150" t="s">
        <v>7180</v>
      </c>
      <c r="D200" s="150">
        <v>263</v>
      </c>
      <c r="E200" s="150" t="s">
        <v>7423</v>
      </c>
      <c r="F200" s="150" t="s">
        <v>146</v>
      </c>
      <c r="G200" s="150" t="s">
        <v>235</v>
      </c>
      <c r="H200" s="150" t="s">
        <v>657</v>
      </c>
      <c r="I200" s="150" t="s">
        <v>7182</v>
      </c>
      <c r="M200" t="s">
        <v>7424</v>
      </c>
      <c r="N200" t="s">
        <v>7921</v>
      </c>
      <c r="O200" t="s">
        <v>8160</v>
      </c>
    </row>
    <row r="201" spans="1:15">
      <c r="A201" s="150" t="s">
        <v>7184</v>
      </c>
      <c r="B201" s="150" t="s">
        <v>7185</v>
      </c>
      <c r="C201" s="150" t="s">
        <v>7180</v>
      </c>
      <c r="D201" s="150">
        <v>263</v>
      </c>
      <c r="E201" s="150" t="s">
        <v>7425</v>
      </c>
      <c r="F201" s="150" t="s">
        <v>146</v>
      </c>
      <c r="G201" s="150" t="s">
        <v>235</v>
      </c>
      <c r="H201" s="150" t="s">
        <v>657</v>
      </c>
      <c r="I201" s="150" t="s">
        <v>7187</v>
      </c>
      <c r="M201" t="s">
        <v>7424</v>
      </c>
      <c r="N201" t="s">
        <v>7922</v>
      </c>
      <c r="O201" t="s">
        <v>8161</v>
      </c>
    </row>
    <row r="202" spans="1:15">
      <c r="A202" s="150" t="s">
        <v>7188</v>
      </c>
      <c r="B202" s="150" t="e">
        <v>#N/A</v>
      </c>
      <c r="C202" s="150" t="s">
        <v>7180</v>
      </c>
      <c r="D202" s="150">
        <v>263</v>
      </c>
      <c r="E202" s="150" t="s">
        <v>7426</v>
      </c>
      <c r="F202" s="150" t="s">
        <v>146</v>
      </c>
      <c r="G202" s="150" t="s">
        <v>235</v>
      </c>
      <c r="H202" s="150" t="s">
        <v>657</v>
      </c>
      <c r="I202" s="150" t="s">
        <v>7190</v>
      </c>
      <c r="M202" t="s">
        <v>7424</v>
      </c>
      <c r="N202" t="s">
        <v>7923</v>
      </c>
      <c r="O202" t="s">
        <v>8162</v>
      </c>
    </row>
    <row r="203" spans="1:15">
      <c r="A203" s="150" t="s">
        <v>7188</v>
      </c>
      <c r="B203" s="150" t="e">
        <v>#VALUE!</v>
      </c>
      <c r="C203" s="150" t="s">
        <v>7180</v>
      </c>
      <c r="D203" s="150">
        <v>263</v>
      </c>
      <c r="E203" s="150" t="s">
        <v>7427</v>
      </c>
      <c r="F203" s="150" t="s">
        <v>146</v>
      </c>
      <c r="G203" s="150" t="s">
        <v>235</v>
      </c>
      <c r="H203" s="150" t="s">
        <v>657</v>
      </c>
      <c r="I203" s="150" t="s">
        <v>7190</v>
      </c>
      <c r="M203" t="s">
        <v>7424</v>
      </c>
      <c r="N203" t="s">
        <v>7924</v>
      </c>
      <c r="O203" t="s">
        <v>8163</v>
      </c>
    </row>
    <row r="204" spans="1:15">
      <c r="A204" s="150" t="s">
        <v>7188</v>
      </c>
      <c r="B204" s="150" t="e">
        <v>#VALUE!</v>
      </c>
      <c r="C204" s="150" t="s">
        <v>7180</v>
      </c>
      <c r="D204" s="150">
        <v>263</v>
      </c>
      <c r="E204" s="150" t="s">
        <v>7428</v>
      </c>
      <c r="F204" s="150" t="s">
        <v>146</v>
      </c>
      <c r="G204" s="150" t="s">
        <v>235</v>
      </c>
      <c r="H204" s="150" t="s">
        <v>657</v>
      </c>
      <c r="I204" s="150" t="s">
        <v>7190</v>
      </c>
      <c r="M204" t="s">
        <v>7424</v>
      </c>
      <c r="N204" t="s">
        <v>7925</v>
      </c>
      <c r="O204" t="s">
        <v>8164</v>
      </c>
    </row>
    <row r="205" spans="1:15">
      <c r="A205" s="150" t="s">
        <v>7178</v>
      </c>
      <c r="B205" s="150" t="s">
        <v>7179</v>
      </c>
      <c r="C205" s="150" t="s">
        <v>7180</v>
      </c>
      <c r="D205" s="150">
        <v>264</v>
      </c>
      <c r="E205" s="150" t="s">
        <v>7429</v>
      </c>
      <c r="F205" s="150" t="s">
        <v>146</v>
      </c>
      <c r="G205" s="150" t="s">
        <v>235</v>
      </c>
      <c r="H205" s="150" t="s">
        <v>658</v>
      </c>
      <c r="I205" s="150" t="s">
        <v>7182</v>
      </c>
      <c r="M205" t="s">
        <v>7430</v>
      </c>
      <c r="N205" t="s">
        <v>7926</v>
      </c>
      <c r="O205" t="s">
        <v>8165</v>
      </c>
    </row>
    <row r="206" spans="1:15">
      <c r="A206" s="150" t="s">
        <v>7184</v>
      </c>
      <c r="B206" s="150" t="s">
        <v>7185</v>
      </c>
      <c r="C206" s="150" t="s">
        <v>7180</v>
      </c>
      <c r="D206" s="150">
        <v>264</v>
      </c>
      <c r="E206" s="150" t="s">
        <v>7431</v>
      </c>
      <c r="F206" s="150" t="s">
        <v>146</v>
      </c>
      <c r="G206" s="150" t="s">
        <v>235</v>
      </c>
      <c r="H206" s="150" t="s">
        <v>658</v>
      </c>
      <c r="I206" s="150" t="s">
        <v>7187</v>
      </c>
      <c r="M206" t="s">
        <v>7430</v>
      </c>
      <c r="N206" t="s">
        <v>7927</v>
      </c>
      <c r="O206" t="s">
        <v>8166</v>
      </c>
    </row>
    <row r="207" spans="1:15">
      <c r="A207" s="150" t="s">
        <v>7188</v>
      </c>
      <c r="B207" s="150" t="e">
        <v>#N/A</v>
      </c>
      <c r="C207" s="150" t="s">
        <v>7180</v>
      </c>
      <c r="D207" s="150">
        <v>264</v>
      </c>
      <c r="E207" s="150" t="s">
        <v>7432</v>
      </c>
      <c r="F207" s="150" t="s">
        <v>146</v>
      </c>
      <c r="G207" s="150" t="s">
        <v>235</v>
      </c>
      <c r="H207" s="150" t="s">
        <v>658</v>
      </c>
      <c r="I207" s="150" t="s">
        <v>7190</v>
      </c>
      <c r="M207" t="s">
        <v>7430</v>
      </c>
      <c r="N207" t="s">
        <v>7928</v>
      </c>
      <c r="O207" t="s">
        <v>8167</v>
      </c>
    </row>
    <row r="208" spans="1:15">
      <c r="A208" s="150" t="s">
        <v>7188</v>
      </c>
      <c r="B208" s="150" t="e">
        <v>#VALUE!</v>
      </c>
      <c r="C208" s="150" t="s">
        <v>7180</v>
      </c>
      <c r="D208" s="150">
        <v>264</v>
      </c>
      <c r="E208" s="150" t="s">
        <v>7433</v>
      </c>
      <c r="F208" s="150" t="s">
        <v>146</v>
      </c>
      <c r="G208" s="150" t="s">
        <v>235</v>
      </c>
      <c r="H208" s="150" t="s">
        <v>658</v>
      </c>
      <c r="I208" s="150" t="s">
        <v>7190</v>
      </c>
      <c r="M208" t="s">
        <v>7430</v>
      </c>
      <c r="N208" t="s">
        <v>7929</v>
      </c>
      <c r="O208" t="s">
        <v>8168</v>
      </c>
    </row>
    <row r="209" spans="1:15">
      <c r="A209" s="150" t="s">
        <v>7188</v>
      </c>
      <c r="B209" s="150" t="e">
        <v>#VALUE!</v>
      </c>
      <c r="C209" s="150" t="s">
        <v>7180</v>
      </c>
      <c r="D209" s="150">
        <v>264</v>
      </c>
      <c r="E209" s="150" t="s">
        <v>7434</v>
      </c>
      <c r="F209" s="150" t="s">
        <v>146</v>
      </c>
      <c r="G209" s="150" t="s">
        <v>235</v>
      </c>
      <c r="H209" s="150" t="s">
        <v>658</v>
      </c>
      <c r="I209" s="150" t="s">
        <v>7190</v>
      </c>
      <c r="M209" t="s">
        <v>7430</v>
      </c>
      <c r="N209" t="s">
        <v>7930</v>
      </c>
      <c r="O209" t="s">
        <v>8169</v>
      </c>
    </row>
    <row r="210" spans="1:15">
      <c r="A210" s="150" t="s">
        <v>7178</v>
      </c>
      <c r="B210" s="150" t="s">
        <v>7179</v>
      </c>
      <c r="C210" s="150" t="s">
        <v>7180</v>
      </c>
      <c r="D210" s="150">
        <v>265</v>
      </c>
      <c r="E210" s="150" t="s">
        <v>7435</v>
      </c>
      <c r="F210" s="150" t="s">
        <v>146</v>
      </c>
      <c r="G210" s="150" t="s">
        <v>235</v>
      </c>
      <c r="H210" s="150" t="s">
        <v>82</v>
      </c>
      <c r="I210" s="150" t="s">
        <v>7182</v>
      </c>
      <c r="M210" t="s">
        <v>7436</v>
      </c>
      <c r="N210" t="s">
        <v>7931</v>
      </c>
      <c r="O210" t="s">
        <v>8170</v>
      </c>
    </row>
    <row r="211" spans="1:15">
      <c r="A211" s="150" t="s">
        <v>7184</v>
      </c>
      <c r="B211" s="150" t="s">
        <v>7185</v>
      </c>
      <c r="C211" s="150" t="s">
        <v>7180</v>
      </c>
      <c r="D211" s="150">
        <v>265</v>
      </c>
      <c r="E211" s="150" t="s">
        <v>7437</v>
      </c>
      <c r="F211" s="150" t="s">
        <v>146</v>
      </c>
      <c r="G211" s="150" t="s">
        <v>235</v>
      </c>
      <c r="H211" s="150" t="s">
        <v>82</v>
      </c>
      <c r="I211" s="150" t="s">
        <v>7187</v>
      </c>
      <c r="M211" t="s">
        <v>7436</v>
      </c>
      <c r="N211" t="s">
        <v>7932</v>
      </c>
      <c r="O211" t="s">
        <v>8171</v>
      </c>
    </row>
    <row r="212" spans="1:15">
      <c r="A212" s="150" t="s">
        <v>7188</v>
      </c>
      <c r="B212" s="150" t="e">
        <v>#N/A</v>
      </c>
      <c r="C212" s="150" t="s">
        <v>7180</v>
      </c>
      <c r="D212" s="150">
        <v>265</v>
      </c>
      <c r="E212" s="150" t="s">
        <v>7438</v>
      </c>
      <c r="F212" s="150" t="s">
        <v>146</v>
      </c>
      <c r="G212" s="150" t="s">
        <v>235</v>
      </c>
      <c r="H212" s="150" t="s">
        <v>82</v>
      </c>
      <c r="I212" s="150" t="s">
        <v>7190</v>
      </c>
      <c r="M212" t="s">
        <v>7436</v>
      </c>
      <c r="N212" t="s">
        <v>7933</v>
      </c>
      <c r="O212" t="s">
        <v>8172</v>
      </c>
    </row>
    <row r="213" spans="1:15">
      <c r="A213" s="150" t="s">
        <v>7188</v>
      </c>
      <c r="B213" s="150" t="e">
        <v>#VALUE!</v>
      </c>
      <c r="C213" s="150" t="s">
        <v>7180</v>
      </c>
      <c r="D213" s="150">
        <v>265</v>
      </c>
      <c r="E213" s="150" t="s">
        <v>7439</v>
      </c>
      <c r="F213" s="150" t="s">
        <v>146</v>
      </c>
      <c r="G213" s="150" t="s">
        <v>235</v>
      </c>
      <c r="H213" s="150" t="s">
        <v>82</v>
      </c>
      <c r="I213" s="150" t="s">
        <v>7190</v>
      </c>
      <c r="M213" t="s">
        <v>7436</v>
      </c>
      <c r="N213" t="s">
        <v>7934</v>
      </c>
      <c r="O213" t="s">
        <v>8173</v>
      </c>
    </row>
    <row r="214" spans="1:15">
      <c r="A214" s="150" t="s">
        <v>7188</v>
      </c>
      <c r="B214" s="150" t="e">
        <v>#VALUE!</v>
      </c>
      <c r="C214" s="150" t="s">
        <v>7180</v>
      </c>
      <c r="D214" s="150">
        <v>265</v>
      </c>
      <c r="E214" s="150" t="s">
        <v>7440</v>
      </c>
      <c r="F214" s="150" t="s">
        <v>146</v>
      </c>
      <c r="G214" s="150" t="s">
        <v>235</v>
      </c>
      <c r="H214" s="150" t="s">
        <v>82</v>
      </c>
      <c r="I214" s="150" t="s">
        <v>7190</v>
      </c>
      <c r="M214" t="s">
        <v>7436</v>
      </c>
      <c r="N214" t="s">
        <v>7935</v>
      </c>
      <c r="O214" t="s">
        <v>8174</v>
      </c>
    </row>
    <row r="215" spans="1:15">
      <c r="A215" s="150" t="s">
        <v>7178</v>
      </c>
      <c r="B215" s="150" t="s">
        <v>7179</v>
      </c>
      <c r="C215" s="150" t="s">
        <v>7180</v>
      </c>
      <c r="D215" s="150">
        <v>266</v>
      </c>
      <c r="E215" s="150" t="s">
        <v>7441</v>
      </c>
      <c r="F215" s="150" t="s">
        <v>146</v>
      </c>
      <c r="G215" s="150" t="s">
        <v>156</v>
      </c>
      <c r="H215" s="150" t="s">
        <v>84</v>
      </c>
      <c r="I215" s="150" t="s">
        <v>7182</v>
      </c>
      <c r="M215" t="s">
        <v>7442</v>
      </c>
      <c r="N215" t="s">
        <v>7936</v>
      </c>
      <c r="O215" t="s">
        <v>8175</v>
      </c>
    </row>
    <row r="216" spans="1:15">
      <c r="A216" s="150" t="s">
        <v>7184</v>
      </c>
      <c r="B216" s="150" t="s">
        <v>7185</v>
      </c>
      <c r="C216" s="150" t="s">
        <v>7180</v>
      </c>
      <c r="D216" s="150">
        <v>266</v>
      </c>
      <c r="E216" s="150" t="s">
        <v>7443</v>
      </c>
      <c r="F216" s="150" t="s">
        <v>146</v>
      </c>
      <c r="G216" s="150" t="s">
        <v>156</v>
      </c>
      <c r="H216" s="150" t="s">
        <v>84</v>
      </c>
      <c r="I216" s="150" t="s">
        <v>7187</v>
      </c>
      <c r="M216" t="s">
        <v>7442</v>
      </c>
      <c r="N216" t="s">
        <v>7937</v>
      </c>
      <c r="O216" t="s">
        <v>8176</v>
      </c>
    </row>
    <row r="217" spans="1:15">
      <c r="A217" s="150" t="s">
        <v>7188</v>
      </c>
      <c r="B217" s="150" t="e">
        <v>#N/A</v>
      </c>
      <c r="C217" s="150" t="s">
        <v>7180</v>
      </c>
      <c r="D217" s="150">
        <v>266</v>
      </c>
      <c r="E217" s="150" t="s">
        <v>7444</v>
      </c>
      <c r="F217" s="150" t="s">
        <v>146</v>
      </c>
      <c r="G217" s="150" t="s">
        <v>156</v>
      </c>
      <c r="H217" s="150" t="s">
        <v>84</v>
      </c>
      <c r="I217" s="150" t="s">
        <v>7190</v>
      </c>
      <c r="M217" t="s">
        <v>7442</v>
      </c>
      <c r="N217" t="s">
        <v>7938</v>
      </c>
      <c r="O217" t="s">
        <v>8177</v>
      </c>
    </row>
    <row r="218" spans="1:15">
      <c r="A218" s="150" t="s">
        <v>7188</v>
      </c>
      <c r="B218" s="150" t="e">
        <v>#VALUE!</v>
      </c>
      <c r="C218" s="150" t="s">
        <v>7180</v>
      </c>
      <c r="D218" s="150">
        <v>266</v>
      </c>
      <c r="E218" s="150" t="s">
        <v>7445</v>
      </c>
      <c r="F218" s="150" t="s">
        <v>146</v>
      </c>
      <c r="G218" s="150" t="s">
        <v>156</v>
      </c>
      <c r="H218" s="150" t="s">
        <v>84</v>
      </c>
      <c r="I218" s="150" t="s">
        <v>7190</v>
      </c>
      <c r="M218" t="s">
        <v>7442</v>
      </c>
      <c r="N218" t="s">
        <v>7939</v>
      </c>
      <c r="O218" t="s">
        <v>8178</v>
      </c>
    </row>
    <row r="219" spans="1:15">
      <c r="A219" s="150" t="s">
        <v>7188</v>
      </c>
      <c r="B219" s="150" t="e">
        <v>#VALUE!</v>
      </c>
      <c r="C219" s="150" t="s">
        <v>7180</v>
      </c>
      <c r="D219" s="150">
        <v>266</v>
      </c>
      <c r="E219" s="150" t="s">
        <v>7446</v>
      </c>
      <c r="F219" s="150" t="s">
        <v>146</v>
      </c>
      <c r="G219" s="150" t="s">
        <v>156</v>
      </c>
      <c r="H219" s="150" t="s">
        <v>84</v>
      </c>
      <c r="I219" s="150" t="s">
        <v>7190</v>
      </c>
      <c r="M219" t="s">
        <v>7442</v>
      </c>
      <c r="N219" t="s">
        <v>7940</v>
      </c>
      <c r="O219" t="s">
        <v>8179</v>
      </c>
    </row>
    <row r="220" spans="1:15">
      <c r="A220" s="150" t="s">
        <v>7178</v>
      </c>
      <c r="B220" s="150" t="s">
        <v>7179</v>
      </c>
      <c r="C220" s="150" t="s">
        <v>7180</v>
      </c>
      <c r="D220" s="150">
        <v>267</v>
      </c>
      <c r="E220" s="150" t="s">
        <v>7447</v>
      </c>
      <c r="F220" s="150" t="s">
        <v>146</v>
      </c>
      <c r="G220" s="150" t="s">
        <v>156</v>
      </c>
      <c r="H220" s="150" t="s">
        <v>86</v>
      </c>
      <c r="I220" s="150" t="s">
        <v>7182</v>
      </c>
      <c r="M220" t="s">
        <v>7448</v>
      </c>
      <c r="N220" t="s">
        <v>7941</v>
      </c>
      <c r="O220" t="s">
        <v>8180</v>
      </c>
    </row>
    <row r="221" spans="1:15">
      <c r="A221" s="150" t="s">
        <v>7184</v>
      </c>
      <c r="B221" s="150" t="s">
        <v>7185</v>
      </c>
      <c r="C221" s="150" t="s">
        <v>7180</v>
      </c>
      <c r="D221" s="150">
        <v>267</v>
      </c>
      <c r="E221" s="150" t="s">
        <v>7449</v>
      </c>
      <c r="F221" s="150" t="s">
        <v>146</v>
      </c>
      <c r="G221" s="150" t="s">
        <v>156</v>
      </c>
      <c r="H221" s="150" t="s">
        <v>86</v>
      </c>
      <c r="I221" s="150" t="s">
        <v>7187</v>
      </c>
      <c r="M221" t="s">
        <v>7448</v>
      </c>
      <c r="N221" t="s">
        <v>7942</v>
      </c>
      <c r="O221" t="s">
        <v>8181</v>
      </c>
    </row>
    <row r="222" spans="1:15">
      <c r="A222" s="150" t="s">
        <v>7188</v>
      </c>
      <c r="B222" s="150" t="e">
        <v>#N/A</v>
      </c>
      <c r="C222" s="150" t="s">
        <v>7180</v>
      </c>
      <c r="D222" s="150">
        <v>267</v>
      </c>
      <c r="E222" s="150" t="s">
        <v>7450</v>
      </c>
      <c r="F222" s="150" t="s">
        <v>146</v>
      </c>
      <c r="G222" s="150" t="s">
        <v>156</v>
      </c>
      <c r="H222" s="150" t="s">
        <v>86</v>
      </c>
      <c r="I222" s="150" t="s">
        <v>7190</v>
      </c>
      <c r="M222" t="s">
        <v>7448</v>
      </c>
      <c r="N222" t="s">
        <v>7183</v>
      </c>
      <c r="O222" t="s">
        <v>8182</v>
      </c>
    </row>
    <row r="223" spans="1:15">
      <c r="A223" s="150" t="s">
        <v>7188</v>
      </c>
      <c r="B223" s="150" t="e">
        <v>#VALUE!</v>
      </c>
      <c r="C223" s="150" t="s">
        <v>7180</v>
      </c>
      <c r="D223" s="150">
        <v>267</v>
      </c>
      <c r="E223" s="150" t="s">
        <v>7451</v>
      </c>
      <c r="F223" s="150" t="s">
        <v>146</v>
      </c>
      <c r="G223" s="150" t="s">
        <v>156</v>
      </c>
      <c r="H223" s="150" t="s">
        <v>86</v>
      </c>
      <c r="I223" s="150" t="s">
        <v>7190</v>
      </c>
      <c r="M223" t="s">
        <v>7448</v>
      </c>
      <c r="N223" t="s">
        <v>7194</v>
      </c>
      <c r="O223" t="s">
        <v>8183</v>
      </c>
    </row>
    <row r="224" spans="1:15">
      <c r="A224" s="150" t="s">
        <v>7188</v>
      </c>
      <c r="B224" s="150" t="e">
        <v>#VALUE!</v>
      </c>
      <c r="C224" s="150" t="s">
        <v>7180</v>
      </c>
      <c r="D224" s="150">
        <v>267</v>
      </c>
      <c r="E224" s="150" t="s">
        <v>7452</v>
      </c>
      <c r="F224" s="150" t="s">
        <v>146</v>
      </c>
      <c r="G224" s="150" t="s">
        <v>156</v>
      </c>
      <c r="H224" s="150" t="s">
        <v>86</v>
      </c>
      <c r="I224" s="150" t="s">
        <v>7190</v>
      </c>
      <c r="M224" t="s">
        <v>7448</v>
      </c>
      <c r="N224" t="s">
        <v>7198</v>
      </c>
      <c r="O224" t="s">
        <v>8184</v>
      </c>
    </row>
    <row r="225" spans="1:15">
      <c r="A225" s="150" t="s">
        <v>7178</v>
      </c>
      <c r="B225" s="150" t="s">
        <v>7179</v>
      </c>
      <c r="C225" s="150" t="s">
        <v>7180</v>
      </c>
      <c r="D225" s="150">
        <v>268</v>
      </c>
      <c r="E225" s="150" t="s">
        <v>7453</v>
      </c>
      <c r="F225" s="150" t="s">
        <v>140</v>
      </c>
      <c r="G225" s="150" t="s">
        <v>208</v>
      </c>
      <c r="H225" s="150" t="s">
        <v>659</v>
      </c>
      <c r="I225" s="150" t="s">
        <v>7182</v>
      </c>
      <c r="M225" t="s">
        <v>7454</v>
      </c>
      <c r="N225" t="s">
        <v>7202</v>
      </c>
      <c r="O225" t="s">
        <v>8185</v>
      </c>
    </row>
    <row r="226" spans="1:15">
      <c r="A226" s="150" t="s">
        <v>7184</v>
      </c>
      <c r="B226" s="150" t="s">
        <v>7185</v>
      </c>
      <c r="C226" s="150" t="s">
        <v>7180</v>
      </c>
      <c r="D226" s="150">
        <v>268</v>
      </c>
      <c r="E226" s="150" t="s">
        <v>7455</v>
      </c>
      <c r="F226" s="150" t="s">
        <v>140</v>
      </c>
      <c r="G226" s="150" t="s">
        <v>208</v>
      </c>
      <c r="H226" s="150" t="s">
        <v>659</v>
      </c>
      <c r="I226" s="150" t="s">
        <v>7187</v>
      </c>
      <c r="M226" t="s">
        <v>7454</v>
      </c>
      <c r="N226" t="s">
        <v>7206</v>
      </c>
      <c r="O226" t="s">
        <v>8186</v>
      </c>
    </row>
    <row r="227" spans="1:15">
      <c r="A227" s="150" t="s">
        <v>7188</v>
      </c>
      <c r="B227" s="150" t="e">
        <v>#N/A</v>
      </c>
      <c r="C227" s="150" t="s">
        <v>7180</v>
      </c>
      <c r="D227" s="150">
        <v>268</v>
      </c>
      <c r="E227" s="150" t="s">
        <v>7456</v>
      </c>
      <c r="F227" s="150" t="s">
        <v>140</v>
      </c>
      <c r="G227" s="150" t="s">
        <v>208</v>
      </c>
      <c r="H227" s="150" t="s">
        <v>659</v>
      </c>
      <c r="I227" s="150" t="s">
        <v>7190</v>
      </c>
      <c r="M227" t="s">
        <v>7454</v>
      </c>
      <c r="N227" t="s">
        <v>7211</v>
      </c>
      <c r="O227" t="s">
        <v>8187</v>
      </c>
    </row>
    <row r="228" spans="1:15">
      <c r="A228" s="150" t="s">
        <v>7188</v>
      </c>
      <c r="B228" s="150" t="e">
        <v>#VALUE!</v>
      </c>
      <c r="C228" s="150" t="s">
        <v>7180</v>
      </c>
      <c r="D228" s="150">
        <v>268</v>
      </c>
      <c r="E228" s="150" t="s">
        <v>7457</v>
      </c>
      <c r="F228" s="150" t="s">
        <v>140</v>
      </c>
      <c r="G228" s="150" t="s">
        <v>208</v>
      </c>
      <c r="H228" s="150" t="s">
        <v>659</v>
      </c>
      <c r="I228" s="150" t="s">
        <v>7190</v>
      </c>
      <c r="M228" t="s">
        <v>7454</v>
      </c>
      <c r="N228" t="s">
        <v>7216</v>
      </c>
      <c r="O228" t="s">
        <v>8188</v>
      </c>
    </row>
    <row r="229" spans="1:15">
      <c r="A229" s="150" t="s">
        <v>7188</v>
      </c>
      <c r="B229" s="150" t="e">
        <v>#VALUE!</v>
      </c>
      <c r="C229" s="150" t="s">
        <v>7180</v>
      </c>
      <c r="D229" s="150">
        <v>268</v>
      </c>
      <c r="E229" s="150" t="s">
        <v>7458</v>
      </c>
      <c r="F229" s="150" t="s">
        <v>140</v>
      </c>
      <c r="G229" s="150" t="s">
        <v>208</v>
      </c>
      <c r="H229" s="150" t="s">
        <v>659</v>
      </c>
      <c r="I229" s="150" t="s">
        <v>7190</v>
      </c>
      <c r="M229" t="s">
        <v>7454</v>
      </c>
      <c r="N229" t="s">
        <v>7222</v>
      </c>
      <c r="O229" t="s">
        <v>8189</v>
      </c>
    </row>
    <row r="230" spans="1:15">
      <c r="A230" s="150" t="s">
        <v>7178</v>
      </c>
      <c r="B230" s="150" t="s">
        <v>7179</v>
      </c>
      <c r="C230" s="150" t="s">
        <v>7180</v>
      </c>
      <c r="D230" s="150">
        <v>269</v>
      </c>
      <c r="E230" s="150" t="s">
        <v>7459</v>
      </c>
      <c r="F230" s="150" t="s">
        <v>146</v>
      </c>
      <c r="G230" s="150" t="s">
        <v>296</v>
      </c>
      <c r="H230" s="150" t="s">
        <v>660</v>
      </c>
      <c r="I230" s="150" t="s">
        <v>7182</v>
      </c>
      <c r="M230" t="s">
        <v>7460</v>
      </c>
      <c r="N230" t="s">
        <v>7228</v>
      </c>
      <c r="O230" t="s">
        <v>8190</v>
      </c>
    </row>
    <row r="231" spans="1:15">
      <c r="A231" s="150" t="s">
        <v>7184</v>
      </c>
      <c r="B231" s="150" t="s">
        <v>7185</v>
      </c>
      <c r="C231" s="150" t="s">
        <v>7180</v>
      </c>
      <c r="D231" s="150">
        <v>269</v>
      </c>
      <c r="E231" s="150" t="s">
        <v>7461</v>
      </c>
      <c r="F231" s="150" t="s">
        <v>146</v>
      </c>
      <c r="G231" s="150" t="s">
        <v>296</v>
      </c>
      <c r="H231" s="150" t="s">
        <v>660</v>
      </c>
      <c r="I231" s="150" t="s">
        <v>7187</v>
      </c>
      <c r="M231" t="s">
        <v>7460</v>
      </c>
      <c r="N231" t="s">
        <v>7234</v>
      </c>
      <c r="O231" t="s">
        <v>8191</v>
      </c>
    </row>
    <row r="232" spans="1:15">
      <c r="A232" s="150" t="s">
        <v>7188</v>
      </c>
      <c r="B232" s="150" t="e">
        <v>#N/A</v>
      </c>
      <c r="C232" s="150" t="s">
        <v>7180</v>
      </c>
      <c r="D232" s="150">
        <v>269</v>
      </c>
      <c r="E232" s="150" t="s">
        <v>7462</v>
      </c>
      <c r="F232" s="150" t="s">
        <v>146</v>
      </c>
      <c r="G232" s="150" t="s">
        <v>296</v>
      </c>
      <c r="H232" s="150" t="s">
        <v>660</v>
      </c>
      <c r="I232" s="150" t="s">
        <v>7190</v>
      </c>
      <c r="M232" t="s">
        <v>7460</v>
      </c>
      <c r="N232" t="s">
        <v>7240</v>
      </c>
      <c r="O232" t="s">
        <v>8192</v>
      </c>
    </row>
    <row r="233" spans="1:15">
      <c r="A233" s="150" t="s">
        <v>7188</v>
      </c>
      <c r="B233" s="150" t="e">
        <v>#VALUE!</v>
      </c>
      <c r="C233" s="150" t="s">
        <v>7180</v>
      </c>
      <c r="D233" s="150">
        <v>269</v>
      </c>
      <c r="E233" s="150" t="s">
        <v>7463</v>
      </c>
      <c r="F233" s="150" t="s">
        <v>146</v>
      </c>
      <c r="G233" s="150" t="s">
        <v>296</v>
      </c>
      <c r="H233" s="150" t="s">
        <v>660</v>
      </c>
      <c r="I233" s="150" t="s">
        <v>7190</v>
      </c>
      <c r="M233" t="s">
        <v>7460</v>
      </c>
      <c r="N233" t="s">
        <v>7246</v>
      </c>
      <c r="O233" t="s">
        <v>8193</v>
      </c>
    </row>
    <row r="234" spans="1:15">
      <c r="A234" s="150" t="s">
        <v>7188</v>
      </c>
      <c r="B234" s="150" t="e">
        <v>#VALUE!</v>
      </c>
      <c r="C234" s="150" t="s">
        <v>7180</v>
      </c>
      <c r="D234" s="150">
        <v>269</v>
      </c>
      <c r="E234" s="150" t="s">
        <v>7464</v>
      </c>
      <c r="F234" s="150" t="s">
        <v>146</v>
      </c>
      <c r="G234" s="150" t="s">
        <v>296</v>
      </c>
      <c r="H234" s="150" t="s">
        <v>660</v>
      </c>
      <c r="I234" s="150" t="s">
        <v>7190</v>
      </c>
      <c r="M234" t="s">
        <v>7460</v>
      </c>
      <c r="N234" t="s">
        <v>7252</v>
      </c>
      <c r="O234" t="s">
        <v>8194</v>
      </c>
    </row>
    <row r="235" spans="1:15">
      <c r="A235" s="150" t="s">
        <v>7178</v>
      </c>
      <c r="B235" s="150" t="s">
        <v>7179</v>
      </c>
      <c r="C235" s="150" t="s">
        <v>7180</v>
      </c>
      <c r="D235" s="150">
        <v>270</v>
      </c>
      <c r="E235" s="150" t="s">
        <v>7465</v>
      </c>
      <c r="F235" s="150" t="s">
        <v>146</v>
      </c>
      <c r="G235" s="150" t="s">
        <v>297</v>
      </c>
      <c r="H235" s="150" t="s">
        <v>661</v>
      </c>
      <c r="I235" s="150" t="s">
        <v>7182</v>
      </c>
      <c r="M235" t="s">
        <v>7466</v>
      </c>
      <c r="N235" t="s">
        <v>7258</v>
      </c>
      <c r="O235" t="s">
        <v>8195</v>
      </c>
    </row>
    <row r="236" spans="1:15">
      <c r="A236" s="150" t="s">
        <v>7184</v>
      </c>
      <c r="B236" s="150" t="s">
        <v>7185</v>
      </c>
      <c r="C236" s="150" t="s">
        <v>7180</v>
      </c>
      <c r="D236" s="150">
        <v>270</v>
      </c>
      <c r="E236" s="150" t="s">
        <v>7467</v>
      </c>
      <c r="F236" s="150" t="s">
        <v>146</v>
      </c>
      <c r="G236" s="150" t="s">
        <v>297</v>
      </c>
      <c r="H236" s="150" t="s">
        <v>661</v>
      </c>
      <c r="I236" s="150" t="s">
        <v>7187</v>
      </c>
      <c r="M236" t="s">
        <v>7466</v>
      </c>
      <c r="N236" t="s">
        <v>7264</v>
      </c>
      <c r="O236" t="s">
        <v>8196</v>
      </c>
    </row>
    <row r="237" spans="1:15">
      <c r="A237" s="150" t="s">
        <v>7188</v>
      </c>
      <c r="B237" s="150" t="e">
        <v>#N/A</v>
      </c>
      <c r="C237" s="150" t="s">
        <v>7180</v>
      </c>
      <c r="D237" s="150">
        <v>270</v>
      </c>
      <c r="E237" s="150" t="s">
        <v>7468</v>
      </c>
      <c r="F237" s="150" t="s">
        <v>146</v>
      </c>
      <c r="G237" s="150" t="s">
        <v>297</v>
      </c>
      <c r="H237" s="150" t="s">
        <v>661</v>
      </c>
      <c r="I237" s="150" t="s">
        <v>7190</v>
      </c>
      <c r="M237" t="s">
        <v>7466</v>
      </c>
      <c r="N237" t="s">
        <v>7270</v>
      </c>
      <c r="O237" t="s">
        <v>8197</v>
      </c>
    </row>
    <row r="238" spans="1:15">
      <c r="A238" s="150" t="s">
        <v>7188</v>
      </c>
      <c r="B238" s="150" t="e">
        <v>#VALUE!</v>
      </c>
      <c r="C238" s="150" t="s">
        <v>7180</v>
      </c>
      <c r="D238" s="150">
        <v>270</v>
      </c>
      <c r="E238" s="150" t="s">
        <v>7469</v>
      </c>
      <c r="F238" s="150" t="s">
        <v>146</v>
      </c>
      <c r="G238" s="150" t="s">
        <v>297</v>
      </c>
      <c r="H238" s="150" t="s">
        <v>661</v>
      </c>
      <c r="I238" s="150" t="s">
        <v>7190</v>
      </c>
      <c r="M238" t="s">
        <v>7466</v>
      </c>
      <c r="N238" t="s">
        <v>7276</v>
      </c>
      <c r="O238" t="s">
        <v>8198</v>
      </c>
    </row>
    <row r="239" spans="1:15">
      <c r="A239" s="150" t="s">
        <v>7188</v>
      </c>
      <c r="B239" s="150" t="e">
        <v>#VALUE!</v>
      </c>
      <c r="C239" s="150" t="s">
        <v>7180</v>
      </c>
      <c r="D239" s="150">
        <v>270</v>
      </c>
      <c r="E239" s="150" t="s">
        <v>7470</v>
      </c>
      <c r="F239" s="150" t="s">
        <v>146</v>
      </c>
      <c r="G239" s="150" t="s">
        <v>297</v>
      </c>
      <c r="H239" s="150" t="s">
        <v>661</v>
      </c>
      <c r="I239" s="150" t="s">
        <v>7190</v>
      </c>
      <c r="M239" t="s">
        <v>7466</v>
      </c>
      <c r="N239" t="s">
        <v>7282</v>
      </c>
      <c r="O239" t="s">
        <v>8199</v>
      </c>
    </row>
    <row r="240" spans="1:15">
      <c r="A240" s="150" t="s">
        <v>7178</v>
      </c>
      <c r="B240" s="150" t="s">
        <v>7179</v>
      </c>
      <c r="C240" s="150" t="s">
        <v>7180</v>
      </c>
      <c r="D240" s="150">
        <v>271</v>
      </c>
      <c r="E240" s="150" t="s">
        <v>7471</v>
      </c>
      <c r="F240" s="150" t="s">
        <v>146</v>
      </c>
      <c r="G240" s="150" t="s">
        <v>300</v>
      </c>
      <c r="H240" s="150" t="s">
        <v>91</v>
      </c>
      <c r="I240" s="150" t="s">
        <v>7182</v>
      </c>
      <c r="M240" t="s">
        <v>7472</v>
      </c>
      <c r="N240" t="s">
        <v>7288</v>
      </c>
      <c r="O240" t="s">
        <v>8200</v>
      </c>
    </row>
    <row r="241" spans="1:15">
      <c r="A241" s="150" t="s">
        <v>7184</v>
      </c>
      <c r="B241" s="150" t="s">
        <v>7185</v>
      </c>
      <c r="C241" s="150" t="s">
        <v>7180</v>
      </c>
      <c r="D241" s="150">
        <v>271</v>
      </c>
      <c r="E241" s="150" t="s">
        <v>7473</v>
      </c>
      <c r="F241" s="150" t="s">
        <v>146</v>
      </c>
      <c r="G241" s="150" t="s">
        <v>300</v>
      </c>
      <c r="H241" s="150" t="s">
        <v>91</v>
      </c>
      <c r="I241" s="150" t="s">
        <v>7187</v>
      </c>
      <c r="M241" t="s">
        <v>7472</v>
      </c>
      <c r="N241" t="s">
        <v>7294</v>
      </c>
      <c r="O241" t="s">
        <v>8201</v>
      </c>
    </row>
    <row r="242" spans="1:15">
      <c r="A242" s="150" t="s">
        <v>7188</v>
      </c>
      <c r="B242" s="150" t="e">
        <v>#N/A</v>
      </c>
      <c r="C242" s="150" t="s">
        <v>7180</v>
      </c>
      <c r="D242" s="150">
        <v>271</v>
      </c>
      <c r="E242" s="150" t="s">
        <v>7474</v>
      </c>
      <c r="F242" s="150" t="s">
        <v>146</v>
      </c>
      <c r="G242" s="150" t="s">
        <v>300</v>
      </c>
      <c r="H242" s="150" t="s">
        <v>91</v>
      </c>
      <c r="I242" s="150" t="s">
        <v>7190</v>
      </c>
      <c r="M242" t="s">
        <v>7472</v>
      </c>
      <c r="N242" t="s">
        <v>7300</v>
      </c>
      <c r="O242" t="s">
        <v>8202</v>
      </c>
    </row>
    <row r="243" spans="1:15">
      <c r="A243" s="150" t="s">
        <v>7188</v>
      </c>
      <c r="B243" s="150" t="e">
        <v>#VALUE!</v>
      </c>
      <c r="C243" s="150" t="s">
        <v>7180</v>
      </c>
      <c r="D243" s="150">
        <v>271</v>
      </c>
      <c r="E243" s="150" t="s">
        <v>7475</v>
      </c>
      <c r="F243" s="150" t="s">
        <v>146</v>
      </c>
      <c r="G243" s="150" t="s">
        <v>300</v>
      </c>
      <c r="H243" s="150" t="s">
        <v>91</v>
      </c>
      <c r="I243" s="150" t="s">
        <v>7190</v>
      </c>
      <c r="M243" t="s">
        <v>7472</v>
      </c>
      <c r="N243" t="s">
        <v>7306</v>
      </c>
      <c r="O243" t="s">
        <v>8203</v>
      </c>
    </row>
    <row r="244" spans="1:15">
      <c r="A244" s="150" t="s">
        <v>7188</v>
      </c>
      <c r="B244" s="150" t="e">
        <v>#VALUE!</v>
      </c>
      <c r="C244" s="150" t="s">
        <v>7180</v>
      </c>
      <c r="D244" s="150">
        <v>271</v>
      </c>
      <c r="E244" s="150" t="s">
        <v>7476</v>
      </c>
      <c r="F244" s="150" t="s">
        <v>146</v>
      </c>
      <c r="G244" s="150" t="s">
        <v>300</v>
      </c>
      <c r="H244" s="150" t="s">
        <v>91</v>
      </c>
      <c r="I244" s="150" t="s">
        <v>7190</v>
      </c>
      <c r="M244" t="s">
        <v>7472</v>
      </c>
      <c r="N244" t="s">
        <v>7312</v>
      </c>
      <c r="O244" t="s">
        <v>8204</v>
      </c>
    </row>
    <row r="245" spans="1:15">
      <c r="A245" s="150" t="s">
        <v>7178</v>
      </c>
      <c r="B245" s="150" t="s">
        <v>7179</v>
      </c>
      <c r="C245" s="150" t="s">
        <v>7180</v>
      </c>
      <c r="D245" s="150">
        <v>272</v>
      </c>
      <c r="E245" s="150" t="s">
        <v>7477</v>
      </c>
      <c r="F245" s="150" t="s">
        <v>146</v>
      </c>
      <c r="G245" s="150" t="s">
        <v>299</v>
      </c>
      <c r="H245" s="150" t="s">
        <v>662</v>
      </c>
      <c r="I245" s="150" t="s">
        <v>7182</v>
      </c>
      <c r="M245" t="s">
        <v>7478</v>
      </c>
      <c r="N245" t="s">
        <v>7318</v>
      </c>
      <c r="O245" t="s">
        <v>8205</v>
      </c>
    </row>
    <row r="246" spans="1:15">
      <c r="A246" s="150" t="s">
        <v>7184</v>
      </c>
      <c r="B246" s="150" t="s">
        <v>7185</v>
      </c>
      <c r="C246" s="150" t="s">
        <v>7180</v>
      </c>
      <c r="D246" s="150">
        <v>272</v>
      </c>
      <c r="E246" s="150" t="s">
        <v>7479</v>
      </c>
      <c r="F246" s="150" t="s">
        <v>146</v>
      </c>
      <c r="G246" s="150" t="s">
        <v>299</v>
      </c>
      <c r="H246" s="150" t="s">
        <v>662</v>
      </c>
      <c r="I246" s="150" t="s">
        <v>7187</v>
      </c>
      <c r="M246" t="s">
        <v>7478</v>
      </c>
      <c r="N246" t="s">
        <v>7324</v>
      </c>
      <c r="O246" t="s">
        <v>8206</v>
      </c>
    </row>
    <row r="247" spans="1:15">
      <c r="A247" s="150" t="s">
        <v>7188</v>
      </c>
      <c r="B247" s="150" t="e">
        <v>#N/A</v>
      </c>
      <c r="C247" s="150" t="s">
        <v>7180</v>
      </c>
      <c r="D247" s="150">
        <v>272</v>
      </c>
      <c r="E247" s="150" t="s">
        <v>7480</v>
      </c>
      <c r="F247" s="150" t="s">
        <v>146</v>
      </c>
      <c r="G247" s="150" t="s">
        <v>299</v>
      </c>
      <c r="H247" s="150" t="s">
        <v>662</v>
      </c>
      <c r="I247" s="150" t="s">
        <v>7190</v>
      </c>
      <c r="M247" t="s">
        <v>7478</v>
      </c>
      <c r="N247" t="s">
        <v>7330</v>
      </c>
      <c r="O247" t="s">
        <v>8207</v>
      </c>
    </row>
    <row r="248" spans="1:15">
      <c r="A248" s="150" t="s">
        <v>7188</v>
      </c>
      <c r="B248" s="150" t="e">
        <v>#VALUE!</v>
      </c>
      <c r="C248" s="150" t="s">
        <v>7180</v>
      </c>
      <c r="D248" s="150">
        <v>272</v>
      </c>
      <c r="E248" s="150" t="s">
        <v>7481</v>
      </c>
      <c r="F248" s="150" t="s">
        <v>146</v>
      </c>
      <c r="G248" s="150" t="s">
        <v>299</v>
      </c>
      <c r="H248" s="150" t="s">
        <v>662</v>
      </c>
      <c r="I248" s="150" t="s">
        <v>7190</v>
      </c>
      <c r="M248" t="s">
        <v>7478</v>
      </c>
      <c r="N248" t="s">
        <v>7335</v>
      </c>
      <c r="O248" t="s">
        <v>8208</v>
      </c>
    </row>
    <row r="249" spans="1:15">
      <c r="A249" s="150" t="s">
        <v>7188</v>
      </c>
      <c r="B249" s="150" t="e">
        <v>#VALUE!</v>
      </c>
      <c r="C249" s="150" t="s">
        <v>7180</v>
      </c>
      <c r="D249" s="150">
        <v>272</v>
      </c>
      <c r="E249" s="150" t="s">
        <v>7482</v>
      </c>
      <c r="F249" s="150" t="s">
        <v>146</v>
      </c>
      <c r="G249" s="150" t="s">
        <v>299</v>
      </c>
      <c r="H249" s="150" t="s">
        <v>662</v>
      </c>
      <c r="I249" s="150" t="s">
        <v>7190</v>
      </c>
      <c r="M249" t="s">
        <v>7478</v>
      </c>
      <c r="N249" t="s">
        <v>7341</v>
      </c>
      <c r="O249" t="s">
        <v>8209</v>
      </c>
    </row>
    <row r="250" spans="1:15">
      <c r="A250" s="150" t="s">
        <v>7178</v>
      </c>
      <c r="B250" s="150" t="s">
        <v>7179</v>
      </c>
      <c r="C250" s="150" t="s">
        <v>7180</v>
      </c>
      <c r="D250" s="150">
        <v>273</v>
      </c>
      <c r="E250" s="150" t="s">
        <v>7483</v>
      </c>
      <c r="F250" s="150" t="s">
        <v>146</v>
      </c>
      <c r="G250" s="150" t="s">
        <v>298</v>
      </c>
      <c r="H250" s="150" t="s">
        <v>200</v>
      </c>
      <c r="I250" s="150" t="s">
        <v>7182</v>
      </c>
      <c r="M250" t="s">
        <v>7484</v>
      </c>
      <c r="N250" t="s">
        <v>7347</v>
      </c>
      <c r="O250" t="s">
        <v>8210</v>
      </c>
    </row>
    <row r="251" spans="1:15">
      <c r="A251" s="150" t="s">
        <v>7184</v>
      </c>
      <c r="B251" s="150" t="s">
        <v>7185</v>
      </c>
      <c r="C251" s="150" t="s">
        <v>7180</v>
      </c>
      <c r="D251" s="150">
        <v>273</v>
      </c>
      <c r="E251" s="150" t="s">
        <v>7485</v>
      </c>
      <c r="F251" s="150" t="s">
        <v>146</v>
      </c>
      <c r="G251" s="150" t="s">
        <v>298</v>
      </c>
      <c r="H251" s="150" t="s">
        <v>200</v>
      </c>
      <c r="I251" s="150" t="s">
        <v>7187</v>
      </c>
      <c r="M251" t="s">
        <v>7484</v>
      </c>
      <c r="N251" t="s">
        <v>7353</v>
      </c>
      <c r="O251" t="s">
        <v>8211</v>
      </c>
    </row>
    <row r="252" spans="1:15">
      <c r="A252" s="150" t="s">
        <v>7188</v>
      </c>
      <c r="B252" s="150" t="e">
        <v>#N/A</v>
      </c>
      <c r="C252" s="150" t="s">
        <v>7180</v>
      </c>
      <c r="D252" s="150">
        <v>273</v>
      </c>
      <c r="E252" s="150" t="s">
        <v>7486</v>
      </c>
      <c r="F252" s="150" t="s">
        <v>146</v>
      </c>
      <c r="G252" s="150" t="s">
        <v>298</v>
      </c>
      <c r="H252" s="150" t="s">
        <v>200</v>
      </c>
      <c r="I252" s="150" t="s">
        <v>7190</v>
      </c>
      <c r="M252" t="s">
        <v>7484</v>
      </c>
      <c r="N252" t="s">
        <v>7359</v>
      </c>
      <c r="O252" t="s">
        <v>8212</v>
      </c>
    </row>
    <row r="253" spans="1:15">
      <c r="A253" s="150" t="s">
        <v>7188</v>
      </c>
      <c r="B253" s="150" t="e">
        <v>#VALUE!</v>
      </c>
      <c r="C253" s="150" t="s">
        <v>7180</v>
      </c>
      <c r="D253" s="150">
        <v>273</v>
      </c>
      <c r="E253" s="150" t="s">
        <v>7487</v>
      </c>
      <c r="F253" s="150" t="s">
        <v>146</v>
      </c>
      <c r="G253" s="150" t="s">
        <v>298</v>
      </c>
      <c r="H253" s="150" t="s">
        <v>200</v>
      </c>
      <c r="I253" s="150" t="s">
        <v>7190</v>
      </c>
      <c r="M253" t="s">
        <v>7484</v>
      </c>
      <c r="N253" t="s">
        <v>7365</v>
      </c>
      <c r="O253" t="s">
        <v>8213</v>
      </c>
    </row>
    <row r="254" spans="1:15">
      <c r="A254" s="150" t="s">
        <v>7188</v>
      </c>
      <c r="B254" s="150" t="e">
        <v>#VALUE!</v>
      </c>
      <c r="C254" s="150" t="s">
        <v>7180</v>
      </c>
      <c r="D254" s="150">
        <v>273</v>
      </c>
      <c r="E254" s="150" t="s">
        <v>7488</v>
      </c>
      <c r="F254" s="150" t="s">
        <v>146</v>
      </c>
      <c r="G254" s="150" t="s">
        <v>298</v>
      </c>
      <c r="H254" s="150" t="s">
        <v>200</v>
      </c>
      <c r="I254" s="150" t="s">
        <v>7190</v>
      </c>
      <c r="M254" t="s">
        <v>7484</v>
      </c>
      <c r="N254" t="s">
        <v>7371</v>
      </c>
      <c r="O254" t="s">
        <v>8214</v>
      </c>
    </row>
    <row r="255" spans="1:15" ht="27.6">
      <c r="A255" s="150" t="s">
        <v>7178</v>
      </c>
      <c r="B255" s="150" t="s">
        <v>7179</v>
      </c>
      <c r="C255" s="150" t="s">
        <v>7180</v>
      </c>
      <c r="D255" s="150">
        <v>274</v>
      </c>
      <c r="E255" s="150" t="s">
        <v>7489</v>
      </c>
      <c r="F255" s="150" t="s">
        <v>142</v>
      </c>
      <c r="G255" s="150" t="s">
        <v>223</v>
      </c>
      <c r="H255" s="150" t="s">
        <v>440</v>
      </c>
      <c r="I255" s="150" t="s">
        <v>7182</v>
      </c>
      <c r="M255" t="s">
        <v>7490</v>
      </c>
      <c r="N255" t="s">
        <v>7376</v>
      </c>
      <c r="O255" t="s">
        <v>8215</v>
      </c>
    </row>
    <row r="256" spans="1:15" ht="27.6">
      <c r="A256" s="150" t="s">
        <v>7184</v>
      </c>
      <c r="B256" s="150" t="s">
        <v>7185</v>
      </c>
      <c r="C256" s="150" t="s">
        <v>7180</v>
      </c>
      <c r="D256" s="150">
        <v>274</v>
      </c>
      <c r="E256" s="150" t="s">
        <v>7491</v>
      </c>
      <c r="F256" s="150" t="s">
        <v>142</v>
      </c>
      <c r="G256" s="150" t="s">
        <v>223</v>
      </c>
      <c r="H256" s="150" t="s">
        <v>440</v>
      </c>
      <c r="I256" s="150" t="s">
        <v>7187</v>
      </c>
      <c r="M256" t="s">
        <v>7490</v>
      </c>
      <c r="N256" t="s">
        <v>7382</v>
      </c>
      <c r="O256" t="s">
        <v>8216</v>
      </c>
    </row>
    <row r="257" spans="1:15" ht="27.6">
      <c r="A257" s="150" t="s">
        <v>7188</v>
      </c>
      <c r="B257" s="150" t="e">
        <v>#N/A</v>
      </c>
      <c r="C257" s="150" t="s">
        <v>7180</v>
      </c>
      <c r="D257" s="150">
        <v>274</v>
      </c>
      <c r="E257" s="150" t="s">
        <v>7492</v>
      </c>
      <c r="F257" s="150" t="s">
        <v>142</v>
      </c>
      <c r="G257" s="150" t="s">
        <v>223</v>
      </c>
      <c r="H257" s="150" t="s">
        <v>440</v>
      </c>
      <c r="I257" s="150" t="s">
        <v>7190</v>
      </c>
      <c r="M257" t="s">
        <v>7490</v>
      </c>
      <c r="N257" t="s">
        <v>7388</v>
      </c>
      <c r="O257" t="s">
        <v>8217</v>
      </c>
    </row>
    <row r="258" spans="1:15" ht="27.6">
      <c r="A258" s="150" t="s">
        <v>7188</v>
      </c>
      <c r="B258" s="150" t="e">
        <v>#VALUE!</v>
      </c>
      <c r="C258" s="150" t="s">
        <v>7180</v>
      </c>
      <c r="D258" s="150">
        <v>274</v>
      </c>
      <c r="E258" s="150" t="s">
        <v>7493</v>
      </c>
      <c r="F258" s="150" t="s">
        <v>142</v>
      </c>
      <c r="G258" s="150" t="s">
        <v>223</v>
      </c>
      <c r="H258" s="150" t="s">
        <v>440</v>
      </c>
      <c r="I258" s="150" t="s">
        <v>7190</v>
      </c>
      <c r="M258" t="s">
        <v>7490</v>
      </c>
      <c r="N258" t="s">
        <v>7394</v>
      </c>
      <c r="O258" t="s">
        <v>8218</v>
      </c>
    </row>
    <row r="259" spans="1:15" ht="27.6">
      <c r="A259" s="150" t="s">
        <v>7188</v>
      </c>
      <c r="B259" s="150" t="e">
        <v>#VALUE!</v>
      </c>
      <c r="C259" s="150" t="s">
        <v>7180</v>
      </c>
      <c r="D259" s="150">
        <v>274</v>
      </c>
      <c r="E259" s="150" t="s">
        <v>7494</v>
      </c>
      <c r="F259" s="150" t="s">
        <v>142</v>
      </c>
      <c r="G259" s="150" t="s">
        <v>223</v>
      </c>
      <c r="H259" s="150" t="s">
        <v>440</v>
      </c>
      <c r="I259" s="150" t="s">
        <v>7190</v>
      </c>
      <c r="M259" t="s">
        <v>7490</v>
      </c>
      <c r="N259" t="s">
        <v>7400</v>
      </c>
      <c r="O259" t="s">
        <v>8219</v>
      </c>
    </row>
    <row r="260" spans="1:15" ht="27.6">
      <c r="A260" s="150" t="s">
        <v>7178</v>
      </c>
      <c r="B260" s="150" t="s">
        <v>7179</v>
      </c>
      <c r="C260" s="150" t="s">
        <v>7180</v>
      </c>
      <c r="D260" s="150">
        <v>275</v>
      </c>
      <c r="E260" s="150" t="s">
        <v>7495</v>
      </c>
      <c r="F260" s="150" t="s">
        <v>142</v>
      </c>
      <c r="G260" s="150" t="s">
        <v>224</v>
      </c>
      <c r="H260" s="150" t="s">
        <v>440</v>
      </c>
      <c r="I260" s="150" t="s">
        <v>7182</v>
      </c>
      <c r="M260" t="s">
        <v>7496</v>
      </c>
      <c r="N260" t="s">
        <v>7406</v>
      </c>
      <c r="O260" t="s">
        <v>8220</v>
      </c>
    </row>
    <row r="261" spans="1:15" ht="27.6">
      <c r="A261" s="150" t="s">
        <v>7184</v>
      </c>
      <c r="B261" s="150" t="s">
        <v>7185</v>
      </c>
      <c r="C261" s="150" t="s">
        <v>7180</v>
      </c>
      <c r="D261" s="150">
        <v>275</v>
      </c>
      <c r="E261" s="150" t="s">
        <v>7497</v>
      </c>
      <c r="F261" s="150" t="s">
        <v>142</v>
      </c>
      <c r="G261" s="150" t="s">
        <v>224</v>
      </c>
      <c r="H261" s="150" t="s">
        <v>440</v>
      </c>
      <c r="I261" s="150" t="s">
        <v>7187</v>
      </c>
      <c r="M261" t="s">
        <v>7496</v>
      </c>
      <c r="N261" t="s">
        <v>7412</v>
      </c>
      <c r="O261" t="s">
        <v>8221</v>
      </c>
    </row>
    <row r="262" spans="1:15" ht="27.6">
      <c r="A262" s="150" t="s">
        <v>7188</v>
      </c>
      <c r="B262" s="150" t="e">
        <v>#N/A</v>
      </c>
      <c r="C262" s="150" t="s">
        <v>7180</v>
      </c>
      <c r="D262" s="150">
        <v>275</v>
      </c>
      <c r="E262" s="150" t="s">
        <v>7498</v>
      </c>
      <c r="F262" s="150" t="s">
        <v>142</v>
      </c>
      <c r="G262" s="150" t="s">
        <v>224</v>
      </c>
      <c r="H262" s="150" t="s">
        <v>440</v>
      </c>
      <c r="I262" s="150" t="s">
        <v>7190</v>
      </c>
      <c r="M262" t="s">
        <v>7496</v>
      </c>
      <c r="N262" t="s">
        <v>7418</v>
      </c>
      <c r="O262" t="s">
        <v>8222</v>
      </c>
    </row>
    <row r="263" spans="1:15" ht="27.6">
      <c r="A263" s="150" t="s">
        <v>7188</v>
      </c>
      <c r="B263" s="150" t="e">
        <v>#VALUE!</v>
      </c>
      <c r="C263" s="150" t="s">
        <v>7180</v>
      </c>
      <c r="D263" s="150">
        <v>275</v>
      </c>
      <c r="E263" s="150" t="s">
        <v>7499</v>
      </c>
      <c r="F263" s="150" t="s">
        <v>142</v>
      </c>
      <c r="G263" s="150" t="s">
        <v>224</v>
      </c>
      <c r="H263" s="150" t="s">
        <v>440</v>
      </c>
      <c r="I263" s="150" t="s">
        <v>7190</v>
      </c>
      <c r="M263" t="s">
        <v>7496</v>
      </c>
      <c r="N263" t="s">
        <v>7424</v>
      </c>
      <c r="O263" t="s">
        <v>8223</v>
      </c>
    </row>
    <row r="264" spans="1:15" ht="27.6">
      <c r="A264" s="150" t="s">
        <v>7188</v>
      </c>
      <c r="B264" s="150" t="e">
        <v>#VALUE!</v>
      </c>
      <c r="C264" s="150" t="s">
        <v>7180</v>
      </c>
      <c r="D264" s="150">
        <v>275</v>
      </c>
      <c r="E264" s="150" t="s">
        <v>7500</v>
      </c>
      <c r="F264" s="150" t="s">
        <v>142</v>
      </c>
      <c r="G264" s="150" t="s">
        <v>224</v>
      </c>
      <c r="H264" s="150" t="s">
        <v>440</v>
      </c>
      <c r="I264" s="150" t="s">
        <v>7190</v>
      </c>
      <c r="M264" t="s">
        <v>7496</v>
      </c>
      <c r="N264" t="s">
        <v>7430</v>
      </c>
      <c r="O264" t="s">
        <v>8224</v>
      </c>
    </row>
    <row r="265" spans="1:15">
      <c r="A265" s="150" t="s">
        <v>7178</v>
      </c>
      <c r="B265" s="150" t="s">
        <v>7179</v>
      </c>
      <c r="C265" s="150" t="s">
        <v>7180</v>
      </c>
      <c r="D265" s="150">
        <v>276</v>
      </c>
      <c r="E265" s="150" t="s">
        <v>7501</v>
      </c>
      <c r="F265" s="150" t="s">
        <v>142</v>
      </c>
      <c r="G265" s="150" t="s">
        <v>225</v>
      </c>
      <c r="H265" s="150" t="s">
        <v>367</v>
      </c>
      <c r="I265" s="150" t="s">
        <v>7182</v>
      </c>
      <c r="M265" t="s">
        <v>7502</v>
      </c>
      <c r="N265" t="s">
        <v>7436</v>
      </c>
      <c r="O265" t="s">
        <v>8225</v>
      </c>
    </row>
    <row r="266" spans="1:15">
      <c r="A266" s="150" t="s">
        <v>7184</v>
      </c>
      <c r="B266" s="150" t="s">
        <v>7185</v>
      </c>
      <c r="C266" s="150" t="s">
        <v>7180</v>
      </c>
      <c r="D266" s="150">
        <v>276</v>
      </c>
      <c r="E266" s="150" t="s">
        <v>7503</v>
      </c>
      <c r="F266" s="150" t="s">
        <v>142</v>
      </c>
      <c r="G266" s="150" t="s">
        <v>225</v>
      </c>
      <c r="H266" s="150" t="s">
        <v>367</v>
      </c>
      <c r="I266" s="150" t="s">
        <v>7187</v>
      </c>
      <c r="M266" t="s">
        <v>7502</v>
      </c>
      <c r="N266" t="s">
        <v>7442</v>
      </c>
      <c r="O266" t="s">
        <v>8226</v>
      </c>
    </row>
    <row r="267" spans="1:15">
      <c r="A267" s="150" t="s">
        <v>7188</v>
      </c>
      <c r="B267" s="150" t="e">
        <v>#N/A</v>
      </c>
      <c r="C267" s="150" t="s">
        <v>7180</v>
      </c>
      <c r="D267" s="150">
        <v>276</v>
      </c>
      <c r="E267" s="150" t="s">
        <v>7504</v>
      </c>
      <c r="F267" s="150" t="s">
        <v>142</v>
      </c>
      <c r="G267" s="150" t="s">
        <v>225</v>
      </c>
      <c r="H267" s="150" t="s">
        <v>367</v>
      </c>
      <c r="I267" s="150" t="s">
        <v>7190</v>
      </c>
      <c r="M267" t="s">
        <v>7502</v>
      </c>
      <c r="N267" t="s">
        <v>7448</v>
      </c>
      <c r="O267" t="s">
        <v>8227</v>
      </c>
    </row>
    <row r="268" spans="1:15">
      <c r="A268" s="150" t="s">
        <v>7188</v>
      </c>
      <c r="B268" s="150" t="e">
        <v>#VALUE!</v>
      </c>
      <c r="C268" s="150" t="s">
        <v>7180</v>
      </c>
      <c r="D268" s="150">
        <v>276</v>
      </c>
      <c r="E268" s="150" t="s">
        <v>7505</v>
      </c>
      <c r="F268" s="150" t="s">
        <v>142</v>
      </c>
      <c r="G268" s="150" t="s">
        <v>225</v>
      </c>
      <c r="H268" s="150" t="s">
        <v>367</v>
      </c>
      <c r="I268" s="150" t="s">
        <v>7190</v>
      </c>
      <c r="M268" t="s">
        <v>7502</v>
      </c>
      <c r="N268" t="s">
        <v>7454</v>
      </c>
      <c r="O268" t="s">
        <v>8228</v>
      </c>
    </row>
    <row r="269" spans="1:15">
      <c r="A269" s="150" t="s">
        <v>7188</v>
      </c>
      <c r="B269" s="150" t="e">
        <v>#VALUE!</v>
      </c>
      <c r="C269" s="150" t="s">
        <v>7180</v>
      </c>
      <c r="D269" s="150">
        <v>276</v>
      </c>
      <c r="E269" s="150" t="s">
        <v>7506</v>
      </c>
      <c r="F269" s="150" t="s">
        <v>142</v>
      </c>
      <c r="G269" s="150" t="s">
        <v>225</v>
      </c>
      <c r="H269" s="150" t="s">
        <v>367</v>
      </c>
      <c r="I269" s="150" t="s">
        <v>7190</v>
      </c>
      <c r="M269" t="s">
        <v>7502</v>
      </c>
      <c r="N269" t="s">
        <v>7460</v>
      </c>
      <c r="O269" t="s">
        <v>8229</v>
      </c>
    </row>
    <row r="270" spans="1:15">
      <c r="A270" s="150" t="s">
        <v>7178</v>
      </c>
      <c r="B270" s="150" t="s">
        <v>7179</v>
      </c>
      <c r="C270" s="150" t="s">
        <v>7180</v>
      </c>
      <c r="D270" s="150">
        <v>277</v>
      </c>
      <c r="E270" s="150" t="s">
        <v>7507</v>
      </c>
      <c r="F270" s="150" t="s">
        <v>142</v>
      </c>
      <c r="G270" s="150" t="s">
        <v>225</v>
      </c>
      <c r="H270" s="150" t="s">
        <v>440</v>
      </c>
      <c r="I270" s="150" t="s">
        <v>7182</v>
      </c>
      <c r="M270" t="s">
        <v>7508</v>
      </c>
      <c r="N270" t="s">
        <v>7466</v>
      </c>
      <c r="O270" t="s">
        <v>8230</v>
      </c>
    </row>
    <row r="271" spans="1:15">
      <c r="A271" s="150" t="s">
        <v>7184</v>
      </c>
      <c r="B271" s="150" t="s">
        <v>7185</v>
      </c>
      <c r="C271" s="150" t="s">
        <v>7180</v>
      </c>
      <c r="D271" s="150">
        <v>277</v>
      </c>
      <c r="E271" s="150" t="s">
        <v>7509</v>
      </c>
      <c r="F271" s="150" t="s">
        <v>142</v>
      </c>
      <c r="G271" s="150" t="s">
        <v>225</v>
      </c>
      <c r="H271" s="150" t="s">
        <v>440</v>
      </c>
      <c r="I271" s="150" t="s">
        <v>7187</v>
      </c>
      <c r="M271" t="s">
        <v>7508</v>
      </c>
      <c r="N271" t="s">
        <v>7472</v>
      </c>
      <c r="O271" t="s">
        <v>8231</v>
      </c>
    </row>
    <row r="272" spans="1:15">
      <c r="A272" s="150" t="s">
        <v>7188</v>
      </c>
      <c r="B272" s="150" t="e">
        <v>#N/A</v>
      </c>
      <c r="C272" s="150" t="s">
        <v>7180</v>
      </c>
      <c r="D272" s="150">
        <v>277</v>
      </c>
      <c r="E272" s="150" t="s">
        <v>7510</v>
      </c>
      <c r="F272" s="150" t="s">
        <v>142</v>
      </c>
      <c r="G272" s="150" t="s">
        <v>225</v>
      </c>
      <c r="H272" s="150" t="s">
        <v>440</v>
      </c>
      <c r="I272" s="150" t="s">
        <v>7190</v>
      </c>
      <c r="M272" t="s">
        <v>7508</v>
      </c>
      <c r="N272" t="s">
        <v>7478</v>
      </c>
      <c r="O272" t="s">
        <v>8232</v>
      </c>
    </row>
    <row r="273" spans="1:15">
      <c r="A273" s="150" t="s">
        <v>7188</v>
      </c>
      <c r="B273" s="150" t="e">
        <v>#VALUE!</v>
      </c>
      <c r="C273" s="150" t="s">
        <v>7180</v>
      </c>
      <c r="D273" s="150">
        <v>277</v>
      </c>
      <c r="E273" s="150" t="s">
        <v>7511</v>
      </c>
      <c r="F273" s="150" t="s">
        <v>142</v>
      </c>
      <c r="G273" s="150" t="s">
        <v>225</v>
      </c>
      <c r="H273" s="150" t="s">
        <v>440</v>
      </c>
      <c r="I273" s="150" t="s">
        <v>7190</v>
      </c>
      <c r="M273" t="s">
        <v>7508</v>
      </c>
      <c r="N273" t="s">
        <v>7484</v>
      </c>
      <c r="O273" t="s">
        <v>8233</v>
      </c>
    </row>
    <row r="274" spans="1:15">
      <c r="A274" s="150" t="s">
        <v>7188</v>
      </c>
      <c r="B274" s="150" t="e">
        <v>#VALUE!</v>
      </c>
      <c r="C274" s="150" t="s">
        <v>7180</v>
      </c>
      <c r="D274" s="150">
        <v>277</v>
      </c>
      <c r="E274" s="150" t="s">
        <v>7512</v>
      </c>
      <c r="F274" s="150" t="s">
        <v>142</v>
      </c>
      <c r="G274" s="150" t="s">
        <v>225</v>
      </c>
      <c r="H274" s="150" t="s">
        <v>440</v>
      </c>
      <c r="I274" s="150" t="s">
        <v>7190</v>
      </c>
      <c r="M274" t="s">
        <v>7508</v>
      </c>
      <c r="N274" t="s">
        <v>7490</v>
      </c>
      <c r="O274" t="s">
        <v>8234</v>
      </c>
    </row>
    <row r="275" spans="1:15">
      <c r="A275" s="150" t="s">
        <v>7178</v>
      </c>
      <c r="B275" s="150" t="s">
        <v>7179</v>
      </c>
      <c r="C275" s="150" t="s">
        <v>7180</v>
      </c>
      <c r="D275" s="150">
        <v>278</v>
      </c>
      <c r="E275" s="150" t="s">
        <v>7513</v>
      </c>
      <c r="F275" s="150" t="s">
        <v>142</v>
      </c>
      <c r="G275" s="150" t="s">
        <v>227</v>
      </c>
      <c r="H275" s="150" t="s">
        <v>440</v>
      </c>
      <c r="I275" s="150" t="s">
        <v>7182</v>
      </c>
      <c r="M275" t="s">
        <v>7514</v>
      </c>
      <c r="N275" t="s">
        <v>7496</v>
      </c>
      <c r="O275" t="s">
        <v>8235</v>
      </c>
    </row>
    <row r="276" spans="1:15">
      <c r="A276" s="150" t="s">
        <v>7184</v>
      </c>
      <c r="B276" s="150" t="s">
        <v>7185</v>
      </c>
      <c r="C276" s="150" t="s">
        <v>7180</v>
      </c>
      <c r="D276" s="150">
        <v>278</v>
      </c>
      <c r="E276" s="150" t="s">
        <v>7515</v>
      </c>
      <c r="F276" s="150" t="s">
        <v>142</v>
      </c>
      <c r="G276" s="150" t="s">
        <v>227</v>
      </c>
      <c r="H276" s="150" t="s">
        <v>440</v>
      </c>
      <c r="I276" s="150" t="s">
        <v>7187</v>
      </c>
      <c r="M276" t="s">
        <v>7514</v>
      </c>
      <c r="N276" t="s">
        <v>7502</v>
      </c>
      <c r="O276" t="s">
        <v>8236</v>
      </c>
    </row>
    <row r="277" spans="1:15">
      <c r="A277" s="150" t="s">
        <v>7188</v>
      </c>
      <c r="B277" s="150" t="e">
        <v>#N/A</v>
      </c>
      <c r="C277" s="150" t="s">
        <v>7180</v>
      </c>
      <c r="D277" s="150">
        <v>278</v>
      </c>
      <c r="E277" s="150" t="s">
        <v>7516</v>
      </c>
      <c r="F277" s="150" t="s">
        <v>142</v>
      </c>
      <c r="G277" s="150" t="s">
        <v>227</v>
      </c>
      <c r="H277" s="150" t="s">
        <v>440</v>
      </c>
      <c r="I277" s="150" t="s">
        <v>7190</v>
      </c>
      <c r="M277" t="s">
        <v>7514</v>
      </c>
      <c r="N277" t="s">
        <v>7508</v>
      </c>
      <c r="O277" t="s">
        <v>8237</v>
      </c>
    </row>
    <row r="278" spans="1:15">
      <c r="A278" s="150" t="s">
        <v>7188</v>
      </c>
      <c r="B278" s="150" t="e">
        <v>#VALUE!</v>
      </c>
      <c r="C278" s="150" t="s">
        <v>7180</v>
      </c>
      <c r="D278" s="150">
        <v>278</v>
      </c>
      <c r="E278" s="150" t="s">
        <v>7517</v>
      </c>
      <c r="F278" s="150" t="s">
        <v>142</v>
      </c>
      <c r="G278" s="150" t="s">
        <v>227</v>
      </c>
      <c r="H278" s="150" t="s">
        <v>440</v>
      </c>
      <c r="I278" s="150" t="s">
        <v>7190</v>
      </c>
      <c r="M278" t="s">
        <v>7514</v>
      </c>
      <c r="N278" t="s">
        <v>7514</v>
      </c>
      <c r="O278" t="s">
        <v>8238</v>
      </c>
    </row>
    <row r="279" spans="1:15">
      <c r="A279" s="150" t="s">
        <v>7188</v>
      </c>
      <c r="B279" s="150" t="e">
        <v>#VALUE!</v>
      </c>
      <c r="C279" s="150" t="s">
        <v>7180</v>
      </c>
      <c r="D279" s="150">
        <v>278</v>
      </c>
      <c r="E279" s="150" t="s">
        <v>7518</v>
      </c>
      <c r="F279" s="150" t="s">
        <v>142</v>
      </c>
      <c r="G279" s="150" t="s">
        <v>227</v>
      </c>
      <c r="H279" s="150" t="s">
        <v>440</v>
      </c>
      <c r="I279" s="150" t="s">
        <v>7190</v>
      </c>
      <c r="M279" t="s">
        <v>7514</v>
      </c>
      <c r="N279" t="s">
        <v>7520</v>
      </c>
      <c r="O279" t="s">
        <v>8239</v>
      </c>
    </row>
    <row r="280" spans="1:15" ht="27.6">
      <c r="A280" s="150" t="s">
        <v>7178</v>
      </c>
      <c r="B280" s="150" t="s">
        <v>7179</v>
      </c>
      <c r="C280" s="150" t="s">
        <v>7180</v>
      </c>
      <c r="D280" s="150">
        <v>279</v>
      </c>
      <c r="E280" s="150" t="s">
        <v>7519</v>
      </c>
      <c r="F280" s="150" t="s">
        <v>142</v>
      </c>
      <c r="G280" s="150" t="s">
        <v>226</v>
      </c>
      <c r="H280" s="150" t="s">
        <v>440</v>
      </c>
      <c r="I280" s="150" t="s">
        <v>7182</v>
      </c>
      <c r="M280" t="s">
        <v>7520</v>
      </c>
      <c r="N280" t="s">
        <v>7526</v>
      </c>
      <c r="O280" t="s">
        <v>8240</v>
      </c>
    </row>
    <row r="281" spans="1:15" ht="27.6">
      <c r="A281" s="150" t="s">
        <v>7184</v>
      </c>
      <c r="B281" s="150" t="s">
        <v>7185</v>
      </c>
      <c r="C281" s="150" t="s">
        <v>7180</v>
      </c>
      <c r="D281" s="150">
        <v>279</v>
      </c>
      <c r="E281" s="150" t="s">
        <v>7521</v>
      </c>
      <c r="F281" s="150" t="s">
        <v>142</v>
      </c>
      <c r="G281" s="150" t="s">
        <v>226</v>
      </c>
      <c r="H281" s="150" t="s">
        <v>440</v>
      </c>
      <c r="I281" s="150" t="s">
        <v>7187</v>
      </c>
      <c r="M281" t="s">
        <v>7520</v>
      </c>
      <c r="N281" t="s">
        <v>7532</v>
      </c>
      <c r="O281" t="s">
        <v>8241</v>
      </c>
    </row>
    <row r="282" spans="1:15" ht="27.6">
      <c r="A282" s="150" t="s">
        <v>7188</v>
      </c>
      <c r="B282" s="150" t="e">
        <v>#N/A</v>
      </c>
      <c r="C282" s="150" t="s">
        <v>7180</v>
      </c>
      <c r="D282" s="150">
        <v>279</v>
      </c>
      <c r="E282" s="150" t="s">
        <v>7522</v>
      </c>
      <c r="F282" s="150" t="s">
        <v>142</v>
      </c>
      <c r="G282" s="150" t="s">
        <v>226</v>
      </c>
      <c r="H282" s="150" t="s">
        <v>440</v>
      </c>
      <c r="I282" s="150" t="s">
        <v>7190</v>
      </c>
      <c r="M282" t="s">
        <v>7520</v>
      </c>
      <c r="N282" t="s">
        <v>7540</v>
      </c>
      <c r="O282" t="s">
        <v>8242</v>
      </c>
    </row>
    <row r="283" spans="1:15" ht="27.6">
      <c r="A283" s="150" t="s">
        <v>7188</v>
      </c>
      <c r="B283" s="150" t="e">
        <v>#VALUE!</v>
      </c>
      <c r="C283" s="150" t="s">
        <v>7180</v>
      </c>
      <c r="D283" s="150">
        <v>279</v>
      </c>
      <c r="E283" s="150" t="s">
        <v>7523</v>
      </c>
      <c r="F283" s="150" t="s">
        <v>142</v>
      </c>
      <c r="G283" s="150" t="s">
        <v>226</v>
      </c>
      <c r="H283" s="150" t="s">
        <v>440</v>
      </c>
      <c r="I283" s="150" t="s">
        <v>7190</v>
      </c>
      <c r="M283" t="s">
        <v>7520</v>
      </c>
      <c r="N283" t="s">
        <v>7546</v>
      </c>
      <c r="O283" t="s">
        <v>8243</v>
      </c>
    </row>
    <row r="284" spans="1:15" ht="27.6">
      <c r="A284" s="150" t="s">
        <v>7188</v>
      </c>
      <c r="B284" s="150" t="e">
        <v>#VALUE!</v>
      </c>
      <c r="C284" s="150" t="s">
        <v>7180</v>
      </c>
      <c r="D284" s="150">
        <v>279</v>
      </c>
      <c r="E284" s="150" t="s">
        <v>7524</v>
      </c>
      <c r="F284" s="150" t="s">
        <v>142</v>
      </c>
      <c r="G284" s="150" t="s">
        <v>226</v>
      </c>
      <c r="H284" s="150" t="s">
        <v>440</v>
      </c>
      <c r="I284" s="150" t="s">
        <v>7190</v>
      </c>
      <c r="M284" t="s">
        <v>7520</v>
      </c>
      <c r="N284" t="s">
        <v>7554</v>
      </c>
      <c r="O284" t="s">
        <v>8244</v>
      </c>
    </row>
    <row r="285" spans="1:15" ht="41.4">
      <c r="A285" s="150" t="s">
        <v>7178</v>
      </c>
      <c r="B285" s="150" t="s">
        <v>7179</v>
      </c>
      <c r="C285" s="150" t="s">
        <v>7180</v>
      </c>
      <c r="D285" s="150">
        <v>280</v>
      </c>
      <c r="E285" s="150" t="s">
        <v>7525</v>
      </c>
      <c r="F285" s="150" t="s">
        <v>142</v>
      </c>
      <c r="G285" s="150" t="s">
        <v>231</v>
      </c>
      <c r="H285" s="150" t="s">
        <v>440</v>
      </c>
      <c r="I285" s="150" t="s">
        <v>7182</v>
      </c>
      <c r="M285" t="s">
        <v>7526</v>
      </c>
      <c r="N285" t="s">
        <v>7561</v>
      </c>
      <c r="O285" t="s">
        <v>8245</v>
      </c>
    </row>
    <row r="286" spans="1:15" ht="41.4">
      <c r="A286" s="150" t="s">
        <v>7184</v>
      </c>
      <c r="B286" s="150" t="s">
        <v>7185</v>
      </c>
      <c r="C286" s="150" t="s">
        <v>7180</v>
      </c>
      <c r="D286" s="150">
        <v>280</v>
      </c>
      <c r="E286" s="150" t="s">
        <v>7527</v>
      </c>
      <c r="F286" s="150" t="s">
        <v>142</v>
      </c>
      <c r="G286" s="150" t="s">
        <v>231</v>
      </c>
      <c r="H286" s="150" t="s">
        <v>440</v>
      </c>
      <c r="I286" s="150" t="s">
        <v>7187</v>
      </c>
      <c r="M286" t="s">
        <v>7526</v>
      </c>
      <c r="N286" t="s">
        <v>7567</v>
      </c>
      <c r="O286" t="s">
        <v>8246</v>
      </c>
    </row>
    <row r="287" spans="1:15" ht="41.4">
      <c r="A287" s="150" t="s">
        <v>7188</v>
      </c>
      <c r="B287" s="150" t="e">
        <v>#N/A</v>
      </c>
      <c r="C287" s="150" t="s">
        <v>7180</v>
      </c>
      <c r="D287" s="150">
        <v>280</v>
      </c>
      <c r="E287" s="150" t="s">
        <v>7528</v>
      </c>
      <c r="F287" s="150" t="s">
        <v>142</v>
      </c>
      <c r="G287" s="150" t="s">
        <v>231</v>
      </c>
      <c r="H287" s="150" t="s">
        <v>440</v>
      </c>
      <c r="I287" s="150" t="s">
        <v>7190</v>
      </c>
      <c r="M287" t="s">
        <v>7526</v>
      </c>
      <c r="N287" t="s">
        <v>7573</v>
      </c>
      <c r="O287" t="s">
        <v>8247</v>
      </c>
    </row>
    <row r="288" spans="1:15" ht="41.4">
      <c r="A288" s="150" t="s">
        <v>7188</v>
      </c>
      <c r="B288" s="150" t="e">
        <v>#VALUE!</v>
      </c>
      <c r="C288" s="150" t="s">
        <v>7180</v>
      </c>
      <c r="D288" s="150">
        <v>280</v>
      </c>
      <c r="E288" s="150" t="s">
        <v>7529</v>
      </c>
      <c r="F288" s="150" t="s">
        <v>142</v>
      </c>
      <c r="G288" s="150" t="s">
        <v>231</v>
      </c>
      <c r="H288" s="150" t="s">
        <v>440</v>
      </c>
      <c r="I288" s="150" t="s">
        <v>7190</v>
      </c>
      <c r="M288" t="s">
        <v>7526</v>
      </c>
      <c r="N288" t="s">
        <v>7579</v>
      </c>
      <c r="O288" t="s">
        <v>8248</v>
      </c>
    </row>
    <row r="289" spans="1:15" ht="41.4">
      <c r="A289" s="150" t="s">
        <v>7188</v>
      </c>
      <c r="B289" s="150" t="e">
        <v>#VALUE!</v>
      </c>
      <c r="C289" s="150" t="s">
        <v>7180</v>
      </c>
      <c r="D289" s="150">
        <v>280</v>
      </c>
      <c r="E289" s="150" t="s">
        <v>7530</v>
      </c>
      <c r="F289" s="150" t="s">
        <v>142</v>
      </c>
      <c r="G289" s="150" t="s">
        <v>231</v>
      </c>
      <c r="H289" s="150" t="s">
        <v>440</v>
      </c>
      <c r="I289" s="150" t="s">
        <v>7190</v>
      </c>
      <c r="M289" t="s">
        <v>7526</v>
      </c>
      <c r="N289" t="s">
        <v>7585</v>
      </c>
      <c r="O289" t="s">
        <v>8249</v>
      </c>
    </row>
    <row r="290" spans="1:15" ht="27.6">
      <c r="A290" s="150" t="s">
        <v>7178</v>
      </c>
      <c r="B290" s="150" t="s">
        <v>7179</v>
      </c>
      <c r="C290" s="150" t="s">
        <v>7180</v>
      </c>
      <c r="D290" s="150">
        <v>281</v>
      </c>
      <c r="E290" s="150" t="s">
        <v>7531</v>
      </c>
      <c r="F290" s="150" t="s">
        <v>142</v>
      </c>
      <c r="G290" s="150" t="s">
        <v>228</v>
      </c>
      <c r="H290" s="150" t="s">
        <v>440</v>
      </c>
      <c r="I290" s="150" t="s">
        <v>7182</v>
      </c>
      <c r="M290" t="s">
        <v>7532</v>
      </c>
      <c r="N290" t="s">
        <v>7591</v>
      </c>
      <c r="O290" t="s">
        <v>8250</v>
      </c>
    </row>
    <row r="291" spans="1:15" ht="27.6">
      <c r="A291" s="150" t="s">
        <v>7184</v>
      </c>
      <c r="B291" s="150" t="s">
        <v>7185</v>
      </c>
      <c r="C291" s="150" t="s">
        <v>7180</v>
      </c>
      <c r="D291" s="150">
        <v>281</v>
      </c>
      <c r="E291" s="150" t="s">
        <v>7533</v>
      </c>
      <c r="F291" s="150" t="s">
        <v>142</v>
      </c>
      <c r="G291" s="150" t="s">
        <v>228</v>
      </c>
      <c r="H291" s="150" t="s">
        <v>440</v>
      </c>
      <c r="I291" s="150" t="s">
        <v>7187</v>
      </c>
      <c r="M291" t="s">
        <v>7532</v>
      </c>
      <c r="N291" t="s">
        <v>7597</v>
      </c>
      <c r="O291" t="s">
        <v>8251</v>
      </c>
    </row>
    <row r="292" spans="1:15" ht="27.6">
      <c r="A292" s="150" t="s">
        <v>7188</v>
      </c>
      <c r="B292" s="150" t="e">
        <v>#N/A</v>
      </c>
      <c r="C292" s="150" t="s">
        <v>7180</v>
      </c>
      <c r="D292" s="150">
        <v>281</v>
      </c>
      <c r="E292" s="150" t="s">
        <v>7534</v>
      </c>
      <c r="F292" s="150" t="s">
        <v>142</v>
      </c>
      <c r="G292" s="150" t="s">
        <v>228</v>
      </c>
      <c r="H292" s="150" t="s">
        <v>440</v>
      </c>
      <c r="I292" s="150" t="s">
        <v>7190</v>
      </c>
      <c r="M292" t="s">
        <v>7532</v>
      </c>
      <c r="N292" t="s">
        <v>7603</v>
      </c>
      <c r="O292" t="s">
        <v>8252</v>
      </c>
    </row>
    <row r="293" spans="1:15" ht="27.6">
      <c r="A293" s="150" t="s">
        <v>7188</v>
      </c>
      <c r="B293" s="150" t="e">
        <v>#VALUE!</v>
      </c>
      <c r="C293" s="150" t="s">
        <v>7180</v>
      </c>
      <c r="D293" s="150">
        <v>281</v>
      </c>
      <c r="E293" s="150" t="s">
        <v>7535</v>
      </c>
      <c r="F293" s="150" t="s">
        <v>142</v>
      </c>
      <c r="G293" s="150" t="s">
        <v>228</v>
      </c>
      <c r="H293" s="150" t="s">
        <v>440</v>
      </c>
      <c r="I293" s="150" t="s">
        <v>7190</v>
      </c>
      <c r="M293" t="s">
        <v>7532</v>
      </c>
      <c r="N293" t="s">
        <v>7609</v>
      </c>
      <c r="O293" t="s">
        <v>8253</v>
      </c>
    </row>
    <row r="294" spans="1:15" ht="27.6">
      <c r="A294" s="150" t="s">
        <v>7188</v>
      </c>
      <c r="B294" s="150" t="e">
        <v>#VALUE!</v>
      </c>
      <c r="C294" s="150" t="s">
        <v>7180</v>
      </c>
      <c r="D294" s="150">
        <v>281</v>
      </c>
      <c r="E294" s="150" t="s">
        <v>7536</v>
      </c>
      <c r="F294" s="150" t="s">
        <v>142</v>
      </c>
      <c r="G294" s="150" t="s">
        <v>228</v>
      </c>
      <c r="H294" s="150" t="s">
        <v>440</v>
      </c>
      <c r="I294" s="150" t="s">
        <v>7190</v>
      </c>
      <c r="M294" t="s">
        <v>7532</v>
      </c>
      <c r="N294" t="s">
        <v>7615</v>
      </c>
      <c r="O294" t="s">
        <v>8254</v>
      </c>
    </row>
    <row r="295" spans="1:15">
      <c r="A295" s="150" t="s">
        <v>325</v>
      </c>
      <c r="B295" s="150" t="s">
        <v>7537</v>
      </c>
      <c r="C295" s="150" t="s">
        <v>7180</v>
      </c>
      <c r="D295" s="150">
        <v>282</v>
      </c>
      <c r="E295" s="150" t="s">
        <v>7538</v>
      </c>
      <c r="F295" s="150" t="s">
        <v>142</v>
      </c>
      <c r="G295" s="150" t="s">
        <v>229</v>
      </c>
      <c r="H295" s="150"/>
      <c r="I295" s="150" t="s">
        <v>7539</v>
      </c>
      <c r="M295" t="s">
        <v>7540</v>
      </c>
      <c r="N295" t="s">
        <v>7622</v>
      </c>
      <c r="O295" t="s">
        <v>8255</v>
      </c>
    </row>
    <row r="296" spans="1:15">
      <c r="A296" s="150" t="s">
        <v>7178</v>
      </c>
      <c r="B296" s="150" t="s">
        <v>7179</v>
      </c>
      <c r="C296" s="150" t="s">
        <v>7180</v>
      </c>
      <c r="D296" s="150">
        <v>282</v>
      </c>
      <c r="E296" s="150" t="s">
        <v>7541</v>
      </c>
      <c r="F296" s="150" t="s">
        <v>142</v>
      </c>
      <c r="G296" s="150" t="s">
        <v>229</v>
      </c>
      <c r="H296" s="150"/>
      <c r="I296" s="150" t="s">
        <v>7182</v>
      </c>
      <c r="M296" t="s">
        <v>7540</v>
      </c>
      <c r="N296" t="s">
        <v>7629</v>
      </c>
      <c r="O296" t="s">
        <v>8256</v>
      </c>
    </row>
    <row r="297" spans="1:15">
      <c r="A297" s="150" t="s">
        <v>7188</v>
      </c>
      <c r="B297" s="150" t="e">
        <v>#N/A</v>
      </c>
      <c r="C297" s="150" t="s">
        <v>7180</v>
      </c>
      <c r="D297" s="150">
        <v>282</v>
      </c>
      <c r="E297" s="150" t="s">
        <v>7542</v>
      </c>
      <c r="F297" s="150" t="s">
        <v>142</v>
      </c>
      <c r="G297" s="150" t="s">
        <v>229</v>
      </c>
      <c r="H297" s="150"/>
      <c r="I297" s="150" t="s">
        <v>7190</v>
      </c>
      <c r="M297" t="s">
        <v>7540</v>
      </c>
      <c r="N297" t="s">
        <v>7636</v>
      </c>
      <c r="O297" t="s">
        <v>8257</v>
      </c>
    </row>
    <row r="298" spans="1:15">
      <c r="A298" s="150" t="s">
        <v>7188</v>
      </c>
      <c r="B298" s="150" t="e">
        <v>#VALUE!</v>
      </c>
      <c r="C298" s="150" t="s">
        <v>7180</v>
      </c>
      <c r="D298" s="150">
        <v>282</v>
      </c>
      <c r="E298" s="150" t="s">
        <v>7543</v>
      </c>
      <c r="F298" s="150" t="s">
        <v>142</v>
      </c>
      <c r="G298" s="150" t="s">
        <v>229</v>
      </c>
      <c r="H298" s="150"/>
      <c r="I298" s="150" t="s">
        <v>7190</v>
      </c>
      <c r="M298" t="s">
        <v>7540</v>
      </c>
      <c r="N298" t="s">
        <v>7643</v>
      </c>
      <c r="O298" t="s">
        <v>8258</v>
      </c>
    </row>
    <row r="299" spans="1:15">
      <c r="A299" s="150" t="s">
        <v>7188</v>
      </c>
      <c r="B299" s="150" t="e">
        <v>#VALUE!</v>
      </c>
      <c r="C299" s="150" t="s">
        <v>7180</v>
      </c>
      <c r="D299" s="150">
        <v>282</v>
      </c>
      <c r="E299" s="150" t="s">
        <v>7544</v>
      </c>
      <c r="F299" s="150" t="s">
        <v>142</v>
      </c>
      <c r="G299" s="150" t="s">
        <v>229</v>
      </c>
      <c r="H299" s="150"/>
      <c r="I299" s="150" t="s">
        <v>7190</v>
      </c>
      <c r="M299" t="s">
        <v>7540</v>
      </c>
      <c r="N299" t="s">
        <v>7650</v>
      </c>
      <c r="O299" t="s">
        <v>8259</v>
      </c>
    </row>
    <row r="300" spans="1:15">
      <c r="A300" s="150" t="s">
        <v>7178</v>
      </c>
      <c r="B300" s="150" t="s">
        <v>7179</v>
      </c>
      <c r="C300" s="150" t="s">
        <v>7180</v>
      </c>
      <c r="D300" s="150">
        <v>283</v>
      </c>
      <c r="E300" s="150" t="s">
        <v>7545</v>
      </c>
      <c r="F300" s="150" t="s">
        <v>142</v>
      </c>
      <c r="G300" s="150" t="s">
        <v>152</v>
      </c>
      <c r="H300" s="150" t="s">
        <v>663</v>
      </c>
      <c r="I300" s="150" t="s">
        <v>7182</v>
      </c>
      <c r="M300" t="s">
        <v>7546</v>
      </c>
      <c r="N300" t="s">
        <v>7657</v>
      </c>
      <c r="O300" t="s">
        <v>8260</v>
      </c>
    </row>
    <row r="301" spans="1:15">
      <c r="A301" s="150" t="s">
        <v>7184</v>
      </c>
      <c r="B301" s="150" t="s">
        <v>7185</v>
      </c>
      <c r="C301" s="150" t="s">
        <v>7180</v>
      </c>
      <c r="D301" s="150">
        <v>283</v>
      </c>
      <c r="E301" s="150" t="s">
        <v>7547</v>
      </c>
      <c r="F301" s="150" t="s">
        <v>142</v>
      </c>
      <c r="G301" s="150" t="s">
        <v>152</v>
      </c>
      <c r="H301" s="150" t="s">
        <v>663</v>
      </c>
      <c r="I301" s="150" t="s">
        <v>7187</v>
      </c>
      <c r="M301" t="s">
        <v>7546</v>
      </c>
      <c r="N301" t="s">
        <v>7664</v>
      </c>
      <c r="O301" t="s">
        <v>8261</v>
      </c>
    </row>
    <row r="302" spans="1:15">
      <c r="A302" s="150" t="s">
        <v>7188</v>
      </c>
      <c r="B302" s="150" t="e">
        <v>#N/A</v>
      </c>
      <c r="C302" s="150" t="s">
        <v>7180</v>
      </c>
      <c r="D302" s="150">
        <v>283</v>
      </c>
      <c r="E302" s="150" t="s">
        <v>7548</v>
      </c>
      <c r="F302" s="150" t="s">
        <v>142</v>
      </c>
      <c r="G302" s="150" t="s">
        <v>152</v>
      </c>
      <c r="H302" s="150" t="s">
        <v>663</v>
      </c>
      <c r="I302" s="150" t="s">
        <v>7190</v>
      </c>
      <c r="M302" t="s">
        <v>7546</v>
      </c>
      <c r="N302" t="s">
        <v>7671</v>
      </c>
      <c r="O302" t="s">
        <v>8262</v>
      </c>
    </row>
    <row r="303" spans="1:15">
      <c r="A303" s="150" t="s">
        <v>7188</v>
      </c>
      <c r="B303" s="150" t="e">
        <v>#VALUE!</v>
      </c>
      <c r="C303" s="150" t="s">
        <v>7180</v>
      </c>
      <c r="D303" s="150">
        <v>283</v>
      </c>
      <c r="E303" s="150" t="s">
        <v>7549</v>
      </c>
      <c r="F303" s="150" t="s">
        <v>142</v>
      </c>
      <c r="G303" s="150" t="s">
        <v>152</v>
      </c>
      <c r="H303" s="150" t="s">
        <v>663</v>
      </c>
      <c r="I303" s="150" t="s">
        <v>7190</v>
      </c>
      <c r="M303" t="s">
        <v>7546</v>
      </c>
      <c r="N303" t="s">
        <v>7678</v>
      </c>
      <c r="O303" t="s">
        <v>8263</v>
      </c>
    </row>
    <row r="304" spans="1:15">
      <c r="A304" s="150" t="s">
        <v>7188</v>
      </c>
      <c r="B304" s="150" t="e">
        <v>#VALUE!</v>
      </c>
      <c r="C304" s="150" t="s">
        <v>7180</v>
      </c>
      <c r="D304" s="150">
        <v>283</v>
      </c>
      <c r="E304" s="150" t="s">
        <v>7550</v>
      </c>
      <c r="F304" s="150" t="s">
        <v>142</v>
      </c>
      <c r="G304" s="150" t="s">
        <v>152</v>
      </c>
      <c r="H304" s="150" t="s">
        <v>663</v>
      </c>
      <c r="I304" s="150" t="s">
        <v>7190</v>
      </c>
      <c r="M304" t="s">
        <v>7546</v>
      </c>
      <c r="N304" t="s">
        <v>7685</v>
      </c>
      <c r="O304" t="s">
        <v>8264</v>
      </c>
    </row>
    <row r="305" spans="1:15">
      <c r="A305" s="150" t="s">
        <v>137</v>
      </c>
      <c r="B305" s="150" t="s">
        <v>7551</v>
      </c>
      <c r="C305" s="150" t="s">
        <v>7180</v>
      </c>
      <c r="D305" s="150">
        <v>284</v>
      </c>
      <c r="E305" s="150" t="s">
        <v>7552</v>
      </c>
      <c r="F305" s="150"/>
      <c r="G305" s="150" t="s">
        <v>647</v>
      </c>
      <c r="H305" s="150" t="s">
        <v>673</v>
      </c>
      <c r="I305" s="150" t="s">
        <v>7553</v>
      </c>
      <c r="M305" t="s">
        <v>7554</v>
      </c>
      <c r="N305" t="s">
        <v>7692</v>
      </c>
      <c r="O305" t="s">
        <v>8265</v>
      </c>
    </row>
    <row r="306" spans="1:15">
      <c r="A306" s="150" t="s">
        <v>7178</v>
      </c>
      <c r="B306" s="150" t="s">
        <v>7179</v>
      </c>
      <c r="C306" s="150" t="s">
        <v>7180</v>
      </c>
      <c r="D306" s="150">
        <v>284</v>
      </c>
      <c r="E306" s="150" t="s">
        <v>7555</v>
      </c>
      <c r="F306" s="150"/>
      <c r="G306" s="150" t="s">
        <v>647</v>
      </c>
      <c r="H306" s="150" t="s">
        <v>673</v>
      </c>
      <c r="I306" s="150" t="s">
        <v>7182</v>
      </c>
      <c r="M306" t="s">
        <v>7554</v>
      </c>
      <c r="N306" t="s">
        <v>7699</v>
      </c>
      <c r="O306" t="s">
        <v>8266</v>
      </c>
    </row>
    <row r="307" spans="1:15">
      <c r="A307" s="150" t="s">
        <v>7184</v>
      </c>
      <c r="B307" s="150" t="s">
        <v>7185</v>
      </c>
      <c r="C307" s="150" t="s">
        <v>7180</v>
      </c>
      <c r="D307" s="150">
        <v>284</v>
      </c>
      <c r="E307" s="150" t="s">
        <v>7556</v>
      </c>
      <c r="F307" s="150"/>
      <c r="G307" s="150" t="s">
        <v>647</v>
      </c>
      <c r="H307" s="150" t="s">
        <v>673</v>
      </c>
      <c r="I307" s="150" t="s">
        <v>7187</v>
      </c>
      <c r="M307" t="s">
        <v>7554</v>
      </c>
      <c r="N307" t="s">
        <v>7705</v>
      </c>
      <c r="O307" t="s">
        <v>8267</v>
      </c>
    </row>
    <row r="308" spans="1:15">
      <c r="A308" s="150" t="s">
        <v>7188</v>
      </c>
      <c r="B308" s="150" t="e">
        <v>#N/A</v>
      </c>
      <c r="C308" s="150" t="s">
        <v>7180</v>
      </c>
      <c r="D308" s="150">
        <v>284</v>
      </c>
      <c r="E308" s="150" t="s">
        <v>7557</v>
      </c>
      <c r="F308" s="150"/>
      <c r="G308" s="150" t="s">
        <v>647</v>
      </c>
      <c r="H308" s="150" t="s">
        <v>673</v>
      </c>
      <c r="I308" s="150" t="s">
        <v>7190</v>
      </c>
      <c r="M308" t="s">
        <v>7554</v>
      </c>
      <c r="N308" t="s">
        <v>7711</v>
      </c>
      <c r="O308" t="s">
        <v>8268</v>
      </c>
    </row>
    <row r="309" spans="1:15">
      <c r="A309" s="150" t="s">
        <v>7188</v>
      </c>
      <c r="B309" s="150" t="e">
        <v>#VALUE!</v>
      </c>
      <c r="C309" s="150" t="s">
        <v>7180</v>
      </c>
      <c r="D309" s="150">
        <v>284</v>
      </c>
      <c r="E309" s="150" t="s">
        <v>7558</v>
      </c>
      <c r="F309" s="150"/>
      <c r="G309" s="150" t="s">
        <v>647</v>
      </c>
      <c r="H309" s="150" t="s">
        <v>673</v>
      </c>
      <c r="I309" s="150" t="s">
        <v>7190</v>
      </c>
      <c r="M309" t="s">
        <v>7554</v>
      </c>
      <c r="N309" t="s">
        <v>7717</v>
      </c>
      <c r="O309" t="s">
        <v>8269</v>
      </c>
    </row>
    <row r="310" spans="1:15">
      <c r="A310" s="150" t="s">
        <v>7188</v>
      </c>
      <c r="B310" s="150" t="e">
        <v>#VALUE!</v>
      </c>
      <c r="C310" s="150" t="s">
        <v>7180</v>
      </c>
      <c r="D310" s="150">
        <v>284</v>
      </c>
      <c r="E310" s="150" t="s">
        <v>7559</v>
      </c>
      <c r="F310" s="150"/>
      <c r="G310" s="150" t="s">
        <v>647</v>
      </c>
      <c r="H310" s="150" t="s">
        <v>673</v>
      </c>
      <c r="I310" s="150" t="s">
        <v>7190</v>
      </c>
      <c r="M310" t="s">
        <v>7554</v>
      </c>
      <c r="N310" t="s">
        <v>7943</v>
      </c>
      <c r="O310" t="s">
        <v>8270</v>
      </c>
    </row>
    <row r="311" spans="1:15">
      <c r="A311" s="150" t="s">
        <v>7178</v>
      </c>
      <c r="B311" s="150" t="s">
        <v>7179</v>
      </c>
      <c r="C311" s="150" t="s">
        <v>7180</v>
      </c>
      <c r="D311" s="150">
        <v>285</v>
      </c>
      <c r="E311" s="150" t="s">
        <v>7560</v>
      </c>
      <c r="F311" s="150" t="s">
        <v>145</v>
      </c>
      <c r="G311" s="150" t="s">
        <v>155</v>
      </c>
      <c r="H311" s="150" t="s">
        <v>100</v>
      </c>
      <c r="I311" s="150" t="s">
        <v>7182</v>
      </c>
      <c r="M311" t="s">
        <v>7561</v>
      </c>
      <c r="N311" t="s">
        <v>7944</v>
      </c>
      <c r="O311" t="s">
        <v>8271</v>
      </c>
    </row>
    <row r="312" spans="1:15">
      <c r="A312" s="150" t="s">
        <v>7184</v>
      </c>
      <c r="B312" s="150" t="s">
        <v>7185</v>
      </c>
      <c r="C312" s="150" t="s">
        <v>7180</v>
      </c>
      <c r="D312" s="150">
        <v>285</v>
      </c>
      <c r="E312" s="150" t="s">
        <v>7562</v>
      </c>
      <c r="F312" s="150" t="s">
        <v>145</v>
      </c>
      <c r="G312" s="150" t="s">
        <v>155</v>
      </c>
      <c r="H312" s="150" t="s">
        <v>100</v>
      </c>
      <c r="I312" s="150" t="s">
        <v>7187</v>
      </c>
      <c r="M312" t="s">
        <v>7561</v>
      </c>
      <c r="N312" t="s">
        <v>7945</v>
      </c>
      <c r="O312" t="s">
        <v>8272</v>
      </c>
    </row>
    <row r="313" spans="1:15">
      <c r="A313" s="150" t="s">
        <v>7188</v>
      </c>
      <c r="B313" s="150" t="e">
        <v>#N/A</v>
      </c>
      <c r="C313" s="150" t="s">
        <v>7180</v>
      </c>
      <c r="D313" s="150">
        <v>285</v>
      </c>
      <c r="E313" s="150" t="s">
        <v>7563</v>
      </c>
      <c r="F313" s="150" t="s">
        <v>145</v>
      </c>
      <c r="G313" s="150" t="s">
        <v>155</v>
      </c>
      <c r="H313" s="150" t="s">
        <v>100</v>
      </c>
      <c r="I313" s="150" t="s">
        <v>7190</v>
      </c>
      <c r="M313" t="s">
        <v>7561</v>
      </c>
      <c r="N313" t="s">
        <v>7946</v>
      </c>
      <c r="O313" t="s">
        <v>8273</v>
      </c>
    </row>
    <row r="314" spans="1:15">
      <c r="A314" s="150" t="s">
        <v>7188</v>
      </c>
      <c r="B314" s="150" t="e">
        <v>#VALUE!</v>
      </c>
      <c r="C314" s="150" t="s">
        <v>7180</v>
      </c>
      <c r="D314" s="150">
        <v>285</v>
      </c>
      <c r="E314" s="150" t="s">
        <v>7564</v>
      </c>
      <c r="F314" s="150" t="s">
        <v>145</v>
      </c>
      <c r="G314" s="150" t="s">
        <v>155</v>
      </c>
      <c r="H314" s="150" t="s">
        <v>100</v>
      </c>
      <c r="I314" s="150" t="s">
        <v>7190</v>
      </c>
      <c r="M314" t="s">
        <v>7561</v>
      </c>
      <c r="N314" t="s">
        <v>7724</v>
      </c>
      <c r="O314" t="s">
        <v>8274</v>
      </c>
    </row>
    <row r="315" spans="1:15">
      <c r="A315" s="150" t="s">
        <v>7188</v>
      </c>
      <c r="B315" s="150" t="e">
        <v>#VALUE!</v>
      </c>
      <c r="C315" s="150" t="s">
        <v>7180</v>
      </c>
      <c r="D315" s="150">
        <v>285</v>
      </c>
      <c r="E315" s="150" t="s">
        <v>7565</v>
      </c>
      <c r="F315" s="150" t="s">
        <v>145</v>
      </c>
      <c r="G315" s="150" t="s">
        <v>155</v>
      </c>
      <c r="H315" s="150" t="s">
        <v>100</v>
      </c>
      <c r="I315" s="150" t="s">
        <v>7190</v>
      </c>
      <c r="M315" t="s">
        <v>7561</v>
      </c>
      <c r="N315" t="s">
        <v>7947</v>
      </c>
      <c r="O315" t="s">
        <v>8275</v>
      </c>
    </row>
    <row r="316" spans="1:15">
      <c r="A316" s="150" t="s">
        <v>7178</v>
      </c>
      <c r="B316" s="150" t="s">
        <v>7179</v>
      </c>
      <c r="C316" s="150" t="s">
        <v>7180</v>
      </c>
      <c r="D316" s="150">
        <v>286</v>
      </c>
      <c r="E316" s="150" t="s">
        <v>7566</v>
      </c>
      <c r="F316" s="150" t="s">
        <v>145</v>
      </c>
      <c r="G316" s="150" t="s">
        <v>155</v>
      </c>
      <c r="H316" s="150" t="s">
        <v>664</v>
      </c>
      <c r="I316" s="150" t="s">
        <v>7182</v>
      </c>
      <c r="M316" t="s">
        <v>7567</v>
      </c>
      <c r="N316" t="s">
        <v>7948</v>
      </c>
      <c r="O316" t="s">
        <v>8276</v>
      </c>
    </row>
    <row r="317" spans="1:15">
      <c r="A317" s="150" t="s">
        <v>7184</v>
      </c>
      <c r="B317" s="150" t="s">
        <v>7185</v>
      </c>
      <c r="C317" s="150" t="s">
        <v>7180</v>
      </c>
      <c r="D317" s="150">
        <v>286</v>
      </c>
      <c r="E317" s="150" t="s">
        <v>7568</v>
      </c>
      <c r="F317" s="150" t="s">
        <v>145</v>
      </c>
      <c r="G317" s="150" t="s">
        <v>155</v>
      </c>
      <c r="H317" s="150" t="s">
        <v>664</v>
      </c>
      <c r="I317" s="150" t="s">
        <v>7187</v>
      </c>
      <c r="M317" t="s">
        <v>7567</v>
      </c>
      <c r="N317" t="s">
        <v>7949</v>
      </c>
      <c r="O317" t="s">
        <v>8277</v>
      </c>
    </row>
    <row r="318" spans="1:15">
      <c r="A318" s="150" t="s">
        <v>7188</v>
      </c>
      <c r="B318" s="150" t="e">
        <v>#N/A</v>
      </c>
      <c r="C318" s="150" t="s">
        <v>7180</v>
      </c>
      <c r="D318" s="150">
        <v>286</v>
      </c>
      <c r="E318" s="150" t="s">
        <v>7569</v>
      </c>
      <c r="F318" s="150" t="s">
        <v>145</v>
      </c>
      <c r="G318" s="150" t="s">
        <v>155</v>
      </c>
      <c r="H318" s="150" t="s">
        <v>664</v>
      </c>
      <c r="I318" s="150" t="s">
        <v>7190</v>
      </c>
      <c r="M318" t="s">
        <v>7567</v>
      </c>
      <c r="N318" t="s">
        <v>7950</v>
      </c>
      <c r="O318" t="s">
        <v>8278</v>
      </c>
    </row>
    <row r="319" spans="1:15">
      <c r="A319" s="150" t="s">
        <v>7188</v>
      </c>
      <c r="B319" s="150" t="e">
        <v>#VALUE!</v>
      </c>
      <c r="C319" s="150" t="s">
        <v>7180</v>
      </c>
      <c r="D319" s="150">
        <v>286</v>
      </c>
      <c r="E319" s="150" t="s">
        <v>7570</v>
      </c>
      <c r="F319" s="150" t="s">
        <v>145</v>
      </c>
      <c r="G319" s="150" t="s">
        <v>155</v>
      </c>
      <c r="H319" s="150" t="s">
        <v>664</v>
      </c>
      <c r="I319" s="150" t="s">
        <v>7190</v>
      </c>
      <c r="M319" t="s">
        <v>7567</v>
      </c>
      <c r="N319" t="s">
        <v>7951</v>
      </c>
      <c r="O319" t="s">
        <v>8279</v>
      </c>
    </row>
    <row r="320" spans="1:15">
      <c r="A320" s="150" t="s">
        <v>7188</v>
      </c>
      <c r="B320" s="150" t="e">
        <v>#VALUE!</v>
      </c>
      <c r="C320" s="150" t="s">
        <v>7180</v>
      </c>
      <c r="D320" s="150">
        <v>286</v>
      </c>
      <c r="E320" s="150" t="s">
        <v>7571</v>
      </c>
      <c r="F320" s="150" t="s">
        <v>145</v>
      </c>
      <c r="G320" s="150" t="s">
        <v>155</v>
      </c>
      <c r="H320" s="150" t="s">
        <v>664</v>
      </c>
      <c r="I320" s="150" t="s">
        <v>7190</v>
      </c>
      <c r="M320" t="s">
        <v>7567</v>
      </c>
      <c r="N320" t="s">
        <v>7952</v>
      </c>
      <c r="O320" t="s">
        <v>8280</v>
      </c>
    </row>
    <row r="321" spans="1:15">
      <c r="A321" s="150" t="s">
        <v>7178</v>
      </c>
      <c r="B321" s="150" t="s">
        <v>7179</v>
      </c>
      <c r="C321" s="150" t="s">
        <v>7180</v>
      </c>
      <c r="D321" s="150">
        <v>287</v>
      </c>
      <c r="E321" s="150" t="s">
        <v>7572</v>
      </c>
      <c r="F321" s="150" t="s">
        <v>145</v>
      </c>
      <c r="G321" s="150" t="s">
        <v>155</v>
      </c>
      <c r="H321" s="150" t="s">
        <v>665</v>
      </c>
      <c r="I321" s="150" t="s">
        <v>7182</v>
      </c>
      <c r="M321" t="s">
        <v>7573</v>
      </c>
      <c r="N321" t="s">
        <v>7953</v>
      </c>
      <c r="O321" t="s">
        <v>8281</v>
      </c>
    </row>
    <row r="322" spans="1:15">
      <c r="A322" s="150" t="s">
        <v>7184</v>
      </c>
      <c r="B322" s="150" t="s">
        <v>7185</v>
      </c>
      <c r="C322" s="150" t="s">
        <v>7180</v>
      </c>
      <c r="D322" s="150">
        <v>287</v>
      </c>
      <c r="E322" s="150" t="s">
        <v>7574</v>
      </c>
      <c r="F322" s="150" t="s">
        <v>145</v>
      </c>
      <c r="G322" s="150" t="s">
        <v>155</v>
      </c>
      <c r="H322" s="150" t="s">
        <v>665</v>
      </c>
      <c r="I322" s="150" t="s">
        <v>7187</v>
      </c>
      <c r="M322" t="s">
        <v>7573</v>
      </c>
      <c r="N322" t="s">
        <v>7954</v>
      </c>
      <c r="O322" t="s">
        <v>8282</v>
      </c>
    </row>
    <row r="323" spans="1:15">
      <c r="A323" s="150" t="s">
        <v>7188</v>
      </c>
      <c r="B323" s="150" t="e">
        <v>#N/A</v>
      </c>
      <c r="C323" s="150" t="s">
        <v>7180</v>
      </c>
      <c r="D323" s="150">
        <v>287</v>
      </c>
      <c r="E323" s="150" t="s">
        <v>7575</v>
      </c>
      <c r="F323" s="150" t="s">
        <v>145</v>
      </c>
      <c r="G323" s="150" t="s">
        <v>155</v>
      </c>
      <c r="H323" s="150" t="s">
        <v>665</v>
      </c>
      <c r="I323" s="150" t="s">
        <v>7190</v>
      </c>
      <c r="M323" t="s">
        <v>7573</v>
      </c>
      <c r="N323" t="s">
        <v>7724</v>
      </c>
      <c r="O323" t="s">
        <v>8283</v>
      </c>
    </row>
    <row r="324" spans="1:15">
      <c r="A324" s="150" t="s">
        <v>7188</v>
      </c>
      <c r="B324" s="150" t="e">
        <v>#VALUE!</v>
      </c>
      <c r="C324" s="150" t="s">
        <v>7180</v>
      </c>
      <c r="D324" s="150">
        <v>287</v>
      </c>
      <c r="E324" s="150" t="s">
        <v>7576</v>
      </c>
      <c r="F324" s="150" t="s">
        <v>145</v>
      </c>
      <c r="G324" s="150" t="s">
        <v>155</v>
      </c>
      <c r="H324" s="150" t="s">
        <v>665</v>
      </c>
      <c r="I324" s="150" t="s">
        <v>7190</v>
      </c>
      <c r="M324" t="s">
        <v>7573</v>
      </c>
      <c r="N324" t="s">
        <v>7955</v>
      </c>
      <c r="O324" t="s">
        <v>8284</v>
      </c>
    </row>
    <row r="325" spans="1:15">
      <c r="A325" s="150" t="s">
        <v>7188</v>
      </c>
      <c r="B325" s="150" t="e">
        <v>#VALUE!</v>
      </c>
      <c r="C325" s="150" t="s">
        <v>7180</v>
      </c>
      <c r="D325" s="150">
        <v>287</v>
      </c>
      <c r="E325" s="150" t="s">
        <v>7577</v>
      </c>
      <c r="F325" s="150" t="s">
        <v>145</v>
      </c>
      <c r="G325" s="150" t="s">
        <v>155</v>
      </c>
      <c r="H325" s="150" t="s">
        <v>665</v>
      </c>
      <c r="I325" s="150" t="s">
        <v>7190</v>
      </c>
      <c r="M325" t="s">
        <v>7573</v>
      </c>
      <c r="N325" t="s">
        <v>7724</v>
      </c>
      <c r="O325" t="s">
        <v>8285</v>
      </c>
    </row>
    <row r="326" spans="1:15">
      <c r="A326" s="150" t="s">
        <v>7178</v>
      </c>
      <c r="B326" s="150" t="s">
        <v>7179</v>
      </c>
      <c r="C326" s="150" t="s">
        <v>7180</v>
      </c>
      <c r="D326" s="150">
        <v>288</v>
      </c>
      <c r="E326" s="150" t="s">
        <v>7578</v>
      </c>
      <c r="F326" s="150" t="s">
        <v>145</v>
      </c>
      <c r="G326" s="150" t="s">
        <v>155</v>
      </c>
      <c r="H326" s="150" t="s">
        <v>666</v>
      </c>
      <c r="I326" s="150" t="s">
        <v>7182</v>
      </c>
      <c r="M326" t="s">
        <v>7579</v>
      </c>
      <c r="N326" t="s">
        <v>7724</v>
      </c>
      <c r="O326" t="s">
        <v>8286</v>
      </c>
    </row>
    <row r="327" spans="1:15">
      <c r="A327" s="150" t="s">
        <v>7184</v>
      </c>
      <c r="B327" s="150" t="s">
        <v>7185</v>
      </c>
      <c r="C327" s="150" t="s">
        <v>7180</v>
      </c>
      <c r="D327" s="150">
        <v>288</v>
      </c>
      <c r="E327" s="150" t="s">
        <v>7580</v>
      </c>
      <c r="F327" s="150" t="s">
        <v>145</v>
      </c>
      <c r="G327" s="150" t="s">
        <v>155</v>
      </c>
      <c r="H327" s="150" t="s">
        <v>666</v>
      </c>
      <c r="I327" s="150" t="s">
        <v>7187</v>
      </c>
      <c r="M327" t="s">
        <v>7579</v>
      </c>
      <c r="N327" t="s">
        <v>7724</v>
      </c>
      <c r="O327" t="s">
        <v>8287</v>
      </c>
    </row>
    <row r="328" spans="1:15">
      <c r="A328" s="150" t="s">
        <v>7188</v>
      </c>
      <c r="B328" s="150" t="e">
        <v>#N/A</v>
      </c>
      <c r="C328" s="150" t="s">
        <v>7180</v>
      </c>
      <c r="D328" s="150">
        <v>288</v>
      </c>
      <c r="E328" s="150" t="s">
        <v>7581</v>
      </c>
      <c r="F328" s="150" t="s">
        <v>145</v>
      </c>
      <c r="G328" s="150" t="s">
        <v>155</v>
      </c>
      <c r="H328" s="150" t="s">
        <v>666</v>
      </c>
      <c r="I328" s="150" t="s">
        <v>7190</v>
      </c>
      <c r="M328" t="s">
        <v>7579</v>
      </c>
      <c r="N328" t="s">
        <v>7724</v>
      </c>
      <c r="O328" t="s">
        <v>8288</v>
      </c>
    </row>
    <row r="329" spans="1:15">
      <c r="A329" s="150" t="s">
        <v>7188</v>
      </c>
      <c r="B329" s="150" t="e">
        <v>#VALUE!</v>
      </c>
      <c r="C329" s="150" t="s">
        <v>7180</v>
      </c>
      <c r="D329" s="150">
        <v>288</v>
      </c>
      <c r="E329" s="150" t="s">
        <v>7582</v>
      </c>
      <c r="F329" s="150" t="s">
        <v>145</v>
      </c>
      <c r="G329" s="150" t="s">
        <v>155</v>
      </c>
      <c r="H329" s="150" t="s">
        <v>666</v>
      </c>
      <c r="I329" s="150" t="s">
        <v>7190</v>
      </c>
      <c r="M329" t="s">
        <v>7579</v>
      </c>
      <c r="N329" t="s">
        <v>7724</v>
      </c>
      <c r="O329" t="s">
        <v>8289</v>
      </c>
    </row>
    <row r="330" spans="1:15">
      <c r="A330" s="150" t="s">
        <v>7188</v>
      </c>
      <c r="B330" s="150" t="e">
        <v>#VALUE!</v>
      </c>
      <c r="C330" s="150" t="s">
        <v>7180</v>
      </c>
      <c r="D330" s="150">
        <v>288</v>
      </c>
      <c r="E330" s="150" t="s">
        <v>7583</v>
      </c>
      <c r="F330" s="150" t="s">
        <v>145</v>
      </c>
      <c r="G330" s="150" t="s">
        <v>155</v>
      </c>
      <c r="H330" s="150" t="s">
        <v>666</v>
      </c>
      <c r="I330" s="150" t="s">
        <v>7190</v>
      </c>
      <c r="M330" t="s">
        <v>7579</v>
      </c>
      <c r="N330" t="s">
        <v>7724</v>
      </c>
      <c r="O330" t="s">
        <v>8290</v>
      </c>
    </row>
    <row r="331" spans="1:15">
      <c r="A331" s="150" t="s">
        <v>7178</v>
      </c>
      <c r="B331" s="150" t="s">
        <v>7179</v>
      </c>
      <c r="C331" s="150" t="s">
        <v>7180</v>
      </c>
      <c r="D331" s="150">
        <v>289</v>
      </c>
      <c r="E331" s="150" t="s">
        <v>7584</v>
      </c>
      <c r="F331" s="150" t="s">
        <v>145</v>
      </c>
      <c r="G331" s="150" t="s">
        <v>155</v>
      </c>
      <c r="H331" s="150" t="s">
        <v>667</v>
      </c>
      <c r="I331" s="150" t="s">
        <v>7182</v>
      </c>
      <c r="M331" t="s">
        <v>7585</v>
      </c>
      <c r="N331" t="s">
        <v>7724</v>
      </c>
      <c r="O331" t="s">
        <v>8291</v>
      </c>
    </row>
    <row r="332" spans="1:15">
      <c r="A332" s="150" t="s">
        <v>7184</v>
      </c>
      <c r="B332" s="150" t="s">
        <v>7185</v>
      </c>
      <c r="C332" s="150" t="s">
        <v>7180</v>
      </c>
      <c r="D332" s="150">
        <v>289</v>
      </c>
      <c r="E332" s="150" t="s">
        <v>7586</v>
      </c>
      <c r="F332" s="150" t="s">
        <v>145</v>
      </c>
      <c r="G332" s="150" t="s">
        <v>155</v>
      </c>
      <c r="H332" s="150" t="s">
        <v>667</v>
      </c>
      <c r="I332" s="150" t="s">
        <v>7187</v>
      </c>
      <c r="M332" t="s">
        <v>7585</v>
      </c>
      <c r="N332" t="s">
        <v>7724</v>
      </c>
      <c r="O332" t="s">
        <v>8292</v>
      </c>
    </row>
    <row r="333" spans="1:15">
      <c r="A333" s="150" t="s">
        <v>7188</v>
      </c>
      <c r="B333" s="150" t="e">
        <v>#N/A</v>
      </c>
      <c r="C333" s="150" t="s">
        <v>7180</v>
      </c>
      <c r="D333" s="150">
        <v>289</v>
      </c>
      <c r="E333" s="150" t="s">
        <v>7587</v>
      </c>
      <c r="F333" s="150" t="s">
        <v>145</v>
      </c>
      <c r="G333" s="150" t="s">
        <v>155</v>
      </c>
      <c r="H333" s="150" t="s">
        <v>667</v>
      </c>
      <c r="I333" s="150" t="s">
        <v>7190</v>
      </c>
      <c r="M333" t="s">
        <v>7585</v>
      </c>
      <c r="N333" t="s">
        <v>7724</v>
      </c>
      <c r="O333" t="s">
        <v>8293</v>
      </c>
    </row>
    <row r="334" spans="1:15">
      <c r="A334" s="150" t="s">
        <v>7188</v>
      </c>
      <c r="B334" s="150" t="e">
        <v>#VALUE!</v>
      </c>
      <c r="C334" s="150" t="s">
        <v>7180</v>
      </c>
      <c r="D334" s="150">
        <v>289</v>
      </c>
      <c r="E334" s="150" t="s">
        <v>7588</v>
      </c>
      <c r="F334" s="150" t="s">
        <v>145</v>
      </c>
      <c r="G334" s="150" t="s">
        <v>155</v>
      </c>
      <c r="H334" s="150" t="s">
        <v>667</v>
      </c>
      <c r="I334" s="150" t="s">
        <v>7190</v>
      </c>
      <c r="M334" t="s">
        <v>7585</v>
      </c>
      <c r="N334" t="s">
        <v>7956</v>
      </c>
      <c r="O334" t="s">
        <v>8294</v>
      </c>
    </row>
    <row r="335" spans="1:15">
      <c r="A335" s="150" t="s">
        <v>7188</v>
      </c>
      <c r="B335" s="150" t="e">
        <v>#VALUE!</v>
      </c>
      <c r="C335" s="150" t="s">
        <v>7180</v>
      </c>
      <c r="D335" s="150">
        <v>289</v>
      </c>
      <c r="E335" s="150" t="s">
        <v>7589</v>
      </c>
      <c r="F335" s="150" t="s">
        <v>145</v>
      </c>
      <c r="G335" s="150" t="s">
        <v>155</v>
      </c>
      <c r="H335" s="150" t="s">
        <v>667</v>
      </c>
      <c r="I335" s="150" t="s">
        <v>7190</v>
      </c>
      <c r="M335" t="s">
        <v>7585</v>
      </c>
      <c r="N335" t="s">
        <v>7724</v>
      </c>
      <c r="O335" t="s">
        <v>8295</v>
      </c>
    </row>
    <row r="336" spans="1:15">
      <c r="A336" s="150" t="s">
        <v>7178</v>
      </c>
      <c r="B336" s="150" t="s">
        <v>7179</v>
      </c>
      <c r="C336" s="150" t="s">
        <v>7180</v>
      </c>
      <c r="D336" s="150">
        <v>290</v>
      </c>
      <c r="E336" s="150" t="s">
        <v>7590</v>
      </c>
      <c r="F336" s="150" t="s">
        <v>145</v>
      </c>
      <c r="G336" s="150" t="s">
        <v>155</v>
      </c>
      <c r="H336" s="150" t="s">
        <v>668</v>
      </c>
      <c r="I336" s="150" t="s">
        <v>7182</v>
      </c>
      <c r="M336" t="s">
        <v>7591</v>
      </c>
      <c r="N336" t="s">
        <v>7724</v>
      </c>
      <c r="O336" t="s">
        <v>8296</v>
      </c>
    </row>
    <row r="337" spans="1:15">
      <c r="A337" s="150" t="s">
        <v>7184</v>
      </c>
      <c r="B337" s="150" t="s">
        <v>7185</v>
      </c>
      <c r="C337" s="150" t="s">
        <v>7180</v>
      </c>
      <c r="D337" s="150">
        <v>290</v>
      </c>
      <c r="E337" s="150" t="s">
        <v>7592</v>
      </c>
      <c r="F337" s="150" t="s">
        <v>145</v>
      </c>
      <c r="G337" s="150" t="s">
        <v>155</v>
      </c>
      <c r="H337" s="150" t="s">
        <v>668</v>
      </c>
      <c r="I337" s="150" t="s">
        <v>7187</v>
      </c>
      <c r="M337" t="s">
        <v>7591</v>
      </c>
      <c r="N337" t="s">
        <v>7724</v>
      </c>
      <c r="O337" t="s">
        <v>8297</v>
      </c>
    </row>
    <row r="338" spans="1:15">
      <c r="A338" s="150" t="s">
        <v>7188</v>
      </c>
      <c r="B338" s="150" t="e">
        <v>#N/A</v>
      </c>
      <c r="C338" s="150" t="s">
        <v>7180</v>
      </c>
      <c r="D338" s="150">
        <v>290</v>
      </c>
      <c r="E338" s="150" t="s">
        <v>7593</v>
      </c>
      <c r="F338" s="150" t="s">
        <v>145</v>
      </c>
      <c r="G338" s="150" t="s">
        <v>155</v>
      </c>
      <c r="H338" s="150" t="s">
        <v>668</v>
      </c>
      <c r="I338" s="150" t="s">
        <v>7190</v>
      </c>
      <c r="M338" t="s">
        <v>7591</v>
      </c>
      <c r="N338" t="s">
        <v>7724</v>
      </c>
      <c r="O338" t="s">
        <v>8298</v>
      </c>
    </row>
    <row r="339" spans="1:15">
      <c r="A339" s="150" t="s">
        <v>7188</v>
      </c>
      <c r="B339" s="150" t="e">
        <v>#VALUE!</v>
      </c>
      <c r="C339" s="150" t="s">
        <v>7180</v>
      </c>
      <c r="D339" s="150">
        <v>290</v>
      </c>
      <c r="E339" s="150" t="s">
        <v>7594</v>
      </c>
      <c r="F339" s="150" t="s">
        <v>145</v>
      </c>
      <c r="G339" s="150" t="s">
        <v>155</v>
      </c>
      <c r="H339" s="150" t="s">
        <v>668</v>
      </c>
      <c r="I339" s="150" t="s">
        <v>7190</v>
      </c>
      <c r="M339" t="s">
        <v>7591</v>
      </c>
      <c r="N339" t="s">
        <v>7724</v>
      </c>
      <c r="O339" t="s">
        <v>8299</v>
      </c>
    </row>
    <row r="340" spans="1:15">
      <c r="A340" s="150" t="s">
        <v>7188</v>
      </c>
      <c r="B340" s="150" t="e">
        <v>#VALUE!</v>
      </c>
      <c r="C340" s="150" t="s">
        <v>7180</v>
      </c>
      <c r="D340" s="150">
        <v>290</v>
      </c>
      <c r="E340" s="150" t="s">
        <v>7595</v>
      </c>
      <c r="F340" s="150" t="s">
        <v>145</v>
      </c>
      <c r="G340" s="150" t="s">
        <v>155</v>
      </c>
      <c r="H340" s="150" t="s">
        <v>668</v>
      </c>
      <c r="I340" s="150" t="s">
        <v>7190</v>
      </c>
      <c r="M340" t="s">
        <v>7591</v>
      </c>
      <c r="N340" t="s">
        <v>7957</v>
      </c>
      <c r="O340" t="s">
        <v>8300</v>
      </c>
    </row>
    <row r="341" spans="1:15">
      <c r="A341" s="150" t="s">
        <v>7178</v>
      </c>
      <c r="B341" s="150" t="s">
        <v>7179</v>
      </c>
      <c r="C341" s="150" t="s">
        <v>7180</v>
      </c>
      <c r="D341" s="150">
        <v>291</v>
      </c>
      <c r="E341" s="150" t="s">
        <v>7596</v>
      </c>
      <c r="F341" s="150" t="s">
        <v>150</v>
      </c>
      <c r="G341" s="150" t="s">
        <v>317</v>
      </c>
      <c r="H341" s="150" t="s">
        <v>669</v>
      </c>
      <c r="I341" s="150" t="s">
        <v>7182</v>
      </c>
      <c r="M341" t="s">
        <v>7597</v>
      </c>
      <c r="N341" t="s">
        <v>7958</v>
      </c>
      <c r="O341" t="s">
        <v>8301</v>
      </c>
    </row>
    <row r="342" spans="1:15">
      <c r="A342" s="150" t="s">
        <v>7184</v>
      </c>
      <c r="B342" s="150" t="s">
        <v>7185</v>
      </c>
      <c r="C342" s="150" t="s">
        <v>7180</v>
      </c>
      <c r="D342" s="150">
        <v>291</v>
      </c>
      <c r="E342" s="150" t="s">
        <v>7598</v>
      </c>
      <c r="F342" s="150" t="s">
        <v>150</v>
      </c>
      <c r="G342" s="150" t="s">
        <v>317</v>
      </c>
      <c r="H342" s="150" t="s">
        <v>669</v>
      </c>
      <c r="I342" s="150" t="s">
        <v>7187</v>
      </c>
      <c r="M342" t="s">
        <v>7597</v>
      </c>
      <c r="N342" t="s">
        <v>7724</v>
      </c>
      <c r="O342" t="s">
        <v>8302</v>
      </c>
    </row>
    <row r="343" spans="1:15">
      <c r="A343" s="150" t="s">
        <v>7188</v>
      </c>
      <c r="B343" s="150" t="e">
        <v>#N/A</v>
      </c>
      <c r="C343" s="150" t="s">
        <v>7180</v>
      </c>
      <c r="D343" s="150">
        <v>291</v>
      </c>
      <c r="E343" s="150" t="s">
        <v>7599</v>
      </c>
      <c r="F343" s="150" t="s">
        <v>150</v>
      </c>
      <c r="G343" s="150" t="s">
        <v>317</v>
      </c>
      <c r="H343" s="150" t="s">
        <v>669</v>
      </c>
      <c r="I343" s="150" t="s">
        <v>7190</v>
      </c>
      <c r="M343" t="s">
        <v>7597</v>
      </c>
      <c r="N343" t="s">
        <v>7959</v>
      </c>
      <c r="O343" t="s">
        <v>8303</v>
      </c>
    </row>
    <row r="344" spans="1:15">
      <c r="A344" s="150" t="s">
        <v>7188</v>
      </c>
      <c r="B344" s="150" t="e">
        <v>#VALUE!</v>
      </c>
      <c r="C344" s="150" t="s">
        <v>7180</v>
      </c>
      <c r="D344" s="150">
        <v>291</v>
      </c>
      <c r="E344" s="150" t="s">
        <v>7600</v>
      </c>
      <c r="F344" s="150" t="s">
        <v>150</v>
      </c>
      <c r="G344" s="150" t="s">
        <v>317</v>
      </c>
      <c r="H344" s="150" t="s">
        <v>669</v>
      </c>
      <c r="I344" s="150" t="s">
        <v>7190</v>
      </c>
      <c r="M344" t="s">
        <v>7597</v>
      </c>
      <c r="N344" t="s">
        <v>7960</v>
      </c>
      <c r="O344" t="s">
        <v>8304</v>
      </c>
    </row>
    <row r="345" spans="1:15">
      <c r="A345" s="150" t="s">
        <v>7188</v>
      </c>
      <c r="B345" s="150" t="e">
        <v>#VALUE!</v>
      </c>
      <c r="C345" s="150" t="s">
        <v>7180</v>
      </c>
      <c r="D345" s="150">
        <v>291</v>
      </c>
      <c r="E345" s="150" t="s">
        <v>7601</v>
      </c>
      <c r="F345" s="150" t="s">
        <v>150</v>
      </c>
      <c r="G345" s="150" t="s">
        <v>317</v>
      </c>
      <c r="H345" s="150" t="s">
        <v>669</v>
      </c>
      <c r="I345" s="150" t="s">
        <v>7190</v>
      </c>
      <c r="M345" t="s">
        <v>7597</v>
      </c>
      <c r="N345" t="s">
        <v>7724</v>
      </c>
      <c r="O345" t="s">
        <v>8305</v>
      </c>
    </row>
    <row r="346" spans="1:15">
      <c r="A346" s="150" t="s">
        <v>7178</v>
      </c>
      <c r="B346" s="150" t="s">
        <v>7179</v>
      </c>
      <c r="C346" s="150" t="s">
        <v>7180</v>
      </c>
      <c r="D346" s="150">
        <v>292</v>
      </c>
      <c r="E346" s="150" t="s">
        <v>7602</v>
      </c>
      <c r="F346" s="150" t="s">
        <v>150</v>
      </c>
      <c r="G346" s="150" t="s">
        <v>318</v>
      </c>
      <c r="H346" s="150" t="s">
        <v>669</v>
      </c>
      <c r="I346" s="150" t="s">
        <v>7182</v>
      </c>
      <c r="M346" t="s">
        <v>7603</v>
      </c>
      <c r="N346" t="s">
        <v>7724</v>
      </c>
      <c r="O346" t="s">
        <v>8306</v>
      </c>
    </row>
    <row r="347" spans="1:15">
      <c r="A347" s="150" t="s">
        <v>7184</v>
      </c>
      <c r="B347" s="150" t="s">
        <v>7185</v>
      </c>
      <c r="C347" s="150" t="s">
        <v>7180</v>
      </c>
      <c r="D347" s="150">
        <v>292</v>
      </c>
      <c r="E347" s="150" t="s">
        <v>7604</v>
      </c>
      <c r="F347" s="150" t="s">
        <v>150</v>
      </c>
      <c r="G347" s="150" t="s">
        <v>318</v>
      </c>
      <c r="H347" s="150" t="s">
        <v>669</v>
      </c>
      <c r="I347" s="150" t="s">
        <v>7187</v>
      </c>
      <c r="M347" t="s">
        <v>7603</v>
      </c>
      <c r="O347" t="s">
        <v>8307</v>
      </c>
    </row>
    <row r="348" spans="1:15">
      <c r="A348" s="150" t="s">
        <v>7188</v>
      </c>
      <c r="B348" s="150" t="e">
        <v>#N/A</v>
      </c>
      <c r="C348" s="150" t="s">
        <v>7180</v>
      </c>
      <c r="D348" s="150">
        <v>292</v>
      </c>
      <c r="E348" s="150" t="s">
        <v>7605</v>
      </c>
      <c r="F348" s="150" t="s">
        <v>150</v>
      </c>
      <c r="G348" s="150" t="s">
        <v>318</v>
      </c>
      <c r="H348" s="150" t="s">
        <v>669</v>
      </c>
      <c r="I348" s="150" t="s">
        <v>7190</v>
      </c>
      <c r="M348" t="s">
        <v>7603</v>
      </c>
      <c r="O348" t="s">
        <v>8308</v>
      </c>
    </row>
    <row r="349" spans="1:15">
      <c r="A349" s="150" t="s">
        <v>7188</v>
      </c>
      <c r="B349" s="150" t="e">
        <v>#VALUE!</v>
      </c>
      <c r="C349" s="150" t="s">
        <v>7180</v>
      </c>
      <c r="D349" s="150">
        <v>292</v>
      </c>
      <c r="E349" s="150" t="s">
        <v>7606</v>
      </c>
      <c r="F349" s="150" t="s">
        <v>150</v>
      </c>
      <c r="G349" s="150" t="s">
        <v>318</v>
      </c>
      <c r="H349" s="150" t="s">
        <v>669</v>
      </c>
      <c r="I349" s="150" t="s">
        <v>7190</v>
      </c>
      <c r="M349" t="s">
        <v>7603</v>
      </c>
      <c r="O349" t="s">
        <v>8309</v>
      </c>
    </row>
    <row r="350" spans="1:15">
      <c r="A350" s="150" t="s">
        <v>7188</v>
      </c>
      <c r="B350" s="150" t="e">
        <v>#VALUE!</v>
      </c>
      <c r="C350" s="150" t="s">
        <v>7180</v>
      </c>
      <c r="D350" s="150">
        <v>292</v>
      </c>
      <c r="E350" s="150" t="s">
        <v>7607</v>
      </c>
      <c r="F350" s="150" t="s">
        <v>150</v>
      </c>
      <c r="G350" s="150" t="s">
        <v>318</v>
      </c>
      <c r="H350" s="150" t="s">
        <v>669</v>
      </c>
      <c r="I350" s="150" t="s">
        <v>7190</v>
      </c>
      <c r="M350" t="s">
        <v>7603</v>
      </c>
      <c r="O350" t="s">
        <v>8310</v>
      </c>
    </row>
    <row r="351" spans="1:15">
      <c r="A351" s="150" t="s">
        <v>7178</v>
      </c>
      <c r="B351" s="150" t="s">
        <v>7179</v>
      </c>
      <c r="C351" s="150" t="s">
        <v>7180</v>
      </c>
      <c r="D351" s="150">
        <v>293</v>
      </c>
      <c r="E351" s="150" t="s">
        <v>7608</v>
      </c>
      <c r="F351" s="150" t="s">
        <v>150</v>
      </c>
      <c r="G351" s="150" t="s">
        <v>319</v>
      </c>
      <c r="H351" s="150" t="s">
        <v>669</v>
      </c>
      <c r="I351" s="150" t="s">
        <v>7182</v>
      </c>
      <c r="M351" t="s">
        <v>7609</v>
      </c>
      <c r="O351" t="s">
        <v>8311</v>
      </c>
    </row>
    <row r="352" spans="1:15">
      <c r="A352" s="150" t="s">
        <v>7184</v>
      </c>
      <c r="B352" s="150" t="s">
        <v>7185</v>
      </c>
      <c r="C352" s="150" t="s">
        <v>7180</v>
      </c>
      <c r="D352" s="150">
        <v>293</v>
      </c>
      <c r="E352" s="150" t="s">
        <v>7610</v>
      </c>
      <c r="F352" s="150" t="s">
        <v>150</v>
      </c>
      <c r="G352" s="150" t="s">
        <v>319</v>
      </c>
      <c r="H352" s="150" t="s">
        <v>669</v>
      </c>
      <c r="I352" s="150" t="s">
        <v>7187</v>
      </c>
      <c r="M352" t="s">
        <v>7609</v>
      </c>
      <c r="O352" t="s">
        <v>8312</v>
      </c>
    </row>
    <row r="353" spans="1:15">
      <c r="A353" s="150" t="s">
        <v>7188</v>
      </c>
      <c r="B353" s="150" t="e">
        <v>#N/A</v>
      </c>
      <c r="C353" s="150" t="s">
        <v>7180</v>
      </c>
      <c r="D353" s="150">
        <v>293</v>
      </c>
      <c r="E353" s="150" t="s">
        <v>7611</v>
      </c>
      <c r="F353" s="150" t="s">
        <v>150</v>
      </c>
      <c r="G353" s="150" t="s">
        <v>319</v>
      </c>
      <c r="H353" s="150" t="s">
        <v>669</v>
      </c>
      <c r="I353" s="150" t="s">
        <v>7190</v>
      </c>
      <c r="M353" t="s">
        <v>7609</v>
      </c>
      <c r="O353" t="s">
        <v>8313</v>
      </c>
    </row>
    <row r="354" spans="1:15">
      <c r="A354" s="150" t="s">
        <v>7188</v>
      </c>
      <c r="B354" s="150" t="e">
        <v>#VALUE!</v>
      </c>
      <c r="C354" s="150" t="s">
        <v>7180</v>
      </c>
      <c r="D354" s="150">
        <v>293</v>
      </c>
      <c r="E354" s="150" t="s">
        <v>7612</v>
      </c>
      <c r="F354" s="150" t="s">
        <v>150</v>
      </c>
      <c r="G354" s="150" t="s">
        <v>319</v>
      </c>
      <c r="H354" s="150" t="s">
        <v>669</v>
      </c>
      <c r="I354" s="150" t="s">
        <v>7190</v>
      </c>
      <c r="M354" t="s">
        <v>7609</v>
      </c>
      <c r="O354" t="s">
        <v>8314</v>
      </c>
    </row>
    <row r="355" spans="1:15">
      <c r="A355" s="150" t="s">
        <v>7188</v>
      </c>
      <c r="B355" s="150" t="e">
        <v>#VALUE!</v>
      </c>
      <c r="C355" s="150" t="s">
        <v>7180</v>
      </c>
      <c r="D355" s="150">
        <v>293</v>
      </c>
      <c r="E355" s="150" t="s">
        <v>7613</v>
      </c>
      <c r="F355" s="150" t="s">
        <v>150</v>
      </c>
      <c r="G355" s="150" t="s">
        <v>319</v>
      </c>
      <c r="H355" s="150" t="s">
        <v>669</v>
      </c>
      <c r="I355" s="150" t="s">
        <v>7190</v>
      </c>
      <c r="M355" t="s">
        <v>7609</v>
      </c>
      <c r="O355" t="s">
        <v>8315</v>
      </c>
    </row>
    <row r="356" spans="1:15">
      <c r="A356" s="150" t="s">
        <v>137</v>
      </c>
      <c r="B356" s="150" t="s">
        <v>7551</v>
      </c>
      <c r="C356" s="150" t="s">
        <v>7180</v>
      </c>
      <c r="D356" s="150">
        <v>294</v>
      </c>
      <c r="E356" s="150" t="s">
        <v>7614</v>
      </c>
      <c r="F356" s="150"/>
      <c r="G356" s="150" t="s">
        <v>647</v>
      </c>
      <c r="H356" s="150" t="s">
        <v>670</v>
      </c>
      <c r="I356" s="150" t="s">
        <v>7553</v>
      </c>
      <c r="M356" t="s">
        <v>7615</v>
      </c>
      <c r="O356" t="s">
        <v>8316</v>
      </c>
    </row>
    <row r="357" spans="1:15">
      <c r="A357" s="150" t="s">
        <v>7178</v>
      </c>
      <c r="B357" s="150" t="s">
        <v>7179</v>
      </c>
      <c r="C357" s="150" t="s">
        <v>7180</v>
      </c>
      <c r="D357" s="150">
        <v>294</v>
      </c>
      <c r="E357" s="150" t="s">
        <v>7616</v>
      </c>
      <c r="F357" s="150"/>
      <c r="G357" s="150" t="s">
        <v>647</v>
      </c>
      <c r="H357" s="150" t="s">
        <v>670</v>
      </c>
      <c r="I357" s="150" t="s">
        <v>7182</v>
      </c>
      <c r="M357" t="s">
        <v>7615</v>
      </c>
      <c r="O357" t="s">
        <v>8317</v>
      </c>
    </row>
    <row r="358" spans="1:15">
      <c r="A358" s="150" t="s">
        <v>7184</v>
      </c>
      <c r="B358" s="150" t="s">
        <v>7185</v>
      </c>
      <c r="C358" s="150" t="s">
        <v>7180</v>
      </c>
      <c r="D358" s="150">
        <v>294</v>
      </c>
      <c r="E358" s="150" t="s">
        <v>7617</v>
      </c>
      <c r="F358" s="150"/>
      <c r="G358" s="150" t="s">
        <v>647</v>
      </c>
      <c r="H358" s="150" t="s">
        <v>670</v>
      </c>
      <c r="I358" s="150" t="s">
        <v>7187</v>
      </c>
      <c r="M358" t="s">
        <v>7615</v>
      </c>
      <c r="O358" t="s">
        <v>8318</v>
      </c>
    </row>
    <row r="359" spans="1:15">
      <c r="A359" s="150" t="s">
        <v>7188</v>
      </c>
      <c r="B359" s="150" t="e">
        <v>#N/A</v>
      </c>
      <c r="C359" s="150" t="s">
        <v>7180</v>
      </c>
      <c r="D359" s="150">
        <v>294</v>
      </c>
      <c r="E359" s="150" t="s">
        <v>7618</v>
      </c>
      <c r="F359" s="150"/>
      <c r="G359" s="150" t="s">
        <v>647</v>
      </c>
      <c r="H359" s="150" t="s">
        <v>670</v>
      </c>
      <c r="I359" s="150" t="s">
        <v>7190</v>
      </c>
      <c r="M359" t="s">
        <v>7615</v>
      </c>
      <c r="O359" t="s">
        <v>8319</v>
      </c>
    </row>
    <row r="360" spans="1:15">
      <c r="A360" s="150" t="s">
        <v>7188</v>
      </c>
      <c r="B360" s="150" t="e">
        <v>#VALUE!</v>
      </c>
      <c r="C360" s="150" t="s">
        <v>7180</v>
      </c>
      <c r="D360" s="150">
        <v>294</v>
      </c>
      <c r="E360" s="150" t="s">
        <v>7619</v>
      </c>
      <c r="F360" s="150"/>
      <c r="G360" s="150" t="s">
        <v>647</v>
      </c>
      <c r="H360" s="150" t="s">
        <v>670</v>
      </c>
      <c r="I360" s="150" t="s">
        <v>7190</v>
      </c>
      <c r="M360" t="s">
        <v>7615</v>
      </c>
      <c r="O360" t="s">
        <v>8320</v>
      </c>
    </row>
    <row r="361" spans="1:15">
      <c r="A361" s="150" t="s">
        <v>7188</v>
      </c>
      <c r="B361" s="150" t="e">
        <v>#VALUE!</v>
      </c>
      <c r="C361" s="150" t="s">
        <v>7180</v>
      </c>
      <c r="D361" s="150">
        <v>294</v>
      </c>
      <c r="E361" s="150" t="s">
        <v>7620</v>
      </c>
      <c r="F361" s="150"/>
      <c r="G361" s="150" t="s">
        <v>647</v>
      </c>
      <c r="H361" s="150" t="s">
        <v>670</v>
      </c>
      <c r="I361" s="150" t="s">
        <v>7190</v>
      </c>
      <c r="M361" t="s">
        <v>7615</v>
      </c>
      <c r="O361" t="s">
        <v>8321</v>
      </c>
    </row>
    <row r="362" spans="1:15">
      <c r="A362" s="150" t="s">
        <v>137</v>
      </c>
      <c r="B362" s="150" t="s">
        <v>7551</v>
      </c>
      <c r="C362" s="150" t="s">
        <v>7180</v>
      </c>
      <c r="D362" s="150">
        <v>295</v>
      </c>
      <c r="E362" s="150" t="s">
        <v>7621</v>
      </c>
      <c r="F362" s="150"/>
      <c r="G362" s="150" t="s">
        <v>647</v>
      </c>
      <c r="H362" s="150" t="s">
        <v>671</v>
      </c>
      <c r="I362" s="150" t="s">
        <v>7553</v>
      </c>
      <c r="M362" t="s">
        <v>7622</v>
      </c>
      <c r="O362" t="s">
        <v>8322</v>
      </c>
    </row>
    <row r="363" spans="1:15">
      <c r="A363" s="150" t="s">
        <v>7178</v>
      </c>
      <c r="B363" s="150" t="s">
        <v>7179</v>
      </c>
      <c r="C363" s="150" t="s">
        <v>7180</v>
      </c>
      <c r="D363" s="150">
        <v>295</v>
      </c>
      <c r="E363" s="150" t="s">
        <v>7623</v>
      </c>
      <c r="F363" s="150"/>
      <c r="G363" s="150" t="s">
        <v>647</v>
      </c>
      <c r="H363" s="150" t="s">
        <v>671</v>
      </c>
      <c r="I363" s="150" t="s">
        <v>7182</v>
      </c>
      <c r="M363" t="s">
        <v>7622</v>
      </c>
      <c r="O363" t="s">
        <v>8323</v>
      </c>
    </row>
    <row r="364" spans="1:15">
      <c r="A364" s="150" t="s">
        <v>7184</v>
      </c>
      <c r="B364" s="150" t="s">
        <v>7185</v>
      </c>
      <c r="C364" s="150" t="s">
        <v>7180</v>
      </c>
      <c r="D364" s="150">
        <v>295</v>
      </c>
      <c r="E364" s="150" t="s">
        <v>7624</v>
      </c>
      <c r="F364" s="150"/>
      <c r="G364" s="150" t="s">
        <v>647</v>
      </c>
      <c r="H364" s="150" t="s">
        <v>671</v>
      </c>
      <c r="I364" s="150" t="s">
        <v>7187</v>
      </c>
      <c r="M364" t="s">
        <v>7622</v>
      </c>
      <c r="O364" t="s">
        <v>8324</v>
      </c>
    </row>
    <row r="365" spans="1:15">
      <c r="A365" s="150" t="s">
        <v>7188</v>
      </c>
      <c r="B365" s="150" t="e">
        <v>#N/A</v>
      </c>
      <c r="C365" s="150" t="s">
        <v>7180</v>
      </c>
      <c r="D365" s="150">
        <v>295</v>
      </c>
      <c r="E365" s="150" t="s">
        <v>7625</v>
      </c>
      <c r="F365" s="150"/>
      <c r="G365" s="150" t="s">
        <v>647</v>
      </c>
      <c r="H365" s="150" t="s">
        <v>671</v>
      </c>
      <c r="I365" s="150" t="s">
        <v>7190</v>
      </c>
      <c r="M365" t="s">
        <v>7622</v>
      </c>
      <c r="O365" t="s">
        <v>8325</v>
      </c>
    </row>
    <row r="366" spans="1:15">
      <c r="A366" s="150" t="s">
        <v>7188</v>
      </c>
      <c r="B366" s="150" t="e">
        <v>#VALUE!</v>
      </c>
      <c r="C366" s="150" t="s">
        <v>7180</v>
      </c>
      <c r="D366" s="150">
        <v>295</v>
      </c>
      <c r="E366" s="150" t="s">
        <v>7626</v>
      </c>
      <c r="F366" s="150"/>
      <c r="G366" s="150" t="s">
        <v>647</v>
      </c>
      <c r="H366" s="150" t="s">
        <v>671</v>
      </c>
      <c r="I366" s="150" t="s">
        <v>7190</v>
      </c>
      <c r="M366" t="s">
        <v>7622</v>
      </c>
      <c r="O366" t="s">
        <v>8326</v>
      </c>
    </row>
    <row r="367" spans="1:15">
      <c r="A367" s="150" t="s">
        <v>7188</v>
      </c>
      <c r="B367" s="150" t="e">
        <v>#VALUE!</v>
      </c>
      <c r="C367" s="150" t="s">
        <v>7180</v>
      </c>
      <c r="D367" s="150">
        <v>295</v>
      </c>
      <c r="E367" s="150" t="s">
        <v>7627</v>
      </c>
      <c r="F367" s="150"/>
      <c r="G367" s="150" t="s">
        <v>647</v>
      </c>
      <c r="H367" s="150" t="s">
        <v>671</v>
      </c>
      <c r="I367" s="150" t="s">
        <v>7190</v>
      </c>
      <c r="M367" t="s">
        <v>7622</v>
      </c>
      <c r="O367" t="s">
        <v>8327</v>
      </c>
    </row>
    <row r="368" spans="1:15">
      <c r="A368" s="150" t="s">
        <v>137</v>
      </c>
      <c r="B368" s="150" t="s">
        <v>7551</v>
      </c>
      <c r="C368" s="150" t="s">
        <v>7180</v>
      </c>
      <c r="D368" s="150">
        <v>296</v>
      </c>
      <c r="E368" s="150" t="s">
        <v>7628</v>
      </c>
      <c r="F368" s="150"/>
      <c r="G368" s="150" t="s">
        <v>647</v>
      </c>
      <c r="H368" s="150" t="s">
        <v>672</v>
      </c>
      <c r="I368" s="150" t="s">
        <v>7553</v>
      </c>
      <c r="M368" t="s">
        <v>7629</v>
      </c>
      <c r="O368" t="s">
        <v>8328</v>
      </c>
    </row>
    <row r="369" spans="1:15">
      <c r="A369" s="150" t="s">
        <v>7178</v>
      </c>
      <c r="B369" s="150" t="s">
        <v>7179</v>
      </c>
      <c r="C369" s="150" t="s">
        <v>7180</v>
      </c>
      <c r="D369" s="150">
        <v>296</v>
      </c>
      <c r="E369" s="150" t="s">
        <v>7630</v>
      </c>
      <c r="F369" s="150"/>
      <c r="G369" s="150" t="s">
        <v>647</v>
      </c>
      <c r="H369" s="150" t="s">
        <v>672</v>
      </c>
      <c r="I369" s="150" t="s">
        <v>7182</v>
      </c>
      <c r="M369" t="s">
        <v>7629</v>
      </c>
      <c r="O369" t="s">
        <v>8329</v>
      </c>
    </row>
    <row r="370" spans="1:15">
      <c r="A370" s="150" t="s">
        <v>7184</v>
      </c>
      <c r="B370" s="150" t="s">
        <v>7185</v>
      </c>
      <c r="C370" s="150" t="s">
        <v>7180</v>
      </c>
      <c r="D370" s="150">
        <v>296</v>
      </c>
      <c r="E370" s="150" t="s">
        <v>7631</v>
      </c>
      <c r="F370" s="150"/>
      <c r="G370" s="150" t="s">
        <v>647</v>
      </c>
      <c r="H370" s="150" t="s">
        <v>672</v>
      </c>
      <c r="I370" s="150" t="s">
        <v>7187</v>
      </c>
      <c r="M370" t="s">
        <v>7629</v>
      </c>
      <c r="O370" t="s">
        <v>8330</v>
      </c>
    </row>
    <row r="371" spans="1:15">
      <c r="A371" s="150" t="s">
        <v>7188</v>
      </c>
      <c r="B371" s="150" t="e">
        <v>#N/A</v>
      </c>
      <c r="C371" s="150" t="s">
        <v>7180</v>
      </c>
      <c r="D371" s="150">
        <v>296</v>
      </c>
      <c r="E371" s="150" t="s">
        <v>7632</v>
      </c>
      <c r="F371" s="150"/>
      <c r="G371" s="150" t="s">
        <v>647</v>
      </c>
      <c r="H371" s="150" t="s">
        <v>672</v>
      </c>
      <c r="I371" s="150" t="s">
        <v>7190</v>
      </c>
      <c r="M371" t="s">
        <v>7629</v>
      </c>
      <c r="O371" t="s">
        <v>8331</v>
      </c>
    </row>
    <row r="372" spans="1:15">
      <c r="A372" s="150" t="s">
        <v>7188</v>
      </c>
      <c r="B372" s="150" t="e">
        <v>#VALUE!</v>
      </c>
      <c r="C372" s="150" t="s">
        <v>7180</v>
      </c>
      <c r="D372" s="150">
        <v>296</v>
      </c>
      <c r="E372" s="150" t="s">
        <v>7633</v>
      </c>
      <c r="F372" s="150"/>
      <c r="G372" s="150" t="s">
        <v>647</v>
      </c>
      <c r="H372" s="150" t="s">
        <v>672</v>
      </c>
      <c r="I372" s="150" t="s">
        <v>7190</v>
      </c>
      <c r="M372" t="s">
        <v>7629</v>
      </c>
      <c r="O372" t="s">
        <v>8332</v>
      </c>
    </row>
    <row r="373" spans="1:15">
      <c r="A373" s="150" t="s">
        <v>7188</v>
      </c>
      <c r="B373" s="150" t="e">
        <v>#VALUE!</v>
      </c>
      <c r="C373" s="150" t="s">
        <v>7180</v>
      </c>
      <c r="D373" s="150">
        <v>296</v>
      </c>
      <c r="E373" s="150" t="s">
        <v>7634</v>
      </c>
      <c r="F373" s="150"/>
      <c r="G373" s="150" t="s">
        <v>647</v>
      </c>
      <c r="H373" s="150" t="s">
        <v>672</v>
      </c>
      <c r="I373" s="150" t="s">
        <v>7190</v>
      </c>
      <c r="M373" t="s">
        <v>7629</v>
      </c>
      <c r="O373" t="s">
        <v>8333</v>
      </c>
    </row>
    <row r="374" spans="1:15">
      <c r="A374" s="150" t="s">
        <v>137</v>
      </c>
      <c r="B374" s="150" t="s">
        <v>7551</v>
      </c>
      <c r="C374" s="150" t="s">
        <v>7180</v>
      </c>
      <c r="D374" s="150">
        <v>297</v>
      </c>
      <c r="E374" s="150" t="s">
        <v>7635</v>
      </c>
      <c r="F374" s="150"/>
      <c r="G374" s="150" t="s">
        <v>647</v>
      </c>
      <c r="H374" s="150" t="s">
        <v>114</v>
      </c>
      <c r="I374" s="150" t="s">
        <v>7553</v>
      </c>
      <c r="M374" t="s">
        <v>7636</v>
      </c>
      <c r="O374" t="s">
        <v>8334</v>
      </c>
    </row>
    <row r="375" spans="1:15">
      <c r="A375" s="150" t="s">
        <v>7178</v>
      </c>
      <c r="B375" s="150" t="s">
        <v>7179</v>
      </c>
      <c r="C375" s="150" t="s">
        <v>7180</v>
      </c>
      <c r="D375" s="150">
        <v>297</v>
      </c>
      <c r="E375" s="150" t="s">
        <v>7637</v>
      </c>
      <c r="F375" s="150"/>
      <c r="G375" s="150" t="s">
        <v>647</v>
      </c>
      <c r="H375" s="150" t="s">
        <v>114</v>
      </c>
      <c r="I375" s="150" t="s">
        <v>7182</v>
      </c>
      <c r="M375" t="s">
        <v>7636</v>
      </c>
      <c r="O375" t="s">
        <v>8335</v>
      </c>
    </row>
    <row r="376" spans="1:15">
      <c r="A376" s="150" t="s">
        <v>7184</v>
      </c>
      <c r="B376" s="150" t="s">
        <v>7185</v>
      </c>
      <c r="C376" s="150" t="s">
        <v>7180</v>
      </c>
      <c r="D376" s="150">
        <v>297</v>
      </c>
      <c r="E376" s="150" t="s">
        <v>7638</v>
      </c>
      <c r="F376" s="150"/>
      <c r="G376" s="150" t="s">
        <v>647</v>
      </c>
      <c r="H376" s="150" t="s">
        <v>114</v>
      </c>
      <c r="I376" s="150" t="s">
        <v>7187</v>
      </c>
      <c r="M376" t="s">
        <v>7636</v>
      </c>
      <c r="O376" t="s">
        <v>8336</v>
      </c>
    </row>
    <row r="377" spans="1:15">
      <c r="A377" s="150" t="s">
        <v>7188</v>
      </c>
      <c r="B377" s="150" t="e">
        <v>#N/A</v>
      </c>
      <c r="C377" s="150" t="s">
        <v>7180</v>
      </c>
      <c r="D377" s="150">
        <v>297</v>
      </c>
      <c r="E377" s="150" t="s">
        <v>7639</v>
      </c>
      <c r="F377" s="150"/>
      <c r="G377" s="150" t="s">
        <v>647</v>
      </c>
      <c r="H377" s="150" t="s">
        <v>114</v>
      </c>
      <c r="I377" s="150" t="s">
        <v>7190</v>
      </c>
      <c r="M377" t="s">
        <v>7636</v>
      </c>
      <c r="O377" t="s">
        <v>8337</v>
      </c>
    </row>
    <row r="378" spans="1:15">
      <c r="A378" s="150" t="s">
        <v>7188</v>
      </c>
      <c r="B378" s="150" t="e">
        <v>#VALUE!</v>
      </c>
      <c r="C378" s="150" t="s">
        <v>7180</v>
      </c>
      <c r="D378" s="150">
        <v>297</v>
      </c>
      <c r="E378" s="150" t="s">
        <v>7640</v>
      </c>
      <c r="F378" s="150"/>
      <c r="G378" s="150" t="s">
        <v>647</v>
      </c>
      <c r="H378" s="150" t="s">
        <v>114</v>
      </c>
      <c r="I378" s="150" t="s">
        <v>7190</v>
      </c>
      <c r="M378" t="s">
        <v>7636</v>
      </c>
      <c r="O378" t="s">
        <v>8338</v>
      </c>
    </row>
    <row r="379" spans="1:15">
      <c r="A379" s="150" t="s">
        <v>7188</v>
      </c>
      <c r="B379" s="150" t="e">
        <v>#VALUE!</v>
      </c>
      <c r="C379" s="150" t="s">
        <v>7180</v>
      </c>
      <c r="D379" s="150">
        <v>297</v>
      </c>
      <c r="E379" s="150" t="s">
        <v>7641</v>
      </c>
      <c r="F379" s="150"/>
      <c r="G379" s="150" t="s">
        <v>647</v>
      </c>
      <c r="H379" s="150" t="s">
        <v>114</v>
      </c>
      <c r="I379" s="150" t="s">
        <v>7190</v>
      </c>
      <c r="M379" t="s">
        <v>7636</v>
      </c>
      <c r="O379" t="s">
        <v>8339</v>
      </c>
    </row>
    <row r="380" spans="1:15">
      <c r="A380" s="150" t="s">
        <v>137</v>
      </c>
      <c r="B380" s="150" t="s">
        <v>7551</v>
      </c>
      <c r="C380" s="150" t="s">
        <v>7180</v>
      </c>
      <c r="D380" s="150">
        <v>298</v>
      </c>
      <c r="E380" s="150" t="s">
        <v>7642</v>
      </c>
      <c r="F380" s="150"/>
      <c r="G380" s="150" t="s">
        <v>647</v>
      </c>
      <c r="H380" s="150" t="s">
        <v>674</v>
      </c>
      <c r="I380" s="150" t="s">
        <v>7553</v>
      </c>
      <c r="M380" t="s">
        <v>7643</v>
      </c>
      <c r="O380" t="s">
        <v>8340</v>
      </c>
    </row>
    <row r="381" spans="1:15">
      <c r="A381" s="150" t="s">
        <v>7178</v>
      </c>
      <c r="B381" s="150" t="s">
        <v>7179</v>
      </c>
      <c r="C381" s="150" t="s">
        <v>7180</v>
      </c>
      <c r="D381" s="150">
        <v>298</v>
      </c>
      <c r="E381" s="150" t="s">
        <v>7644</v>
      </c>
      <c r="F381" s="150"/>
      <c r="G381" s="150" t="s">
        <v>647</v>
      </c>
      <c r="H381" s="150" t="s">
        <v>674</v>
      </c>
      <c r="I381" s="150" t="s">
        <v>7182</v>
      </c>
      <c r="M381" t="s">
        <v>7643</v>
      </c>
      <c r="O381" t="s">
        <v>8341</v>
      </c>
    </row>
    <row r="382" spans="1:15">
      <c r="A382" s="150" t="s">
        <v>7184</v>
      </c>
      <c r="B382" s="150" t="s">
        <v>7185</v>
      </c>
      <c r="C382" s="150" t="s">
        <v>7180</v>
      </c>
      <c r="D382" s="150">
        <v>298</v>
      </c>
      <c r="E382" s="150" t="s">
        <v>7645</v>
      </c>
      <c r="F382" s="150"/>
      <c r="G382" s="150" t="s">
        <v>647</v>
      </c>
      <c r="H382" s="150" t="s">
        <v>674</v>
      </c>
      <c r="I382" s="150" t="s">
        <v>7187</v>
      </c>
      <c r="M382" t="s">
        <v>7643</v>
      </c>
      <c r="O382" t="s">
        <v>8342</v>
      </c>
    </row>
    <row r="383" spans="1:15">
      <c r="A383" s="150" t="s">
        <v>7188</v>
      </c>
      <c r="B383" s="150" t="e">
        <v>#N/A</v>
      </c>
      <c r="C383" s="150" t="s">
        <v>7180</v>
      </c>
      <c r="D383" s="150">
        <v>298</v>
      </c>
      <c r="E383" s="150" t="s">
        <v>7646</v>
      </c>
      <c r="F383" s="150"/>
      <c r="G383" s="150" t="s">
        <v>647</v>
      </c>
      <c r="H383" s="150" t="s">
        <v>674</v>
      </c>
      <c r="I383" s="150" t="s">
        <v>7190</v>
      </c>
      <c r="M383" t="s">
        <v>7643</v>
      </c>
      <c r="O383" t="s">
        <v>8343</v>
      </c>
    </row>
    <row r="384" spans="1:15">
      <c r="A384" s="150" t="s">
        <v>7188</v>
      </c>
      <c r="B384" s="150" t="e">
        <v>#VALUE!</v>
      </c>
      <c r="C384" s="150" t="s">
        <v>7180</v>
      </c>
      <c r="D384" s="150">
        <v>298</v>
      </c>
      <c r="E384" s="150" t="s">
        <v>7647</v>
      </c>
      <c r="F384" s="150"/>
      <c r="G384" s="150" t="s">
        <v>647</v>
      </c>
      <c r="H384" s="150" t="s">
        <v>674</v>
      </c>
      <c r="I384" s="150" t="s">
        <v>7190</v>
      </c>
      <c r="M384" t="s">
        <v>7643</v>
      </c>
      <c r="O384" t="s">
        <v>8344</v>
      </c>
    </row>
    <row r="385" spans="1:15">
      <c r="A385" s="150" t="s">
        <v>7188</v>
      </c>
      <c r="B385" s="150" t="e">
        <v>#VALUE!</v>
      </c>
      <c r="C385" s="150" t="s">
        <v>7180</v>
      </c>
      <c r="D385" s="150">
        <v>298</v>
      </c>
      <c r="E385" s="150" t="s">
        <v>7648</v>
      </c>
      <c r="F385" s="150"/>
      <c r="G385" s="150" t="s">
        <v>647</v>
      </c>
      <c r="H385" s="150" t="s">
        <v>674</v>
      </c>
      <c r="I385" s="150" t="s">
        <v>7190</v>
      </c>
      <c r="M385" t="s">
        <v>7643</v>
      </c>
      <c r="O385" t="s">
        <v>8345</v>
      </c>
    </row>
    <row r="386" spans="1:15">
      <c r="A386" s="150" t="s">
        <v>137</v>
      </c>
      <c r="B386" s="150" t="s">
        <v>7551</v>
      </c>
      <c r="C386" s="150" t="s">
        <v>7180</v>
      </c>
      <c r="D386" s="150">
        <v>299</v>
      </c>
      <c r="E386" s="150" t="s">
        <v>7649</v>
      </c>
      <c r="F386" s="150"/>
      <c r="G386" s="150" t="s">
        <v>647</v>
      </c>
      <c r="H386" s="150" t="s">
        <v>675</v>
      </c>
      <c r="I386" s="150" t="s">
        <v>7553</v>
      </c>
      <c r="M386" t="s">
        <v>7650</v>
      </c>
      <c r="O386" t="s">
        <v>8346</v>
      </c>
    </row>
    <row r="387" spans="1:15">
      <c r="A387" s="150" t="s">
        <v>7178</v>
      </c>
      <c r="B387" s="150" t="s">
        <v>7179</v>
      </c>
      <c r="C387" s="150" t="s">
        <v>7180</v>
      </c>
      <c r="D387" s="150">
        <v>299</v>
      </c>
      <c r="E387" s="150" t="s">
        <v>7651</v>
      </c>
      <c r="F387" s="150"/>
      <c r="G387" s="150" t="s">
        <v>647</v>
      </c>
      <c r="H387" s="150" t="s">
        <v>675</v>
      </c>
      <c r="I387" s="150" t="s">
        <v>7182</v>
      </c>
      <c r="M387" t="s">
        <v>7650</v>
      </c>
      <c r="O387" t="s">
        <v>8347</v>
      </c>
    </row>
    <row r="388" spans="1:15">
      <c r="A388" s="150" t="s">
        <v>7184</v>
      </c>
      <c r="B388" s="150" t="s">
        <v>7185</v>
      </c>
      <c r="C388" s="150" t="s">
        <v>7180</v>
      </c>
      <c r="D388" s="150">
        <v>299</v>
      </c>
      <c r="E388" s="150" t="s">
        <v>7652</v>
      </c>
      <c r="F388" s="150"/>
      <c r="G388" s="150" t="s">
        <v>647</v>
      </c>
      <c r="H388" s="150" t="s">
        <v>675</v>
      </c>
      <c r="I388" s="150" t="s">
        <v>7187</v>
      </c>
      <c r="M388" t="s">
        <v>7650</v>
      </c>
      <c r="O388" t="s">
        <v>8348</v>
      </c>
    </row>
    <row r="389" spans="1:15">
      <c r="A389" s="150" t="s">
        <v>7188</v>
      </c>
      <c r="B389" s="150" t="e">
        <v>#N/A</v>
      </c>
      <c r="C389" s="150" t="s">
        <v>7180</v>
      </c>
      <c r="D389" s="150">
        <v>299</v>
      </c>
      <c r="E389" s="150" t="s">
        <v>7653</v>
      </c>
      <c r="F389" s="150"/>
      <c r="G389" s="150" t="s">
        <v>647</v>
      </c>
      <c r="H389" s="150" t="s">
        <v>675</v>
      </c>
      <c r="I389" s="150" t="s">
        <v>7190</v>
      </c>
      <c r="M389" t="s">
        <v>7650</v>
      </c>
      <c r="O389" t="s">
        <v>8349</v>
      </c>
    </row>
    <row r="390" spans="1:15">
      <c r="A390" s="150" t="s">
        <v>7188</v>
      </c>
      <c r="B390" s="150" t="e">
        <v>#VALUE!</v>
      </c>
      <c r="C390" s="150" t="s">
        <v>7180</v>
      </c>
      <c r="D390" s="150">
        <v>299</v>
      </c>
      <c r="E390" s="150" t="s">
        <v>7654</v>
      </c>
      <c r="F390" s="150"/>
      <c r="G390" s="150" t="s">
        <v>647</v>
      </c>
      <c r="H390" s="150" t="s">
        <v>675</v>
      </c>
      <c r="I390" s="150" t="s">
        <v>7190</v>
      </c>
      <c r="M390" t="s">
        <v>7650</v>
      </c>
      <c r="O390" t="s">
        <v>8350</v>
      </c>
    </row>
    <row r="391" spans="1:15">
      <c r="A391" s="150" t="s">
        <v>7188</v>
      </c>
      <c r="B391" s="150" t="e">
        <v>#VALUE!</v>
      </c>
      <c r="C391" s="150" t="s">
        <v>7180</v>
      </c>
      <c r="D391" s="150">
        <v>299</v>
      </c>
      <c r="E391" s="150" t="s">
        <v>7655</v>
      </c>
      <c r="F391" s="150"/>
      <c r="G391" s="150" t="s">
        <v>647</v>
      </c>
      <c r="H391" s="150" t="s">
        <v>675</v>
      </c>
      <c r="I391" s="150" t="s">
        <v>7190</v>
      </c>
      <c r="M391" t="s">
        <v>7650</v>
      </c>
      <c r="O391" t="s">
        <v>8351</v>
      </c>
    </row>
    <row r="392" spans="1:15">
      <c r="A392" s="150" t="s">
        <v>137</v>
      </c>
      <c r="B392" s="150" t="s">
        <v>7551</v>
      </c>
      <c r="C392" s="150" t="s">
        <v>7180</v>
      </c>
      <c r="D392" s="150">
        <v>300</v>
      </c>
      <c r="E392" s="150" t="s">
        <v>7656</v>
      </c>
      <c r="F392" s="150"/>
      <c r="G392" s="150" t="s">
        <v>647</v>
      </c>
      <c r="H392" s="150" t="s">
        <v>281</v>
      </c>
      <c r="I392" s="150" t="s">
        <v>7553</v>
      </c>
      <c r="M392" t="s">
        <v>7657</v>
      </c>
      <c r="O392" t="s">
        <v>8352</v>
      </c>
    </row>
    <row r="393" spans="1:15">
      <c r="A393" s="150" t="s">
        <v>7178</v>
      </c>
      <c r="B393" s="150" t="s">
        <v>7179</v>
      </c>
      <c r="C393" s="150" t="s">
        <v>7180</v>
      </c>
      <c r="D393" s="150">
        <v>300</v>
      </c>
      <c r="E393" s="150" t="s">
        <v>7658</v>
      </c>
      <c r="F393" s="150"/>
      <c r="G393" s="150" t="s">
        <v>647</v>
      </c>
      <c r="H393" s="150" t="s">
        <v>281</v>
      </c>
      <c r="I393" s="150" t="s">
        <v>7182</v>
      </c>
      <c r="M393" t="s">
        <v>7657</v>
      </c>
      <c r="O393" t="s">
        <v>8353</v>
      </c>
    </row>
    <row r="394" spans="1:15">
      <c r="A394" s="150" t="s">
        <v>7184</v>
      </c>
      <c r="B394" s="150" t="s">
        <v>7185</v>
      </c>
      <c r="C394" s="150" t="s">
        <v>7180</v>
      </c>
      <c r="D394" s="150">
        <v>300</v>
      </c>
      <c r="E394" s="150" t="s">
        <v>7659</v>
      </c>
      <c r="F394" s="150"/>
      <c r="G394" s="150" t="s">
        <v>647</v>
      </c>
      <c r="H394" s="150" t="s">
        <v>281</v>
      </c>
      <c r="I394" s="150" t="s">
        <v>7187</v>
      </c>
      <c r="M394" t="s">
        <v>7657</v>
      </c>
      <c r="O394" t="s">
        <v>8354</v>
      </c>
    </row>
    <row r="395" spans="1:15">
      <c r="A395" s="150" t="s">
        <v>7188</v>
      </c>
      <c r="B395" s="150" t="e">
        <v>#N/A</v>
      </c>
      <c r="C395" s="150" t="s">
        <v>7180</v>
      </c>
      <c r="D395" s="150">
        <v>300</v>
      </c>
      <c r="E395" s="150" t="s">
        <v>7660</v>
      </c>
      <c r="F395" s="150"/>
      <c r="G395" s="150" t="s">
        <v>647</v>
      </c>
      <c r="H395" s="150" t="s">
        <v>281</v>
      </c>
      <c r="I395" s="150" t="s">
        <v>7190</v>
      </c>
      <c r="M395" t="s">
        <v>7657</v>
      </c>
      <c r="O395" t="s">
        <v>8355</v>
      </c>
    </row>
    <row r="396" spans="1:15">
      <c r="A396" s="150" t="s">
        <v>7188</v>
      </c>
      <c r="B396" s="150" t="e">
        <v>#VALUE!</v>
      </c>
      <c r="C396" s="150" t="s">
        <v>7180</v>
      </c>
      <c r="D396" s="150">
        <v>300</v>
      </c>
      <c r="E396" s="150" t="s">
        <v>7661</v>
      </c>
      <c r="F396" s="150"/>
      <c r="G396" s="150" t="s">
        <v>647</v>
      </c>
      <c r="H396" s="150" t="s">
        <v>281</v>
      </c>
      <c r="I396" s="150" t="s">
        <v>7190</v>
      </c>
      <c r="M396" t="s">
        <v>7657</v>
      </c>
      <c r="O396" t="s">
        <v>8356</v>
      </c>
    </row>
    <row r="397" spans="1:15">
      <c r="A397" s="150" t="s">
        <v>7188</v>
      </c>
      <c r="B397" s="150" t="e">
        <v>#VALUE!</v>
      </c>
      <c r="C397" s="150" t="s">
        <v>7180</v>
      </c>
      <c r="D397" s="150">
        <v>300</v>
      </c>
      <c r="E397" s="150" t="s">
        <v>7662</v>
      </c>
      <c r="F397" s="150"/>
      <c r="G397" s="150" t="s">
        <v>647</v>
      </c>
      <c r="H397" s="150" t="s">
        <v>281</v>
      </c>
      <c r="I397" s="150" t="s">
        <v>7190</v>
      </c>
      <c r="M397" t="s">
        <v>7657</v>
      </c>
      <c r="O397" t="s">
        <v>8357</v>
      </c>
    </row>
    <row r="398" spans="1:15">
      <c r="A398" s="150" t="s">
        <v>137</v>
      </c>
      <c r="B398" s="150" t="s">
        <v>7551</v>
      </c>
      <c r="C398" s="150" t="s">
        <v>7180</v>
      </c>
      <c r="D398" s="150">
        <v>301</v>
      </c>
      <c r="E398" s="150" t="s">
        <v>7663</v>
      </c>
      <c r="F398" s="150"/>
      <c r="G398" s="150" t="s">
        <v>647</v>
      </c>
      <c r="H398" s="150" t="s">
        <v>119</v>
      </c>
      <c r="I398" s="150" t="s">
        <v>7553</v>
      </c>
      <c r="M398" t="s">
        <v>7664</v>
      </c>
      <c r="O398" t="s">
        <v>8358</v>
      </c>
    </row>
    <row r="399" spans="1:15">
      <c r="A399" s="150" t="s">
        <v>7178</v>
      </c>
      <c r="B399" s="150" t="s">
        <v>7179</v>
      </c>
      <c r="C399" s="150" t="s">
        <v>7180</v>
      </c>
      <c r="D399" s="150">
        <v>301</v>
      </c>
      <c r="E399" s="150" t="s">
        <v>7665</v>
      </c>
      <c r="F399" s="150"/>
      <c r="G399" s="150" t="s">
        <v>647</v>
      </c>
      <c r="H399" s="150" t="s">
        <v>119</v>
      </c>
      <c r="I399" s="150" t="s">
        <v>7182</v>
      </c>
      <c r="M399" t="s">
        <v>7664</v>
      </c>
      <c r="O399" t="s">
        <v>8359</v>
      </c>
    </row>
    <row r="400" spans="1:15">
      <c r="A400" s="150" t="s">
        <v>7184</v>
      </c>
      <c r="B400" s="150" t="s">
        <v>7185</v>
      </c>
      <c r="C400" s="150" t="s">
        <v>7180</v>
      </c>
      <c r="D400" s="150">
        <v>301</v>
      </c>
      <c r="E400" s="150" t="s">
        <v>7666</v>
      </c>
      <c r="F400" s="150"/>
      <c r="G400" s="150" t="s">
        <v>647</v>
      </c>
      <c r="H400" s="150" t="s">
        <v>119</v>
      </c>
      <c r="I400" s="150" t="s">
        <v>7187</v>
      </c>
      <c r="M400" t="s">
        <v>7664</v>
      </c>
      <c r="O400" t="s">
        <v>8360</v>
      </c>
    </row>
    <row r="401" spans="1:15">
      <c r="A401" s="150" t="s">
        <v>7188</v>
      </c>
      <c r="B401" s="150" t="e">
        <v>#N/A</v>
      </c>
      <c r="C401" s="150" t="s">
        <v>7180</v>
      </c>
      <c r="D401" s="150">
        <v>301</v>
      </c>
      <c r="E401" s="150" t="s">
        <v>7667</v>
      </c>
      <c r="F401" s="150"/>
      <c r="G401" s="150" t="s">
        <v>647</v>
      </c>
      <c r="H401" s="150" t="s">
        <v>119</v>
      </c>
      <c r="I401" s="150" t="s">
        <v>7190</v>
      </c>
      <c r="M401" t="s">
        <v>7664</v>
      </c>
      <c r="O401" t="s">
        <v>8361</v>
      </c>
    </row>
    <row r="402" spans="1:15">
      <c r="A402" s="150" t="s">
        <v>7188</v>
      </c>
      <c r="B402" s="150" t="e">
        <v>#VALUE!</v>
      </c>
      <c r="C402" s="150" t="s">
        <v>7180</v>
      </c>
      <c r="D402" s="150">
        <v>301</v>
      </c>
      <c r="E402" s="150" t="s">
        <v>7668</v>
      </c>
      <c r="F402" s="150"/>
      <c r="G402" s="150" t="s">
        <v>647</v>
      </c>
      <c r="H402" s="150" t="s">
        <v>119</v>
      </c>
      <c r="I402" s="150" t="s">
        <v>7190</v>
      </c>
      <c r="M402" t="s">
        <v>7664</v>
      </c>
      <c r="O402" t="s">
        <v>8362</v>
      </c>
    </row>
    <row r="403" spans="1:15">
      <c r="A403" s="150" t="s">
        <v>7188</v>
      </c>
      <c r="B403" s="150" t="e">
        <v>#VALUE!</v>
      </c>
      <c r="C403" s="150" t="s">
        <v>7180</v>
      </c>
      <c r="D403" s="150">
        <v>301</v>
      </c>
      <c r="E403" s="150" t="s">
        <v>7669</v>
      </c>
      <c r="F403" s="150"/>
      <c r="G403" s="150" t="s">
        <v>647</v>
      </c>
      <c r="H403" s="150" t="s">
        <v>119</v>
      </c>
      <c r="I403" s="150" t="s">
        <v>7190</v>
      </c>
      <c r="M403" t="s">
        <v>7664</v>
      </c>
      <c r="O403" t="s">
        <v>8363</v>
      </c>
    </row>
    <row r="404" spans="1:15">
      <c r="A404" s="150" t="s">
        <v>137</v>
      </c>
      <c r="B404" s="150" t="s">
        <v>7551</v>
      </c>
      <c r="C404" s="150" t="s">
        <v>7180</v>
      </c>
      <c r="D404" s="150">
        <v>302</v>
      </c>
      <c r="E404" s="150" t="s">
        <v>7670</v>
      </c>
      <c r="F404" s="150"/>
      <c r="G404" s="150" t="s">
        <v>647</v>
      </c>
      <c r="H404" s="150" t="s">
        <v>676</v>
      </c>
      <c r="I404" s="150" t="s">
        <v>7553</v>
      </c>
      <c r="M404" t="s">
        <v>7671</v>
      </c>
      <c r="O404" t="s">
        <v>8364</v>
      </c>
    </row>
    <row r="405" spans="1:15">
      <c r="A405" s="150" t="s">
        <v>7178</v>
      </c>
      <c r="B405" s="150" t="s">
        <v>7179</v>
      </c>
      <c r="C405" s="150" t="s">
        <v>7180</v>
      </c>
      <c r="D405" s="150">
        <v>302</v>
      </c>
      <c r="E405" s="150" t="s">
        <v>7672</v>
      </c>
      <c r="F405" s="150"/>
      <c r="G405" s="150" t="s">
        <v>647</v>
      </c>
      <c r="H405" s="150" t="s">
        <v>676</v>
      </c>
      <c r="I405" s="150" t="s">
        <v>7182</v>
      </c>
      <c r="M405" t="s">
        <v>7671</v>
      </c>
      <c r="O405" t="s">
        <v>8365</v>
      </c>
    </row>
    <row r="406" spans="1:15">
      <c r="A406" s="150" t="s">
        <v>7184</v>
      </c>
      <c r="B406" s="150" t="s">
        <v>7185</v>
      </c>
      <c r="C406" s="150" t="s">
        <v>7180</v>
      </c>
      <c r="D406" s="150">
        <v>302</v>
      </c>
      <c r="E406" s="150" t="s">
        <v>7673</v>
      </c>
      <c r="F406" s="150"/>
      <c r="G406" s="150" t="s">
        <v>647</v>
      </c>
      <c r="H406" s="150" t="s">
        <v>676</v>
      </c>
      <c r="I406" s="150" t="s">
        <v>7187</v>
      </c>
      <c r="M406" t="s">
        <v>7671</v>
      </c>
      <c r="O406" t="s">
        <v>8366</v>
      </c>
    </row>
    <row r="407" spans="1:15">
      <c r="A407" s="150" t="s">
        <v>7188</v>
      </c>
      <c r="B407" s="150" t="e">
        <v>#N/A</v>
      </c>
      <c r="C407" s="150" t="s">
        <v>7180</v>
      </c>
      <c r="D407" s="150">
        <v>302</v>
      </c>
      <c r="E407" s="150" t="s">
        <v>7674</v>
      </c>
      <c r="F407" s="150"/>
      <c r="G407" s="150" t="s">
        <v>647</v>
      </c>
      <c r="H407" s="150" t="s">
        <v>676</v>
      </c>
      <c r="I407" s="150" t="s">
        <v>7190</v>
      </c>
      <c r="M407" t="s">
        <v>7671</v>
      </c>
      <c r="O407" t="s">
        <v>8367</v>
      </c>
    </row>
    <row r="408" spans="1:15">
      <c r="A408" s="150" t="s">
        <v>7188</v>
      </c>
      <c r="B408" s="150" t="e">
        <v>#VALUE!</v>
      </c>
      <c r="C408" s="150" t="s">
        <v>7180</v>
      </c>
      <c r="D408" s="150">
        <v>302</v>
      </c>
      <c r="E408" s="150" t="s">
        <v>7675</v>
      </c>
      <c r="F408" s="150"/>
      <c r="G408" s="150" t="s">
        <v>647</v>
      </c>
      <c r="H408" s="150" t="s">
        <v>676</v>
      </c>
      <c r="I408" s="150" t="s">
        <v>7190</v>
      </c>
      <c r="M408" t="s">
        <v>7671</v>
      </c>
      <c r="O408" t="s">
        <v>8368</v>
      </c>
    </row>
    <row r="409" spans="1:15">
      <c r="A409" s="150" t="s">
        <v>7188</v>
      </c>
      <c r="B409" s="150" t="e">
        <v>#VALUE!</v>
      </c>
      <c r="C409" s="150" t="s">
        <v>7180</v>
      </c>
      <c r="D409" s="150">
        <v>302</v>
      </c>
      <c r="E409" s="150" t="s">
        <v>7676</v>
      </c>
      <c r="F409" s="150"/>
      <c r="G409" s="150" t="s">
        <v>647</v>
      </c>
      <c r="H409" s="150" t="s">
        <v>676</v>
      </c>
      <c r="I409" s="150" t="s">
        <v>7190</v>
      </c>
      <c r="M409" t="s">
        <v>7671</v>
      </c>
      <c r="O409" t="s">
        <v>8369</v>
      </c>
    </row>
    <row r="410" spans="1:15">
      <c r="A410" s="150" t="s">
        <v>137</v>
      </c>
      <c r="B410" s="150" t="s">
        <v>7551</v>
      </c>
      <c r="C410" s="150" t="s">
        <v>7180</v>
      </c>
      <c r="D410" s="150">
        <v>303</v>
      </c>
      <c r="E410" s="150" t="s">
        <v>7677</v>
      </c>
      <c r="F410" s="150"/>
      <c r="G410" s="150" t="s">
        <v>647</v>
      </c>
      <c r="H410" s="150" t="s">
        <v>677</v>
      </c>
      <c r="I410" s="150" t="s">
        <v>7553</v>
      </c>
      <c r="M410" t="s">
        <v>7678</v>
      </c>
      <c r="O410" t="s">
        <v>8370</v>
      </c>
    </row>
    <row r="411" spans="1:15">
      <c r="A411" s="150" t="s">
        <v>7178</v>
      </c>
      <c r="B411" s="150" t="s">
        <v>7179</v>
      </c>
      <c r="C411" s="150" t="s">
        <v>7180</v>
      </c>
      <c r="D411" s="150">
        <v>303</v>
      </c>
      <c r="E411" s="150" t="s">
        <v>7679</v>
      </c>
      <c r="F411" s="150"/>
      <c r="G411" s="150" t="s">
        <v>647</v>
      </c>
      <c r="H411" s="150" t="s">
        <v>677</v>
      </c>
      <c r="I411" s="150" t="s">
        <v>7182</v>
      </c>
      <c r="M411" t="s">
        <v>7678</v>
      </c>
      <c r="O411" t="s">
        <v>8371</v>
      </c>
    </row>
    <row r="412" spans="1:15">
      <c r="A412" s="150" t="s">
        <v>7184</v>
      </c>
      <c r="B412" s="150" t="s">
        <v>7185</v>
      </c>
      <c r="C412" s="150" t="s">
        <v>7180</v>
      </c>
      <c r="D412" s="150">
        <v>303</v>
      </c>
      <c r="E412" s="150" t="s">
        <v>7680</v>
      </c>
      <c r="F412" s="150"/>
      <c r="G412" s="150" t="s">
        <v>647</v>
      </c>
      <c r="H412" s="150" t="s">
        <v>677</v>
      </c>
      <c r="I412" s="150" t="s">
        <v>7187</v>
      </c>
      <c r="M412" t="s">
        <v>7678</v>
      </c>
      <c r="O412" t="s">
        <v>8372</v>
      </c>
    </row>
    <row r="413" spans="1:15">
      <c r="A413" s="150" t="s">
        <v>7188</v>
      </c>
      <c r="B413" s="150" t="e">
        <v>#N/A</v>
      </c>
      <c r="C413" s="150" t="s">
        <v>7180</v>
      </c>
      <c r="D413" s="150">
        <v>303</v>
      </c>
      <c r="E413" s="150" t="s">
        <v>7681</v>
      </c>
      <c r="F413" s="150"/>
      <c r="G413" s="150" t="s">
        <v>647</v>
      </c>
      <c r="H413" s="150" t="s">
        <v>677</v>
      </c>
      <c r="I413" s="150" t="s">
        <v>7190</v>
      </c>
      <c r="M413" t="s">
        <v>7678</v>
      </c>
      <c r="O413" t="s">
        <v>8373</v>
      </c>
    </row>
    <row r="414" spans="1:15">
      <c r="A414" s="150" t="s">
        <v>7188</v>
      </c>
      <c r="B414" s="150" t="e">
        <v>#VALUE!</v>
      </c>
      <c r="C414" s="150" t="s">
        <v>7180</v>
      </c>
      <c r="D414" s="150">
        <v>303</v>
      </c>
      <c r="E414" s="150" t="s">
        <v>7682</v>
      </c>
      <c r="F414" s="150"/>
      <c r="G414" s="150" t="s">
        <v>647</v>
      </c>
      <c r="H414" s="150" t="s">
        <v>677</v>
      </c>
      <c r="I414" s="150" t="s">
        <v>7190</v>
      </c>
      <c r="M414" t="s">
        <v>7678</v>
      </c>
      <c r="O414" t="s">
        <v>8374</v>
      </c>
    </row>
    <row r="415" spans="1:15">
      <c r="A415" s="150" t="s">
        <v>7188</v>
      </c>
      <c r="B415" s="150" t="e">
        <v>#VALUE!</v>
      </c>
      <c r="C415" s="150" t="s">
        <v>7180</v>
      </c>
      <c r="D415" s="150">
        <v>303</v>
      </c>
      <c r="E415" s="150" t="s">
        <v>7683</v>
      </c>
      <c r="F415" s="150"/>
      <c r="G415" s="150" t="s">
        <v>647</v>
      </c>
      <c r="H415" s="150" t="s">
        <v>677</v>
      </c>
      <c r="I415" s="150" t="s">
        <v>7190</v>
      </c>
      <c r="M415" t="s">
        <v>7678</v>
      </c>
      <c r="O415" t="s">
        <v>8375</v>
      </c>
    </row>
    <row r="416" spans="1:15">
      <c r="A416" s="150" t="s">
        <v>137</v>
      </c>
      <c r="B416" s="150" t="s">
        <v>7551</v>
      </c>
      <c r="C416" s="150" t="s">
        <v>7180</v>
      </c>
      <c r="D416" s="150">
        <v>304</v>
      </c>
      <c r="E416" s="150" t="s">
        <v>7684</v>
      </c>
      <c r="F416" s="150"/>
      <c r="G416" s="150" t="s">
        <v>647</v>
      </c>
      <c r="H416" s="150" t="s">
        <v>375</v>
      </c>
      <c r="I416" s="150" t="s">
        <v>7553</v>
      </c>
      <c r="M416" t="s">
        <v>7685</v>
      </c>
      <c r="O416" t="s">
        <v>8376</v>
      </c>
    </row>
    <row r="417" spans="1:15">
      <c r="A417" s="150" t="s">
        <v>7178</v>
      </c>
      <c r="B417" s="150" t="s">
        <v>7179</v>
      </c>
      <c r="C417" s="150" t="s">
        <v>7180</v>
      </c>
      <c r="D417" s="150">
        <v>304</v>
      </c>
      <c r="E417" s="150" t="s">
        <v>7686</v>
      </c>
      <c r="F417" s="150"/>
      <c r="G417" s="150" t="s">
        <v>647</v>
      </c>
      <c r="H417" s="150" t="s">
        <v>375</v>
      </c>
      <c r="I417" s="150" t="s">
        <v>7182</v>
      </c>
      <c r="M417" t="s">
        <v>7685</v>
      </c>
      <c r="O417" t="s">
        <v>8377</v>
      </c>
    </row>
    <row r="418" spans="1:15">
      <c r="A418" s="150" t="s">
        <v>7184</v>
      </c>
      <c r="B418" s="150" t="s">
        <v>7185</v>
      </c>
      <c r="C418" s="150" t="s">
        <v>7180</v>
      </c>
      <c r="D418" s="150">
        <v>304</v>
      </c>
      <c r="E418" s="150" t="s">
        <v>7687</v>
      </c>
      <c r="F418" s="150"/>
      <c r="G418" s="150" t="s">
        <v>647</v>
      </c>
      <c r="H418" s="150" t="s">
        <v>375</v>
      </c>
      <c r="I418" s="150" t="s">
        <v>7187</v>
      </c>
      <c r="M418" t="s">
        <v>7685</v>
      </c>
      <c r="O418" t="s">
        <v>8378</v>
      </c>
    </row>
    <row r="419" spans="1:15">
      <c r="A419" s="150" t="s">
        <v>7188</v>
      </c>
      <c r="B419" s="150" t="e">
        <v>#N/A</v>
      </c>
      <c r="C419" s="150" t="s">
        <v>7180</v>
      </c>
      <c r="D419" s="150">
        <v>304</v>
      </c>
      <c r="E419" s="150" t="s">
        <v>7688</v>
      </c>
      <c r="F419" s="150"/>
      <c r="G419" s="150" t="s">
        <v>647</v>
      </c>
      <c r="H419" s="150" t="s">
        <v>375</v>
      </c>
      <c r="I419" s="150" t="s">
        <v>7190</v>
      </c>
      <c r="M419" t="s">
        <v>7685</v>
      </c>
      <c r="O419" t="s">
        <v>8379</v>
      </c>
    </row>
    <row r="420" spans="1:15">
      <c r="A420" s="150" t="s">
        <v>7188</v>
      </c>
      <c r="B420" s="150" t="e">
        <v>#VALUE!</v>
      </c>
      <c r="C420" s="150" t="s">
        <v>7180</v>
      </c>
      <c r="D420" s="150">
        <v>304</v>
      </c>
      <c r="E420" s="150" t="s">
        <v>7689</v>
      </c>
      <c r="F420" s="150"/>
      <c r="G420" s="150" t="s">
        <v>647</v>
      </c>
      <c r="H420" s="150" t="s">
        <v>375</v>
      </c>
      <c r="I420" s="150" t="s">
        <v>7190</v>
      </c>
      <c r="M420" t="s">
        <v>7685</v>
      </c>
      <c r="O420" t="s">
        <v>8380</v>
      </c>
    </row>
    <row r="421" spans="1:15">
      <c r="A421" s="150" t="s">
        <v>7188</v>
      </c>
      <c r="B421" s="150" t="e">
        <v>#VALUE!</v>
      </c>
      <c r="C421" s="150" t="s">
        <v>7180</v>
      </c>
      <c r="D421" s="150">
        <v>304</v>
      </c>
      <c r="E421" s="150" t="s">
        <v>7690</v>
      </c>
      <c r="F421" s="150"/>
      <c r="G421" s="150" t="s">
        <v>647</v>
      </c>
      <c r="H421" s="150" t="s">
        <v>375</v>
      </c>
      <c r="I421" s="150" t="s">
        <v>7190</v>
      </c>
      <c r="M421" t="s">
        <v>7685</v>
      </c>
      <c r="O421" t="s">
        <v>8381</v>
      </c>
    </row>
    <row r="422" spans="1:15">
      <c r="A422" s="150" t="s">
        <v>137</v>
      </c>
      <c r="B422" s="150" t="s">
        <v>7551</v>
      </c>
      <c r="C422" s="150" t="s">
        <v>7180</v>
      </c>
      <c r="D422" s="150">
        <v>305</v>
      </c>
      <c r="E422" s="150" t="s">
        <v>7691</v>
      </c>
      <c r="F422" s="150"/>
      <c r="G422" s="150" t="s">
        <v>647</v>
      </c>
      <c r="H422" s="150" t="s">
        <v>678</v>
      </c>
      <c r="I422" s="150" t="s">
        <v>7553</v>
      </c>
      <c r="M422" t="s">
        <v>7692</v>
      </c>
      <c r="O422" t="s">
        <v>8382</v>
      </c>
    </row>
    <row r="423" spans="1:15">
      <c r="A423" s="150" t="s">
        <v>7178</v>
      </c>
      <c r="B423" s="150" t="s">
        <v>7179</v>
      </c>
      <c r="C423" s="150" t="s">
        <v>7180</v>
      </c>
      <c r="D423" s="150">
        <v>305</v>
      </c>
      <c r="E423" s="150" t="s">
        <v>7693</v>
      </c>
      <c r="F423" s="150"/>
      <c r="G423" s="150" t="s">
        <v>647</v>
      </c>
      <c r="H423" s="150" t="s">
        <v>678</v>
      </c>
      <c r="I423" s="150" t="s">
        <v>7182</v>
      </c>
      <c r="M423" t="s">
        <v>7692</v>
      </c>
      <c r="O423" t="s">
        <v>8383</v>
      </c>
    </row>
    <row r="424" spans="1:15">
      <c r="A424" s="150" t="s">
        <v>7184</v>
      </c>
      <c r="B424" s="150" t="s">
        <v>7185</v>
      </c>
      <c r="C424" s="150" t="s">
        <v>7180</v>
      </c>
      <c r="D424" s="150">
        <v>305</v>
      </c>
      <c r="E424" s="150" t="s">
        <v>7694</v>
      </c>
      <c r="F424" s="150"/>
      <c r="G424" s="150" t="s">
        <v>647</v>
      </c>
      <c r="H424" s="150" t="s">
        <v>678</v>
      </c>
      <c r="I424" s="150" t="s">
        <v>7187</v>
      </c>
      <c r="M424" t="s">
        <v>7692</v>
      </c>
      <c r="O424" t="s">
        <v>8384</v>
      </c>
    </row>
    <row r="425" spans="1:15">
      <c r="A425" s="150" t="s">
        <v>7188</v>
      </c>
      <c r="B425" s="150" t="e">
        <v>#N/A</v>
      </c>
      <c r="C425" s="150" t="s">
        <v>7180</v>
      </c>
      <c r="D425" s="150">
        <v>305</v>
      </c>
      <c r="E425" s="150" t="s">
        <v>7695</v>
      </c>
      <c r="F425" s="150"/>
      <c r="G425" s="150" t="s">
        <v>647</v>
      </c>
      <c r="H425" s="150" t="s">
        <v>678</v>
      </c>
      <c r="I425" s="150" t="s">
        <v>7190</v>
      </c>
      <c r="M425" t="s">
        <v>7692</v>
      </c>
      <c r="O425" t="s">
        <v>8385</v>
      </c>
    </row>
    <row r="426" spans="1:15">
      <c r="A426" s="150" t="s">
        <v>7188</v>
      </c>
      <c r="B426" s="150" t="e">
        <v>#VALUE!</v>
      </c>
      <c r="C426" s="150" t="s">
        <v>7180</v>
      </c>
      <c r="D426" s="150">
        <v>305</v>
      </c>
      <c r="E426" s="150" t="s">
        <v>7696</v>
      </c>
      <c r="F426" s="150"/>
      <c r="G426" s="150" t="s">
        <v>647</v>
      </c>
      <c r="H426" s="150" t="s">
        <v>678</v>
      </c>
      <c r="I426" s="150" t="s">
        <v>7190</v>
      </c>
      <c r="M426" t="s">
        <v>7692</v>
      </c>
      <c r="O426" t="s">
        <v>8386</v>
      </c>
    </row>
    <row r="427" spans="1:15">
      <c r="A427" s="150" t="s">
        <v>7188</v>
      </c>
      <c r="B427" s="150" t="e">
        <v>#VALUE!</v>
      </c>
      <c r="C427" s="150" t="s">
        <v>7180</v>
      </c>
      <c r="D427" s="150">
        <v>305</v>
      </c>
      <c r="E427" s="150" t="s">
        <v>7697</v>
      </c>
      <c r="F427" s="150"/>
      <c r="G427" s="150" t="s">
        <v>647</v>
      </c>
      <c r="H427" s="150" t="s">
        <v>678</v>
      </c>
      <c r="I427" s="150" t="s">
        <v>7190</v>
      </c>
      <c r="M427" t="s">
        <v>7692</v>
      </c>
      <c r="O427" t="s">
        <v>8387</v>
      </c>
    </row>
    <row r="428" spans="1:15">
      <c r="A428" s="150" t="s">
        <v>7178</v>
      </c>
      <c r="B428" s="150" t="s">
        <v>7179</v>
      </c>
      <c r="C428" s="150" t="s">
        <v>7180</v>
      </c>
      <c r="D428" s="150">
        <v>306</v>
      </c>
      <c r="E428" s="150" t="s">
        <v>7698</v>
      </c>
      <c r="F428" s="150" t="s">
        <v>148</v>
      </c>
      <c r="G428" s="150" t="s">
        <v>157</v>
      </c>
      <c r="H428" s="150" t="s">
        <v>679</v>
      </c>
      <c r="I428" s="150" t="s">
        <v>7182</v>
      </c>
      <c r="M428" t="s">
        <v>7699</v>
      </c>
      <c r="O428" t="s">
        <v>8388</v>
      </c>
    </row>
    <row r="429" spans="1:15">
      <c r="A429" s="150" t="s">
        <v>7184</v>
      </c>
      <c r="B429" s="150" t="s">
        <v>7185</v>
      </c>
      <c r="C429" s="150" t="s">
        <v>7180</v>
      </c>
      <c r="D429" s="150">
        <v>306</v>
      </c>
      <c r="E429" s="150" t="s">
        <v>7700</v>
      </c>
      <c r="F429" s="150" t="s">
        <v>148</v>
      </c>
      <c r="G429" s="150" t="s">
        <v>157</v>
      </c>
      <c r="H429" s="150" t="s">
        <v>679</v>
      </c>
      <c r="I429" s="150" t="s">
        <v>7187</v>
      </c>
      <c r="M429" t="s">
        <v>7699</v>
      </c>
      <c r="O429" t="s">
        <v>8389</v>
      </c>
    </row>
    <row r="430" spans="1:15">
      <c r="A430" s="150" t="s">
        <v>7188</v>
      </c>
      <c r="B430" s="150" t="e">
        <v>#N/A</v>
      </c>
      <c r="C430" s="150" t="s">
        <v>7180</v>
      </c>
      <c r="D430" s="150">
        <v>306</v>
      </c>
      <c r="E430" s="150" t="s">
        <v>7701</v>
      </c>
      <c r="F430" s="150" t="s">
        <v>148</v>
      </c>
      <c r="G430" s="150" t="s">
        <v>157</v>
      </c>
      <c r="H430" s="150" t="s">
        <v>679</v>
      </c>
      <c r="I430" s="150" t="s">
        <v>7190</v>
      </c>
      <c r="M430" t="s">
        <v>7699</v>
      </c>
      <c r="O430" t="s">
        <v>8390</v>
      </c>
    </row>
    <row r="431" spans="1:15">
      <c r="A431" s="150" t="s">
        <v>7188</v>
      </c>
      <c r="B431" s="150" t="e">
        <v>#VALUE!</v>
      </c>
      <c r="C431" s="150" t="s">
        <v>7180</v>
      </c>
      <c r="D431" s="150">
        <v>306</v>
      </c>
      <c r="E431" s="150" t="s">
        <v>7702</v>
      </c>
      <c r="F431" s="150" t="s">
        <v>148</v>
      </c>
      <c r="G431" s="150" t="s">
        <v>157</v>
      </c>
      <c r="H431" s="150" t="s">
        <v>679</v>
      </c>
      <c r="I431" s="150" t="s">
        <v>7190</v>
      </c>
      <c r="M431" t="s">
        <v>7699</v>
      </c>
      <c r="O431" t="s">
        <v>8391</v>
      </c>
    </row>
    <row r="432" spans="1:15">
      <c r="A432" s="150" t="s">
        <v>7188</v>
      </c>
      <c r="B432" s="150" t="e">
        <v>#VALUE!</v>
      </c>
      <c r="C432" s="150" t="s">
        <v>7180</v>
      </c>
      <c r="D432" s="150">
        <v>306</v>
      </c>
      <c r="E432" s="150" t="s">
        <v>7703</v>
      </c>
      <c r="F432" s="150" t="s">
        <v>148</v>
      </c>
      <c r="G432" s="150" t="s">
        <v>157</v>
      </c>
      <c r="H432" s="150" t="s">
        <v>679</v>
      </c>
      <c r="I432" s="150" t="s">
        <v>7190</v>
      </c>
      <c r="M432" t="s">
        <v>7699</v>
      </c>
      <c r="O432" t="s">
        <v>8392</v>
      </c>
    </row>
    <row r="433" spans="1:15">
      <c r="A433" s="150" t="s">
        <v>7178</v>
      </c>
      <c r="B433" s="150" t="s">
        <v>7179</v>
      </c>
      <c r="C433" s="150" t="s">
        <v>7180</v>
      </c>
      <c r="D433" s="150">
        <v>307</v>
      </c>
      <c r="E433" s="150" t="s">
        <v>7704</v>
      </c>
      <c r="F433" s="150" t="s">
        <v>148</v>
      </c>
      <c r="G433" s="150" t="s">
        <v>157</v>
      </c>
      <c r="H433" s="150" t="s">
        <v>680</v>
      </c>
      <c r="I433" s="150" t="s">
        <v>7182</v>
      </c>
      <c r="M433" t="s">
        <v>7705</v>
      </c>
      <c r="O433" t="s">
        <v>8393</v>
      </c>
    </row>
    <row r="434" spans="1:15">
      <c r="A434" s="150" t="s">
        <v>7184</v>
      </c>
      <c r="B434" s="150" t="s">
        <v>7185</v>
      </c>
      <c r="C434" s="150" t="s">
        <v>7180</v>
      </c>
      <c r="D434" s="150">
        <v>307</v>
      </c>
      <c r="E434" s="150" t="s">
        <v>7706</v>
      </c>
      <c r="F434" s="150" t="s">
        <v>148</v>
      </c>
      <c r="G434" s="150" t="s">
        <v>157</v>
      </c>
      <c r="H434" s="150" t="s">
        <v>680</v>
      </c>
      <c r="I434" s="150" t="s">
        <v>7187</v>
      </c>
      <c r="M434" t="s">
        <v>7705</v>
      </c>
      <c r="O434" t="s">
        <v>8394</v>
      </c>
    </row>
    <row r="435" spans="1:15">
      <c r="A435" s="150" t="s">
        <v>7188</v>
      </c>
      <c r="B435" s="150" t="e">
        <v>#N/A</v>
      </c>
      <c r="C435" s="150" t="s">
        <v>7180</v>
      </c>
      <c r="D435" s="150">
        <v>307</v>
      </c>
      <c r="E435" s="150" t="s">
        <v>7707</v>
      </c>
      <c r="F435" s="150" t="s">
        <v>148</v>
      </c>
      <c r="G435" s="150" t="s">
        <v>157</v>
      </c>
      <c r="H435" s="150" t="s">
        <v>680</v>
      </c>
      <c r="I435" s="150" t="s">
        <v>7190</v>
      </c>
      <c r="M435" t="s">
        <v>7705</v>
      </c>
      <c r="O435" t="s">
        <v>8395</v>
      </c>
    </row>
    <row r="436" spans="1:15">
      <c r="A436" s="150" t="s">
        <v>7188</v>
      </c>
      <c r="B436" s="150" t="e">
        <v>#VALUE!</v>
      </c>
      <c r="C436" s="150" t="s">
        <v>7180</v>
      </c>
      <c r="D436" s="150">
        <v>307</v>
      </c>
      <c r="E436" s="150" t="s">
        <v>7708</v>
      </c>
      <c r="F436" s="150" t="s">
        <v>148</v>
      </c>
      <c r="G436" s="150" t="s">
        <v>157</v>
      </c>
      <c r="H436" s="150" t="s">
        <v>680</v>
      </c>
      <c r="I436" s="150" t="s">
        <v>7190</v>
      </c>
      <c r="M436" t="s">
        <v>7705</v>
      </c>
      <c r="O436" t="s">
        <v>8396</v>
      </c>
    </row>
    <row r="437" spans="1:15">
      <c r="A437" s="150" t="s">
        <v>7188</v>
      </c>
      <c r="B437" s="150" t="e">
        <v>#VALUE!</v>
      </c>
      <c r="C437" s="150" t="s">
        <v>7180</v>
      </c>
      <c r="D437" s="150">
        <v>307</v>
      </c>
      <c r="E437" s="150" t="s">
        <v>7709</v>
      </c>
      <c r="F437" s="150" t="s">
        <v>148</v>
      </c>
      <c r="G437" s="150" t="s">
        <v>157</v>
      </c>
      <c r="H437" s="150" t="s">
        <v>680</v>
      </c>
      <c r="I437" s="150" t="s">
        <v>7190</v>
      </c>
      <c r="M437" t="s">
        <v>7705</v>
      </c>
      <c r="O437" t="s">
        <v>8397</v>
      </c>
    </row>
    <row r="438" spans="1:15">
      <c r="A438" s="150" t="s">
        <v>7178</v>
      </c>
      <c r="B438" s="150" t="s">
        <v>7179</v>
      </c>
      <c r="C438" s="150" t="s">
        <v>7180</v>
      </c>
      <c r="D438" s="150">
        <v>308</v>
      </c>
      <c r="E438" s="150" t="s">
        <v>7710</v>
      </c>
      <c r="F438" s="150" t="s">
        <v>143</v>
      </c>
      <c r="G438" s="150" t="s">
        <v>153</v>
      </c>
      <c r="H438" s="150" t="s">
        <v>128</v>
      </c>
      <c r="I438" s="150" t="s">
        <v>7182</v>
      </c>
      <c r="M438" t="s">
        <v>7711</v>
      </c>
      <c r="O438" t="s">
        <v>8398</v>
      </c>
    </row>
    <row r="439" spans="1:15">
      <c r="A439" s="150" t="s">
        <v>7184</v>
      </c>
      <c r="B439" s="150" t="s">
        <v>7185</v>
      </c>
      <c r="C439" s="150" t="s">
        <v>7180</v>
      </c>
      <c r="D439" s="150">
        <v>308</v>
      </c>
      <c r="E439" s="150" t="s">
        <v>7712</v>
      </c>
      <c r="F439" s="150" t="s">
        <v>143</v>
      </c>
      <c r="G439" s="150" t="s">
        <v>153</v>
      </c>
      <c r="H439" s="150" t="s">
        <v>128</v>
      </c>
      <c r="I439" s="150" t="s">
        <v>7187</v>
      </c>
      <c r="M439" t="s">
        <v>7711</v>
      </c>
      <c r="O439" t="s">
        <v>8399</v>
      </c>
    </row>
    <row r="440" spans="1:15">
      <c r="A440" s="150" t="s">
        <v>7188</v>
      </c>
      <c r="B440" s="150" t="e">
        <v>#N/A</v>
      </c>
      <c r="C440" s="150" t="s">
        <v>7180</v>
      </c>
      <c r="D440" s="150">
        <v>308</v>
      </c>
      <c r="E440" s="150" t="s">
        <v>7713</v>
      </c>
      <c r="F440" s="150" t="s">
        <v>143</v>
      </c>
      <c r="G440" s="150" t="s">
        <v>153</v>
      </c>
      <c r="H440" s="150" t="s">
        <v>128</v>
      </c>
      <c r="I440" s="150" t="s">
        <v>7190</v>
      </c>
      <c r="M440" t="s">
        <v>7711</v>
      </c>
      <c r="O440" t="s">
        <v>8400</v>
      </c>
    </row>
    <row r="441" spans="1:15">
      <c r="A441" s="150" t="s">
        <v>7188</v>
      </c>
      <c r="B441" s="150" t="e">
        <v>#VALUE!</v>
      </c>
      <c r="C441" s="150" t="s">
        <v>7180</v>
      </c>
      <c r="D441" s="150">
        <v>308</v>
      </c>
      <c r="E441" s="150" t="s">
        <v>7714</v>
      </c>
      <c r="F441" s="150" t="s">
        <v>143</v>
      </c>
      <c r="G441" s="150" t="s">
        <v>153</v>
      </c>
      <c r="H441" s="150" t="s">
        <v>128</v>
      </c>
      <c r="I441" s="150" t="s">
        <v>7190</v>
      </c>
      <c r="M441" t="s">
        <v>7711</v>
      </c>
      <c r="O441" t="s">
        <v>8401</v>
      </c>
    </row>
    <row r="442" spans="1:15">
      <c r="A442" s="150" t="s">
        <v>7188</v>
      </c>
      <c r="B442" s="150" t="e">
        <v>#VALUE!</v>
      </c>
      <c r="C442" s="150" t="s">
        <v>7180</v>
      </c>
      <c r="D442" s="150">
        <v>308</v>
      </c>
      <c r="E442" s="150" t="s">
        <v>7715</v>
      </c>
      <c r="F442" s="150" t="s">
        <v>143</v>
      </c>
      <c r="G442" s="150" t="s">
        <v>153</v>
      </c>
      <c r="H442" s="150" t="s">
        <v>128</v>
      </c>
      <c r="I442" s="150" t="s">
        <v>7190</v>
      </c>
      <c r="M442" t="s">
        <v>7711</v>
      </c>
      <c r="O442" t="s">
        <v>8402</v>
      </c>
    </row>
    <row r="443" spans="1:15">
      <c r="A443" s="150" t="s">
        <v>7178</v>
      </c>
      <c r="B443" s="150" t="s">
        <v>7179</v>
      </c>
      <c r="C443" s="150" t="s">
        <v>7180</v>
      </c>
      <c r="D443" s="150">
        <v>309</v>
      </c>
      <c r="E443" s="150" t="s">
        <v>7716</v>
      </c>
      <c r="F443" s="150" t="s">
        <v>143</v>
      </c>
      <c r="G443" s="150" t="s">
        <v>153</v>
      </c>
      <c r="H443" s="150" t="s">
        <v>130</v>
      </c>
      <c r="I443" s="150" t="s">
        <v>7182</v>
      </c>
      <c r="M443" t="s">
        <v>7717</v>
      </c>
      <c r="O443" t="s">
        <v>8403</v>
      </c>
    </row>
    <row r="444" spans="1:15">
      <c r="A444" s="150" t="s">
        <v>7184</v>
      </c>
      <c r="B444" s="150" t="s">
        <v>7185</v>
      </c>
      <c r="C444" s="150" t="s">
        <v>7180</v>
      </c>
      <c r="D444" s="150">
        <v>309</v>
      </c>
      <c r="E444" s="150" t="s">
        <v>7718</v>
      </c>
      <c r="F444" s="150" t="s">
        <v>143</v>
      </c>
      <c r="G444" s="150" t="s">
        <v>153</v>
      </c>
      <c r="H444" s="150" t="s">
        <v>130</v>
      </c>
      <c r="I444" s="150" t="s">
        <v>7187</v>
      </c>
      <c r="M444" t="s">
        <v>7717</v>
      </c>
      <c r="O444" t="s">
        <v>8404</v>
      </c>
    </row>
    <row r="445" spans="1:15">
      <c r="A445" s="150" t="s">
        <v>7188</v>
      </c>
      <c r="B445" s="150" t="e">
        <v>#N/A</v>
      </c>
      <c r="C445" s="150" t="s">
        <v>7180</v>
      </c>
      <c r="D445" s="150">
        <v>309</v>
      </c>
      <c r="E445" s="150" t="s">
        <v>7719</v>
      </c>
      <c r="F445" s="150" t="s">
        <v>143</v>
      </c>
      <c r="G445" s="150" t="s">
        <v>153</v>
      </c>
      <c r="H445" s="150" t="s">
        <v>130</v>
      </c>
      <c r="I445" s="150" t="s">
        <v>7190</v>
      </c>
      <c r="M445" t="s">
        <v>7717</v>
      </c>
      <c r="O445" t="s">
        <v>8405</v>
      </c>
    </row>
    <row r="446" spans="1:15">
      <c r="A446" s="150" t="s">
        <v>7188</v>
      </c>
      <c r="B446" s="150" t="e">
        <v>#VALUE!</v>
      </c>
      <c r="C446" s="150" t="s">
        <v>7180</v>
      </c>
      <c r="D446" s="150">
        <v>309</v>
      </c>
      <c r="E446" s="150" t="s">
        <v>7720</v>
      </c>
      <c r="F446" s="150" t="s">
        <v>143</v>
      </c>
      <c r="G446" s="150" t="s">
        <v>153</v>
      </c>
      <c r="H446" s="150" t="s">
        <v>130</v>
      </c>
      <c r="I446" s="150" t="s">
        <v>7190</v>
      </c>
      <c r="M446" t="s">
        <v>7717</v>
      </c>
      <c r="O446" t="s">
        <v>8406</v>
      </c>
    </row>
    <row r="447" spans="1:15">
      <c r="A447" s="150" t="s">
        <v>7188</v>
      </c>
      <c r="B447" s="150" t="e">
        <v>#VALUE!</v>
      </c>
      <c r="C447" s="150" t="s">
        <v>7180</v>
      </c>
      <c r="D447" s="150">
        <v>309</v>
      </c>
      <c r="E447" s="150" t="s">
        <v>7721</v>
      </c>
      <c r="F447" s="150" t="s">
        <v>143</v>
      </c>
      <c r="G447" s="150" t="s">
        <v>153</v>
      </c>
      <c r="H447" s="150" t="s">
        <v>130</v>
      </c>
      <c r="I447" s="150" t="s">
        <v>7190</v>
      </c>
      <c r="M447" t="s">
        <v>7717</v>
      </c>
      <c r="O447" t="s">
        <v>8407</v>
      </c>
    </row>
    <row r="448" spans="1:15">
      <c r="O448" t="s">
        <v>8408</v>
      </c>
    </row>
    <row r="449" spans="15:15">
      <c r="O449" t="s">
        <v>8409</v>
      </c>
    </row>
    <row r="450" spans="15:15">
      <c r="O450" t="s">
        <v>8410</v>
      </c>
    </row>
    <row r="451" spans="15:15">
      <c r="O451" t="s">
        <v>8411</v>
      </c>
    </row>
    <row r="452" spans="15:15">
      <c r="O452" t="s">
        <v>8412</v>
      </c>
    </row>
    <row r="453" spans="15:15">
      <c r="O453" t="s">
        <v>8413</v>
      </c>
    </row>
    <row r="454" spans="15:15">
      <c r="O454" t="s">
        <v>8414</v>
      </c>
    </row>
    <row r="455" spans="15:15">
      <c r="O455" t="s">
        <v>8415</v>
      </c>
    </row>
    <row r="456" spans="15:15">
      <c r="O456" t="s">
        <v>8416</v>
      </c>
    </row>
    <row r="457" spans="15:15">
      <c r="O457" t="s">
        <v>8417</v>
      </c>
    </row>
    <row r="458" spans="15:15">
      <c r="O458" t="s">
        <v>8418</v>
      </c>
    </row>
    <row r="459" spans="15:15">
      <c r="O459" t="s">
        <v>8419</v>
      </c>
    </row>
    <row r="460" spans="15:15">
      <c r="O460" t="s">
        <v>8420</v>
      </c>
    </row>
    <row r="461" spans="15:15">
      <c r="O461" t="s">
        <v>8421</v>
      </c>
    </row>
    <row r="462" spans="15:15">
      <c r="O462" t="s">
        <v>8422</v>
      </c>
    </row>
    <row r="463" spans="15:15">
      <c r="O463" t="s">
        <v>8423</v>
      </c>
    </row>
    <row r="464" spans="15:15">
      <c r="O464" t="s">
        <v>8424</v>
      </c>
    </row>
    <row r="465" spans="15:15">
      <c r="O465" t="s">
        <v>8425</v>
      </c>
    </row>
    <row r="466" spans="15:15">
      <c r="O466" t="s">
        <v>8426</v>
      </c>
    </row>
    <row r="467" spans="15:15">
      <c r="O467" t="s">
        <v>8427</v>
      </c>
    </row>
    <row r="468" spans="15:15">
      <c r="O468" t="s">
        <v>8428</v>
      </c>
    </row>
    <row r="469" spans="15:15">
      <c r="O469" t="s">
        <v>8429</v>
      </c>
    </row>
    <row r="470" spans="15:15">
      <c r="O470" t="s">
        <v>8430</v>
      </c>
    </row>
    <row r="471" spans="15:15">
      <c r="O471" t="s">
        <v>8431</v>
      </c>
    </row>
    <row r="472" spans="15:15">
      <c r="O472" t="s">
        <v>8432</v>
      </c>
    </row>
    <row r="473" spans="15:15">
      <c r="O473" t="s">
        <v>8433</v>
      </c>
    </row>
    <row r="474" spans="15:15">
      <c r="O474" t="s">
        <v>8434</v>
      </c>
    </row>
    <row r="475" spans="15:15">
      <c r="O475" t="s">
        <v>8435</v>
      </c>
    </row>
    <row r="476" spans="15:15">
      <c r="O476" t="s">
        <v>8436</v>
      </c>
    </row>
    <row r="477" spans="15:15">
      <c r="O477" t="s">
        <v>8437</v>
      </c>
    </row>
    <row r="478" spans="15:15">
      <c r="O478" t="s">
        <v>8438</v>
      </c>
    </row>
    <row r="479" spans="15:15">
      <c r="O479" t="s">
        <v>8439</v>
      </c>
    </row>
    <row r="480" spans="15:15">
      <c r="O480" t="s">
        <v>8440</v>
      </c>
    </row>
    <row r="481" spans="15:15">
      <c r="O481" t="s">
        <v>8441</v>
      </c>
    </row>
    <row r="482" spans="15:15">
      <c r="O482" t="s">
        <v>8442</v>
      </c>
    </row>
    <row r="483" spans="15:15">
      <c r="O483" t="s">
        <v>8443</v>
      </c>
    </row>
    <row r="484" spans="15:15">
      <c r="O484" t="s">
        <v>8444</v>
      </c>
    </row>
    <row r="485" spans="15:15">
      <c r="O485" t="s">
        <v>8445</v>
      </c>
    </row>
    <row r="486" spans="15:15">
      <c r="O486" t="s">
        <v>8446</v>
      </c>
    </row>
    <row r="487" spans="15:15">
      <c r="O487" t="s">
        <v>8447</v>
      </c>
    </row>
    <row r="488" spans="15:15">
      <c r="O488" t="s">
        <v>8448</v>
      </c>
    </row>
    <row r="489" spans="15:15">
      <c r="O489" t="s">
        <v>8449</v>
      </c>
    </row>
    <row r="490" spans="15:15">
      <c r="O490" t="s">
        <v>8450</v>
      </c>
    </row>
    <row r="491" spans="15:15">
      <c r="O491" t="s">
        <v>8451</v>
      </c>
    </row>
    <row r="492" spans="15:15">
      <c r="O492" t="s">
        <v>8452</v>
      </c>
    </row>
    <row r="493" spans="15:15">
      <c r="O493" t="s">
        <v>8453</v>
      </c>
    </row>
    <row r="494" spans="15:15">
      <c r="O494" t="s">
        <v>8454</v>
      </c>
    </row>
    <row r="495" spans="15:15">
      <c r="O495" t="s">
        <v>8455</v>
      </c>
    </row>
    <row r="496" spans="15:15">
      <c r="O496" t="s">
        <v>8456</v>
      </c>
    </row>
    <row r="497" spans="15:15">
      <c r="O497" t="s">
        <v>8457</v>
      </c>
    </row>
    <row r="498" spans="15:15">
      <c r="O498" t="s">
        <v>8458</v>
      </c>
    </row>
    <row r="499" spans="15:15">
      <c r="O499" t="s">
        <v>8459</v>
      </c>
    </row>
    <row r="500" spans="15:15">
      <c r="O500" t="s">
        <v>8460</v>
      </c>
    </row>
    <row r="501" spans="15:15">
      <c r="O501" t="s">
        <v>8461</v>
      </c>
    </row>
    <row r="502" spans="15:15">
      <c r="O502" t="s">
        <v>8462</v>
      </c>
    </row>
    <row r="503" spans="15:15">
      <c r="O503" t="s">
        <v>8463</v>
      </c>
    </row>
    <row r="504" spans="15:15">
      <c r="O504" t="s">
        <v>8464</v>
      </c>
    </row>
    <row r="505" spans="15:15">
      <c r="O505" t="s">
        <v>8465</v>
      </c>
    </row>
    <row r="506" spans="15:15">
      <c r="O506" t="s">
        <v>8466</v>
      </c>
    </row>
    <row r="507" spans="15:15">
      <c r="O507" t="s">
        <v>8467</v>
      </c>
    </row>
    <row r="508" spans="15:15">
      <c r="O508" t="s">
        <v>8468</v>
      </c>
    </row>
    <row r="509" spans="15:15">
      <c r="O509" t="s">
        <v>8469</v>
      </c>
    </row>
    <row r="510" spans="15:15">
      <c r="O510" t="s">
        <v>8470</v>
      </c>
    </row>
    <row r="511" spans="15:15">
      <c r="O511" t="s">
        <v>8471</v>
      </c>
    </row>
    <row r="512" spans="15:15">
      <c r="O512" t="s">
        <v>8472</v>
      </c>
    </row>
    <row r="513" spans="15:15">
      <c r="O513" t="s">
        <v>8473</v>
      </c>
    </row>
    <row r="514" spans="15:15">
      <c r="O514" t="s">
        <v>8474</v>
      </c>
    </row>
    <row r="515" spans="15:15">
      <c r="O515" t="s">
        <v>8475</v>
      </c>
    </row>
    <row r="516" spans="15:15">
      <c r="O516" t="s">
        <v>8476</v>
      </c>
    </row>
    <row r="517" spans="15:15">
      <c r="O517" t="s">
        <v>8477</v>
      </c>
    </row>
    <row r="518" spans="15:15">
      <c r="O518" t="s">
        <v>8478</v>
      </c>
    </row>
    <row r="519" spans="15:15">
      <c r="O519" t="s">
        <v>8479</v>
      </c>
    </row>
    <row r="520" spans="15:15">
      <c r="O520" t="s">
        <v>8480</v>
      </c>
    </row>
    <row r="521" spans="15:15">
      <c r="O521" t="s">
        <v>8481</v>
      </c>
    </row>
    <row r="522" spans="15:15">
      <c r="O522" t="s">
        <v>8482</v>
      </c>
    </row>
    <row r="523" spans="15:15">
      <c r="O523" t="s">
        <v>8483</v>
      </c>
    </row>
    <row r="524" spans="15:15">
      <c r="O524" t="s">
        <v>8484</v>
      </c>
    </row>
    <row r="525" spans="15:15">
      <c r="O525" t="s">
        <v>8485</v>
      </c>
    </row>
    <row r="526" spans="15:15">
      <c r="O526" t="s">
        <v>8486</v>
      </c>
    </row>
    <row r="527" spans="15:15">
      <c r="O527" t="s">
        <v>8487</v>
      </c>
    </row>
    <row r="528" spans="15:15">
      <c r="O528" t="s">
        <v>8488</v>
      </c>
    </row>
    <row r="529" spans="15:15">
      <c r="O529" t="s">
        <v>8489</v>
      </c>
    </row>
    <row r="530" spans="15:15">
      <c r="O530" t="s">
        <v>8490</v>
      </c>
    </row>
    <row r="531" spans="15:15">
      <c r="O531" t="s">
        <v>8491</v>
      </c>
    </row>
    <row r="532" spans="15:15">
      <c r="O532" t="s">
        <v>8492</v>
      </c>
    </row>
    <row r="533" spans="15:15">
      <c r="O533" t="s">
        <v>8493</v>
      </c>
    </row>
    <row r="534" spans="15:15">
      <c r="O534" t="s">
        <v>8494</v>
      </c>
    </row>
    <row r="535" spans="15:15">
      <c r="O535" t="s">
        <v>8495</v>
      </c>
    </row>
    <row r="536" spans="15:15">
      <c r="O536" t="s">
        <v>8496</v>
      </c>
    </row>
    <row r="537" spans="15:15">
      <c r="O537" t="s">
        <v>8497</v>
      </c>
    </row>
    <row r="538" spans="15:15">
      <c r="O538" t="s">
        <v>8498</v>
      </c>
    </row>
    <row r="539" spans="15:15">
      <c r="O539" t="s">
        <v>8499</v>
      </c>
    </row>
    <row r="540" spans="15:15">
      <c r="O540" t="s">
        <v>8500</v>
      </c>
    </row>
    <row r="541" spans="15:15">
      <c r="O541" t="s">
        <v>8501</v>
      </c>
    </row>
    <row r="542" spans="15:15">
      <c r="O542" t="s">
        <v>8502</v>
      </c>
    </row>
    <row r="543" spans="15:15">
      <c r="O543" t="s">
        <v>8503</v>
      </c>
    </row>
    <row r="544" spans="15:15">
      <c r="O544" t="s">
        <v>8504</v>
      </c>
    </row>
    <row r="545" spans="15:15">
      <c r="O545" t="s">
        <v>8505</v>
      </c>
    </row>
    <row r="546" spans="15:15">
      <c r="O546" t="s">
        <v>8506</v>
      </c>
    </row>
    <row r="547" spans="15:15">
      <c r="O547" t="s">
        <v>8507</v>
      </c>
    </row>
    <row r="548" spans="15:15">
      <c r="O548" t="s">
        <v>8508</v>
      </c>
    </row>
    <row r="549" spans="15:15">
      <c r="O549" t="s">
        <v>8509</v>
      </c>
    </row>
    <row r="550" spans="15:15">
      <c r="O550" t="s">
        <v>8510</v>
      </c>
    </row>
    <row r="551" spans="15:15">
      <c r="O551" t="s">
        <v>8511</v>
      </c>
    </row>
    <row r="552" spans="15:15">
      <c r="O552" t="s">
        <v>8512</v>
      </c>
    </row>
    <row r="553" spans="15:15">
      <c r="O553" t="s">
        <v>8513</v>
      </c>
    </row>
    <row r="554" spans="15:15">
      <c r="O554" t="s">
        <v>8514</v>
      </c>
    </row>
    <row r="555" spans="15:15">
      <c r="O555" t="s">
        <v>8515</v>
      </c>
    </row>
    <row r="556" spans="15:15">
      <c r="O556" t="s">
        <v>8516</v>
      </c>
    </row>
    <row r="557" spans="15:15">
      <c r="O557" t="s">
        <v>8517</v>
      </c>
    </row>
    <row r="558" spans="15:15">
      <c r="O558" t="s">
        <v>8518</v>
      </c>
    </row>
    <row r="559" spans="15:15">
      <c r="O559" t="s">
        <v>8519</v>
      </c>
    </row>
    <row r="560" spans="15:15">
      <c r="O560" t="s">
        <v>8520</v>
      </c>
    </row>
    <row r="561" spans="15:15">
      <c r="O561" t="s">
        <v>8521</v>
      </c>
    </row>
    <row r="562" spans="15:15">
      <c r="O562" t="s">
        <v>8522</v>
      </c>
    </row>
    <row r="563" spans="15:15">
      <c r="O563" t="s">
        <v>8523</v>
      </c>
    </row>
    <row r="564" spans="15:15">
      <c r="O564" t="s">
        <v>8524</v>
      </c>
    </row>
    <row r="565" spans="15:15">
      <c r="O565" t="s">
        <v>8525</v>
      </c>
    </row>
    <row r="566" spans="15:15">
      <c r="O566" t="s">
        <v>8526</v>
      </c>
    </row>
    <row r="567" spans="15:15">
      <c r="O567" t="s">
        <v>8527</v>
      </c>
    </row>
    <row r="568" spans="15:15">
      <c r="O568" t="s">
        <v>8528</v>
      </c>
    </row>
    <row r="569" spans="15:15">
      <c r="O569" t="s">
        <v>8529</v>
      </c>
    </row>
    <row r="570" spans="15:15">
      <c r="O570" t="s">
        <v>8530</v>
      </c>
    </row>
    <row r="571" spans="15:15">
      <c r="O571" t="s">
        <v>8531</v>
      </c>
    </row>
    <row r="572" spans="15:15">
      <c r="O572" t="s">
        <v>8532</v>
      </c>
    </row>
    <row r="573" spans="15:15">
      <c r="O573" t="s">
        <v>8533</v>
      </c>
    </row>
    <row r="574" spans="15:15">
      <c r="O574" t="s">
        <v>8534</v>
      </c>
    </row>
    <row r="575" spans="15:15">
      <c r="O575" t="s">
        <v>8535</v>
      </c>
    </row>
    <row r="576" spans="15:15">
      <c r="O576" t="s">
        <v>8536</v>
      </c>
    </row>
    <row r="577" spans="15:15">
      <c r="O577" t="s">
        <v>8537</v>
      </c>
    </row>
    <row r="578" spans="15:15">
      <c r="O578" t="s">
        <v>8538</v>
      </c>
    </row>
    <row r="579" spans="15:15">
      <c r="O579" t="s">
        <v>8539</v>
      </c>
    </row>
    <row r="580" spans="15:15">
      <c r="O580" t="s">
        <v>8540</v>
      </c>
    </row>
    <row r="581" spans="15:15">
      <c r="O581" t="s">
        <v>8541</v>
      </c>
    </row>
    <row r="582" spans="15:15">
      <c r="O582" t="s">
        <v>8542</v>
      </c>
    </row>
    <row r="583" spans="15:15">
      <c r="O583" t="s">
        <v>8543</v>
      </c>
    </row>
    <row r="584" spans="15:15">
      <c r="O584" t="s">
        <v>8544</v>
      </c>
    </row>
    <row r="585" spans="15:15">
      <c r="O585" t="s">
        <v>8545</v>
      </c>
    </row>
    <row r="586" spans="15:15">
      <c r="O586" t="s">
        <v>8546</v>
      </c>
    </row>
    <row r="587" spans="15:15">
      <c r="O587" t="s">
        <v>8547</v>
      </c>
    </row>
    <row r="588" spans="15:15">
      <c r="O588" t="s">
        <v>8548</v>
      </c>
    </row>
    <row r="589" spans="15:15">
      <c r="O589" t="s">
        <v>8549</v>
      </c>
    </row>
    <row r="590" spans="15:15">
      <c r="O590" t="s">
        <v>8550</v>
      </c>
    </row>
    <row r="591" spans="15:15">
      <c r="O591" t="s">
        <v>8551</v>
      </c>
    </row>
    <row r="592" spans="15:15">
      <c r="O592" t="s">
        <v>8552</v>
      </c>
    </row>
    <row r="593" spans="15:15">
      <c r="O593" t="s">
        <v>8553</v>
      </c>
    </row>
    <row r="594" spans="15:15">
      <c r="O594" t="s">
        <v>8554</v>
      </c>
    </row>
    <row r="595" spans="15:15">
      <c r="O595" t="s">
        <v>8555</v>
      </c>
    </row>
    <row r="596" spans="15:15">
      <c r="O596" t="s">
        <v>8556</v>
      </c>
    </row>
    <row r="597" spans="15:15">
      <c r="O597" t="s">
        <v>8557</v>
      </c>
    </row>
    <row r="598" spans="15:15">
      <c r="O598" t="s">
        <v>8558</v>
      </c>
    </row>
    <row r="599" spans="15:15">
      <c r="O599" t="s">
        <v>8559</v>
      </c>
    </row>
    <row r="600" spans="15:15">
      <c r="O600" t="s">
        <v>8560</v>
      </c>
    </row>
    <row r="601" spans="15:15">
      <c r="O601" t="s">
        <v>8561</v>
      </c>
    </row>
    <row r="602" spans="15:15">
      <c r="O602" t="s">
        <v>8562</v>
      </c>
    </row>
    <row r="603" spans="15:15">
      <c r="O603" t="s">
        <v>8563</v>
      </c>
    </row>
    <row r="604" spans="15:15">
      <c r="O604" t="s">
        <v>8564</v>
      </c>
    </row>
    <row r="605" spans="15:15">
      <c r="O605" t="s">
        <v>8565</v>
      </c>
    </row>
    <row r="606" spans="15:15">
      <c r="O606" t="s">
        <v>8566</v>
      </c>
    </row>
    <row r="607" spans="15:15">
      <c r="O607" t="s">
        <v>8567</v>
      </c>
    </row>
    <row r="608" spans="15:15">
      <c r="O608" t="s">
        <v>8568</v>
      </c>
    </row>
    <row r="609" spans="15:15">
      <c r="O609" t="s">
        <v>8569</v>
      </c>
    </row>
    <row r="610" spans="15:15">
      <c r="O610" t="s">
        <v>8570</v>
      </c>
    </row>
    <row r="611" spans="15:15">
      <c r="O611" t="s">
        <v>8571</v>
      </c>
    </row>
    <row r="612" spans="15:15">
      <c r="O612" t="s">
        <v>8572</v>
      </c>
    </row>
    <row r="613" spans="15:15">
      <c r="O613" t="s">
        <v>8573</v>
      </c>
    </row>
    <row r="614" spans="15:15">
      <c r="O614" t="s">
        <v>8574</v>
      </c>
    </row>
    <row r="615" spans="15:15">
      <c r="O615" t="s">
        <v>8575</v>
      </c>
    </row>
    <row r="616" spans="15:15">
      <c r="O616" t="s">
        <v>8576</v>
      </c>
    </row>
    <row r="617" spans="15:15">
      <c r="O617" t="s">
        <v>8577</v>
      </c>
    </row>
    <row r="618" spans="15:15">
      <c r="O618" t="s">
        <v>8578</v>
      </c>
    </row>
    <row r="619" spans="15:15">
      <c r="O619" t="s">
        <v>8579</v>
      </c>
    </row>
    <row r="620" spans="15:15">
      <c r="O620" t="s">
        <v>8580</v>
      </c>
    </row>
    <row r="621" spans="15:15">
      <c r="O621" t="s">
        <v>8581</v>
      </c>
    </row>
    <row r="622" spans="15:15">
      <c r="O622" t="s">
        <v>8582</v>
      </c>
    </row>
    <row r="623" spans="15:15">
      <c r="O623" t="s">
        <v>8583</v>
      </c>
    </row>
    <row r="624" spans="15:15">
      <c r="O624" t="s">
        <v>8584</v>
      </c>
    </row>
    <row r="625" spans="15:15">
      <c r="O625" t="s">
        <v>8585</v>
      </c>
    </row>
    <row r="626" spans="15:15">
      <c r="O626" t="s">
        <v>8586</v>
      </c>
    </row>
    <row r="627" spans="15:15">
      <c r="O627" t="s">
        <v>8587</v>
      </c>
    </row>
    <row r="628" spans="15:15">
      <c r="O628" t="s">
        <v>8588</v>
      </c>
    </row>
    <row r="629" spans="15:15">
      <c r="O629" t="s">
        <v>8589</v>
      </c>
    </row>
    <row r="630" spans="15:15">
      <c r="O630" t="s">
        <v>8590</v>
      </c>
    </row>
    <row r="631" spans="15:15">
      <c r="O631" t="s">
        <v>8591</v>
      </c>
    </row>
    <row r="632" spans="15:15">
      <c r="O632" t="s">
        <v>8592</v>
      </c>
    </row>
    <row r="633" spans="15:15">
      <c r="O633" t="s">
        <v>8593</v>
      </c>
    </row>
    <row r="634" spans="15:15">
      <c r="O634" t="s">
        <v>8594</v>
      </c>
    </row>
    <row r="635" spans="15:15">
      <c r="O635" t="s">
        <v>8595</v>
      </c>
    </row>
    <row r="636" spans="15:15">
      <c r="O636" t="s">
        <v>8596</v>
      </c>
    </row>
    <row r="637" spans="15:15">
      <c r="O637" t="s">
        <v>8597</v>
      </c>
    </row>
    <row r="638" spans="15:15">
      <c r="O638" t="s">
        <v>8598</v>
      </c>
    </row>
    <row r="639" spans="15:15">
      <c r="O639" t="s">
        <v>8599</v>
      </c>
    </row>
    <row r="640" spans="15:15">
      <c r="O640" t="s">
        <v>8600</v>
      </c>
    </row>
    <row r="641" spans="15:15">
      <c r="O641" t="s">
        <v>8601</v>
      </c>
    </row>
    <row r="642" spans="15:15">
      <c r="O642" t="s">
        <v>8602</v>
      </c>
    </row>
    <row r="643" spans="15:15">
      <c r="O643" t="s">
        <v>8603</v>
      </c>
    </row>
    <row r="644" spans="15:15">
      <c r="O644" t="s">
        <v>8604</v>
      </c>
    </row>
    <row r="645" spans="15:15">
      <c r="O645" t="s">
        <v>8605</v>
      </c>
    </row>
    <row r="646" spans="15:15">
      <c r="O646" t="s">
        <v>8606</v>
      </c>
    </row>
    <row r="647" spans="15:15">
      <c r="O647" t="s">
        <v>8607</v>
      </c>
    </row>
    <row r="648" spans="15:15">
      <c r="O648" t="s">
        <v>8608</v>
      </c>
    </row>
    <row r="649" spans="15:15">
      <c r="O649" t="s">
        <v>8609</v>
      </c>
    </row>
    <row r="650" spans="15:15">
      <c r="O650" t="s">
        <v>8610</v>
      </c>
    </row>
    <row r="651" spans="15:15">
      <c r="O651" t="s">
        <v>8611</v>
      </c>
    </row>
    <row r="652" spans="15:15">
      <c r="O652" t="s">
        <v>8612</v>
      </c>
    </row>
    <row r="653" spans="15:15">
      <c r="O653" t="s">
        <v>8613</v>
      </c>
    </row>
    <row r="654" spans="15:15">
      <c r="O654" t="s">
        <v>8614</v>
      </c>
    </row>
    <row r="655" spans="15:15">
      <c r="O655" t="s">
        <v>8615</v>
      </c>
    </row>
    <row r="656" spans="15:15">
      <c r="O656" t="s">
        <v>8616</v>
      </c>
    </row>
    <row r="657" spans="15:15">
      <c r="O657" t="s">
        <v>8617</v>
      </c>
    </row>
    <row r="658" spans="15:15">
      <c r="O658" t="s">
        <v>8618</v>
      </c>
    </row>
    <row r="659" spans="15:15">
      <c r="O659" t="s">
        <v>8619</v>
      </c>
    </row>
    <row r="660" spans="15:15">
      <c r="O660" t="s">
        <v>8620</v>
      </c>
    </row>
    <row r="661" spans="15:15">
      <c r="O661" t="s">
        <v>8621</v>
      </c>
    </row>
    <row r="662" spans="15:15">
      <c r="O662" t="s">
        <v>8622</v>
      </c>
    </row>
    <row r="663" spans="15:15">
      <c r="O663" t="s">
        <v>8623</v>
      </c>
    </row>
    <row r="664" spans="15:15">
      <c r="O664" t="s">
        <v>8624</v>
      </c>
    </row>
    <row r="665" spans="15:15">
      <c r="O665" t="s">
        <v>8625</v>
      </c>
    </row>
    <row r="666" spans="15:15">
      <c r="O666" t="s">
        <v>8626</v>
      </c>
    </row>
    <row r="667" spans="15:15">
      <c r="O667" t="s">
        <v>8627</v>
      </c>
    </row>
    <row r="668" spans="15:15">
      <c r="O668" t="s">
        <v>8628</v>
      </c>
    </row>
    <row r="669" spans="15:15">
      <c r="O669" t="s">
        <v>8629</v>
      </c>
    </row>
    <row r="670" spans="15:15">
      <c r="O670" t="s">
        <v>8630</v>
      </c>
    </row>
    <row r="671" spans="15:15">
      <c r="O671" t="s">
        <v>8631</v>
      </c>
    </row>
    <row r="672" spans="15:15">
      <c r="O672" t="s">
        <v>8632</v>
      </c>
    </row>
    <row r="673" spans="15:15">
      <c r="O673" t="s">
        <v>8633</v>
      </c>
    </row>
    <row r="674" spans="15:15">
      <c r="O674" t="s">
        <v>8634</v>
      </c>
    </row>
    <row r="675" spans="15:15">
      <c r="O675" t="s">
        <v>8635</v>
      </c>
    </row>
    <row r="676" spans="15:15">
      <c r="O676" t="s">
        <v>8636</v>
      </c>
    </row>
    <row r="677" spans="15:15">
      <c r="O677" t="s">
        <v>8637</v>
      </c>
    </row>
    <row r="678" spans="15:15">
      <c r="O678" t="s">
        <v>8638</v>
      </c>
    </row>
    <row r="679" spans="15:15">
      <c r="O679" t="s">
        <v>8639</v>
      </c>
    </row>
    <row r="680" spans="15:15">
      <c r="O680" t="s">
        <v>8640</v>
      </c>
    </row>
    <row r="681" spans="15:15">
      <c r="O681" t="s">
        <v>8641</v>
      </c>
    </row>
    <row r="682" spans="15:15">
      <c r="O682" t="s">
        <v>8642</v>
      </c>
    </row>
    <row r="683" spans="15:15">
      <c r="O683" t="s">
        <v>8643</v>
      </c>
    </row>
    <row r="684" spans="15:15">
      <c r="O684" t="s">
        <v>8644</v>
      </c>
    </row>
    <row r="685" spans="15:15">
      <c r="O685" t="s">
        <v>8645</v>
      </c>
    </row>
    <row r="686" spans="15:15">
      <c r="O686" t="s">
        <v>8646</v>
      </c>
    </row>
    <row r="687" spans="15:15">
      <c r="O687" t="s">
        <v>8647</v>
      </c>
    </row>
    <row r="688" spans="15:15">
      <c r="O688" t="s">
        <v>8648</v>
      </c>
    </row>
    <row r="689" spans="15:15">
      <c r="O689" t="s">
        <v>8649</v>
      </c>
    </row>
    <row r="690" spans="15:15">
      <c r="O690" t="s">
        <v>8650</v>
      </c>
    </row>
    <row r="691" spans="15:15">
      <c r="O691" t="s">
        <v>8651</v>
      </c>
    </row>
    <row r="692" spans="15:15">
      <c r="O692" t="s">
        <v>8652</v>
      </c>
    </row>
    <row r="693" spans="15:15">
      <c r="O693" t="s">
        <v>8653</v>
      </c>
    </row>
    <row r="694" spans="15:15">
      <c r="O694" t="s">
        <v>8654</v>
      </c>
    </row>
    <row r="695" spans="15:15">
      <c r="O695" t="s">
        <v>8655</v>
      </c>
    </row>
    <row r="696" spans="15:15">
      <c r="O696" t="s">
        <v>8656</v>
      </c>
    </row>
    <row r="697" spans="15:15">
      <c r="O697" t="s">
        <v>8657</v>
      </c>
    </row>
    <row r="698" spans="15:15">
      <c r="O698" t="s">
        <v>8658</v>
      </c>
    </row>
    <row r="699" spans="15:15">
      <c r="O699" t="s">
        <v>8659</v>
      </c>
    </row>
    <row r="700" spans="15:15">
      <c r="O700" t="s">
        <v>8660</v>
      </c>
    </row>
    <row r="701" spans="15:15">
      <c r="O701" t="s">
        <v>8661</v>
      </c>
    </row>
    <row r="702" spans="15:15">
      <c r="O702" t="s">
        <v>8662</v>
      </c>
    </row>
    <row r="703" spans="15:15">
      <c r="O703" t="s">
        <v>8663</v>
      </c>
    </row>
    <row r="704" spans="15:15">
      <c r="O704" t="s">
        <v>8664</v>
      </c>
    </row>
    <row r="705" spans="15:15">
      <c r="O705" t="s">
        <v>8665</v>
      </c>
    </row>
    <row r="706" spans="15:15">
      <c r="O706" t="s">
        <v>8666</v>
      </c>
    </row>
    <row r="707" spans="15:15">
      <c r="O707" t="s">
        <v>8667</v>
      </c>
    </row>
    <row r="708" spans="15:15">
      <c r="O708" t="s">
        <v>8668</v>
      </c>
    </row>
    <row r="709" spans="15:15">
      <c r="O709" t="s">
        <v>8669</v>
      </c>
    </row>
    <row r="710" spans="15:15">
      <c r="O710" t="s">
        <v>8670</v>
      </c>
    </row>
    <row r="711" spans="15:15">
      <c r="O711" t="s">
        <v>8671</v>
      </c>
    </row>
    <row r="712" spans="15:15">
      <c r="O712" t="s">
        <v>8672</v>
      </c>
    </row>
    <row r="713" spans="15:15">
      <c r="O713" t="s">
        <v>8673</v>
      </c>
    </row>
    <row r="714" spans="15:15">
      <c r="O714" t="s">
        <v>8674</v>
      </c>
    </row>
    <row r="715" spans="15:15">
      <c r="O715" t="s">
        <v>8675</v>
      </c>
    </row>
    <row r="716" spans="15:15">
      <c r="O716" t="s">
        <v>8676</v>
      </c>
    </row>
    <row r="717" spans="15:15">
      <c r="O717" t="s">
        <v>8677</v>
      </c>
    </row>
    <row r="718" spans="15:15">
      <c r="O718" t="s">
        <v>8678</v>
      </c>
    </row>
    <row r="719" spans="15:15">
      <c r="O719" t="s">
        <v>8679</v>
      </c>
    </row>
    <row r="720" spans="15:15">
      <c r="O720" t="s">
        <v>8680</v>
      </c>
    </row>
    <row r="721" spans="15:15">
      <c r="O721" t="s">
        <v>8681</v>
      </c>
    </row>
    <row r="722" spans="15:15">
      <c r="O722" t="s">
        <v>8682</v>
      </c>
    </row>
    <row r="723" spans="15:15">
      <c r="O723" t="s">
        <v>8683</v>
      </c>
    </row>
    <row r="724" spans="15:15">
      <c r="O724" t="s">
        <v>8684</v>
      </c>
    </row>
    <row r="725" spans="15:15">
      <c r="O725" t="s">
        <v>8685</v>
      </c>
    </row>
    <row r="726" spans="15:15">
      <c r="O726" t="s">
        <v>8686</v>
      </c>
    </row>
    <row r="727" spans="15:15">
      <c r="O727" t="s">
        <v>8687</v>
      </c>
    </row>
    <row r="728" spans="15:15">
      <c r="O728" t="s">
        <v>8688</v>
      </c>
    </row>
    <row r="729" spans="15:15">
      <c r="O729" t="s">
        <v>8689</v>
      </c>
    </row>
    <row r="730" spans="15:15">
      <c r="O730" t="s">
        <v>8690</v>
      </c>
    </row>
    <row r="731" spans="15:15">
      <c r="O731" t="s">
        <v>8691</v>
      </c>
    </row>
    <row r="732" spans="15:15">
      <c r="O732" t="s">
        <v>8692</v>
      </c>
    </row>
    <row r="733" spans="15:15">
      <c r="O733" t="s">
        <v>8693</v>
      </c>
    </row>
    <row r="734" spans="15:15">
      <c r="O734" t="s">
        <v>8694</v>
      </c>
    </row>
    <row r="735" spans="15:15">
      <c r="O735" t="s">
        <v>8695</v>
      </c>
    </row>
    <row r="736" spans="15:15">
      <c r="O736" t="s">
        <v>8696</v>
      </c>
    </row>
    <row r="737" spans="15:15">
      <c r="O737" t="s">
        <v>8697</v>
      </c>
    </row>
    <row r="738" spans="15:15">
      <c r="O738" t="s">
        <v>8698</v>
      </c>
    </row>
    <row r="739" spans="15:15">
      <c r="O739" t="s">
        <v>8699</v>
      </c>
    </row>
    <row r="740" spans="15:15">
      <c r="O740" t="s">
        <v>8700</v>
      </c>
    </row>
    <row r="741" spans="15:15">
      <c r="O741" t="s">
        <v>8701</v>
      </c>
    </row>
    <row r="742" spans="15:15">
      <c r="O742" t="s">
        <v>8702</v>
      </c>
    </row>
    <row r="743" spans="15:15">
      <c r="O743" t="s">
        <v>8703</v>
      </c>
    </row>
    <row r="744" spans="15:15">
      <c r="O744" t="s">
        <v>8704</v>
      </c>
    </row>
    <row r="745" spans="15:15">
      <c r="O745" t="s">
        <v>8705</v>
      </c>
    </row>
    <row r="746" spans="15:15">
      <c r="O746" t="s">
        <v>8706</v>
      </c>
    </row>
    <row r="747" spans="15:15">
      <c r="O747" t="s">
        <v>8707</v>
      </c>
    </row>
    <row r="748" spans="15:15">
      <c r="O748" t="s">
        <v>8708</v>
      </c>
    </row>
    <row r="749" spans="15:15">
      <c r="O749" t="s">
        <v>8709</v>
      </c>
    </row>
    <row r="750" spans="15:15">
      <c r="O750" t="s">
        <v>8710</v>
      </c>
    </row>
    <row r="751" spans="15:15">
      <c r="O751" t="s">
        <v>8711</v>
      </c>
    </row>
    <row r="752" spans="15:15">
      <c r="O752" t="s">
        <v>8712</v>
      </c>
    </row>
    <row r="753" spans="15:15">
      <c r="O753" t="s">
        <v>8713</v>
      </c>
    </row>
    <row r="754" spans="15:15">
      <c r="O754" t="s">
        <v>8714</v>
      </c>
    </row>
    <row r="755" spans="15:15">
      <c r="O755" t="s">
        <v>8715</v>
      </c>
    </row>
    <row r="756" spans="15:15">
      <c r="O756" t="s">
        <v>8716</v>
      </c>
    </row>
    <row r="757" spans="15:15">
      <c r="O757" t="s">
        <v>8717</v>
      </c>
    </row>
    <row r="758" spans="15:15">
      <c r="O758" t="s">
        <v>8718</v>
      </c>
    </row>
    <row r="759" spans="15:15">
      <c r="O759" t="s">
        <v>8719</v>
      </c>
    </row>
    <row r="760" spans="15:15">
      <c r="O760" t="s">
        <v>8720</v>
      </c>
    </row>
    <row r="761" spans="15:15">
      <c r="O761" t="s">
        <v>8721</v>
      </c>
    </row>
    <row r="762" spans="15:15">
      <c r="O762" t="s">
        <v>8722</v>
      </c>
    </row>
    <row r="763" spans="15:15">
      <c r="O763" t="s">
        <v>8723</v>
      </c>
    </row>
    <row r="764" spans="15:15">
      <c r="O764" t="s">
        <v>8724</v>
      </c>
    </row>
    <row r="765" spans="15:15">
      <c r="O765" t="s">
        <v>8725</v>
      </c>
    </row>
    <row r="766" spans="15:15">
      <c r="O766" t="s">
        <v>8726</v>
      </c>
    </row>
    <row r="767" spans="15:15">
      <c r="O767" t="s">
        <v>8727</v>
      </c>
    </row>
    <row r="768" spans="15:15">
      <c r="O768" t="s">
        <v>8728</v>
      </c>
    </row>
    <row r="769" spans="15:15">
      <c r="O769" t="s">
        <v>8729</v>
      </c>
    </row>
    <row r="770" spans="15:15">
      <c r="O770" t="s">
        <v>8730</v>
      </c>
    </row>
    <row r="771" spans="15:15">
      <c r="O771" t="s">
        <v>8731</v>
      </c>
    </row>
    <row r="772" spans="15:15">
      <c r="O772" t="s">
        <v>8732</v>
      </c>
    </row>
    <row r="773" spans="15:15">
      <c r="O773" t="s">
        <v>8733</v>
      </c>
    </row>
    <row r="774" spans="15:15">
      <c r="O774" t="s">
        <v>8734</v>
      </c>
    </row>
    <row r="775" spans="15:15">
      <c r="O775" t="s">
        <v>8735</v>
      </c>
    </row>
    <row r="776" spans="15:15">
      <c r="O776" t="s">
        <v>8736</v>
      </c>
    </row>
    <row r="777" spans="15:15">
      <c r="O777" t="s">
        <v>8737</v>
      </c>
    </row>
    <row r="778" spans="15:15">
      <c r="O778" t="s">
        <v>8738</v>
      </c>
    </row>
    <row r="779" spans="15:15">
      <c r="O779" t="s">
        <v>8739</v>
      </c>
    </row>
    <row r="780" spans="15:15">
      <c r="O780" t="s">
        <v>8740</v>
      </c>
    </row>
    <row r="781" spans="15:15">
      <c r="O781" t="s">
        <v>8741</v>
      </c>
    </row>
    <row r="782" spans="15:15">
      <c r="O782" t="s">
        <v>8742</v>
      </c>
    </row>
    <row r="783" spans="15:15">
      <c r="O783" t="s">
        <v>8743</v>
      </c>
    </row>
    <row r="784" spans="15:15">
      <c r="O784" t="s">
        <v>8744</v>
      </c>
    </row>
    <row r="785" spans="15:15">
      <c r="O785" t="s">
        <v>8745</v>
      </c>
    </row>
    <row r="786" spans="15:15">
      <c r="O786" t="s">
        <v>8746</v>
      </c>
    </row>
    <row r="787" spans="15:15">
      <c r="O787" t="s">
        <v>8747</v>
      </c>
    </row>
    <row r="788" spans="15:15">
      <c r="O788" t="s">
        <v>8748</v>
      </c>
    </row>
    <row r="789" spans="15:15">
      <c r="O789" t="s">
        <v>8749</v>
      </c>
    </row>
    <row r="790" spans="15:15">
      <c r="O790" t="s">
        <v>8750</v>
      </c>
    </row>
    <row r="791" spans="15:15">
      <c r="O791" t="s">
        <v>8751</v>
      </c>
    </row>
    <row r="792" spans="15:15">
      <c r="O792" t="s">
        <v>8752</v>
      </c>
    </row>
    <row r="793" spans="15:15">
      <c r="O793" t="s">
        <v>8753</v>
      </c>
    </row>
    <row r="794" spans="15:15">
      <c r="O794" t="s">
        <v>8754</v>
      </c>
    </row>
    <row r="795" spans="15:15">
      <c r="O795" t="s">
        <v>8755</v>
      </c>
    </row>
    <row r="796" spans="15:15">
      <c r="O796" t="s">
        <v>8756</v>
      </c>
    </row>
    <row r="797" spans="15:15">
      <c r="O797" t="s">
        <v>8757</v>
      </c>
    </row>
    <row r="798" spans="15:15">
      <c r="O798" t="s">
        <v>8758</v>
      </c>
    </row>
    <row r="799" spans="15:15">
      <c r="O799" t="s">
        <v>8759</v>
      </c>
    </row>
    <row r="800" spans="15:15">
      <c r="O800" t="s">
        <v>8760</v>
      </c>
    </row>
    <row r="801" spans="15:15">
      <c r="O801" t="s">
        <v>8761</v>
      </c>
    </row>
    <row r="802" spans="15:15">
      <c r="O802" t="s">
        <v>8762</v>
      </c>
    </row>
    <row r="803" spans="15:15">
      <c r="O803" t="s">
        <v>8763</v>
      </c>
    </row>
    <row r="804" spans="15:15">
      <c r="O804" t="s">
        <v>8764</v>
      </c>
    </row>
    <row r="805" spans="15:15">
      <c r="O805" t="s">
        <v>8765</v>
      </c>
    </row>
    <row r="806" spans="15:15">
      <c r="O806" t="s">
        <v>8766</v>
      </c>
    </row>
    <row r="807" spans="15:15">
      <c r="O807" t="s">
        <v>8767</v>
      </c>
    </row>
    <row r="808" spans="15:15">
      <c r="O808" t="s">
        <v>8768</v>
      </c>
    </row>
    <row r="809" spans="15:15">
      <c r="O809" t="s">
        <v>8769</v>
      </c>
    </row>
    <row r="810" spans="15:15">
      <c r="O810" t="s">
        <v>8770</v>
      </c>
    </row>
    <row r="811" spans="15:15">
      <c r="O811" t="s">
        <v>8771</v>
      </c>
    </row>
    <row r="812" spans="15:15">
      <c r="O812" t="s">
        <v>8772</v>
      </c>
    </row>
    <row r="813" spans="15:15">
      <c r="O813" t="s">
        <v>8773</v>
      </c>
    </row>
    <row r="814" spans="15:15">
      <c r="O814" t="s">
        <v>8774</v>
      </c>
    </row>
    <row r="815" spans="15:15">
      <c r="O815" t="s">
        <v>8775</v>
      </c>
    </row>
    <row r="816" spans="15:15">
      <c r="O816" t="s">
        <v>8776</v>
      </c>
    </row>
    <row r="817" spans="15:15">
      <c r="O817" t="s">
        <v>8777</v>
      </c>
    </row>
    <row r="818" spans="15:15">
      <c r="O818" t="s">
        <v>8778</v>
      </c>
    </row>
    <row r="819" spans="15:15">
      <c r="O819" t="s">
        <v>8779</v>
      </c>
    </row>
    <row r="820" spans="15:15">
      <c r="O820" t="s">
        <v>8780</v>
      </c>
    </row>
    <row r="821" spans="15:15">
      <c r="O821" t="s">
        <v>8781</v>
      </c>
    </row>
    <row r="822" spans="15:15">
      <c r="O822" t="s">
        <v>8782</v>
      </c>
    </row>
    <row r="823" spans="15:15">
      <c r="O823" t="s">
        <v>8783</v>
      </c>
    </row>
    <row r="824" spans="15:15">
      <c r="O824" t="s">
        <v>8784</v>
      </c>
    </row>
    <row r="825" spans="15:15">
      <c r="O825" t="s">
        <v>8785</v>
      </c>
    </row>
    <row r="826" spans="15:15">
      <c r="O826" t="s">
        <v>8786</v>
      </c>
    </row>
    <row r="827" spans="15:15">
      <c r="O827" t="s">
        <v>8787</v>
      </c>
    </row>
    <row r="828" spans="15:15">
      <c r="O828" t="s">
        <v>8788</v>
      </c>
    </row>
    <row r="829" spans="15:15">
      <c r="O829" t="s">
        <v>8789</v>
      </c>
    </row>
    <row r="830" spans="15:15">
      <c r="O830" t="s">
        <v>8790</v>
      </c>
    </row>
    <row r="831" spans="15:15">
      <c r="O831" t="s">
        <v>8791</v>
      </c>
    </row>
    <row r="832" spans="15:15">
      <c r="O832" t="s">
        <v>8792</v>
      </c>
    </row>
    <row r="833" spans="15:15">
      <c r="O833" t="s">
        <v>8793</v>
      </c>
    </row>
    <row r="834" spans="15:15">
      <c r="O834" t="s">
        <v>8794</v>
      </c>
    </row>
    <row r="835" spans="15:15">
      <c r="O835" t="s">
        <v>8795</v>
      </c>
    </row>
    <row r="836" spans="15:15">
      <c r="O836" t="s">
        <v>8796</v>
      </c>
    </row>
    <row r="837" spans="15:15">
      <c r="O837" t="s">
        <v>8797</v>
      </c>
    </row>
    <row r="838" spans="15:15">
      <c r="O838" t="s">
        <v>8798</v>
      </c>
    </row>
    <row r="839" spans="15:15">
      <c r="O839" t="s">
        <v>8799</v>
      </c>
    </row>
    <row r="840" spans="15:15">
      <c r="O840" t="s">
        <v>8800</v>
      </c>
    </row>
    <row r="841" spans="15:15">
      <c r="O841" t="s">
        <v>8801</v>
      </c>
    </row>
    <row r="842" spans="15:15">
      <c r="O842" t="s">
        <v>8802</v>
      </c>
    </row>
    <row r="843" spans="15:15">
      <c r="O843" t="s">
        <v>8803</v>
      </c>
    </row>
    <row r="844" spans="15:15">
      <c r="O844" t="s">
        <v>8804</v>
      </c>
    </row>
    <row r="845" spans="15:15">
      <c r="O845" t="s">
        <v>8805</v>
      </c>
    </row>
    <row r="846" spans="15:15">
      <c r="O846" t="s">
        <v>8806</v>
      </c>
    </row>
    <row r="847" spans="15:15">
      <c r="O847" t="s">
        <v>8807</v>
      </c>
    </row>
    <row r="848" spans="15:15">
      <c r="O848" t="s">
        <v>8808</v>
      </c>
    </row>
    <row r="849" spans="15:15">
      <c r="O849" t="s">
        <v>8809</v>
      </c>
    </row>
    <row r="850" spans="15:15">
      <c r="O850" t="s">
        <v>8810</v>
      </c>
    </row>
    <row r="851" spans="15:15">
      <c r="O851" t="s">
        <v>8811</v>
      </c>
    </row>
    <row r="852" spans="15:15">
      <c r="O852" t="s">
        <v>8812</v>
      </c>
    </row>
    <row r="853" spans="15:15">
      <c r="O853" t="s">
        <v>8813</v>
      </c>
    </row>
    <row r="854" spans="15:15">
      <c r="O854" t="s">
        <v>8814</v>
      </c>
    </row>
    <row r="855" spans="15:15">
      <c r="O855" t="s">
        <v>8815</v>
      </c>
    </row>
    <row r="856" spans="15:15">
      <c r="O856" t="s">
        <v>8816</v>
      </c>
    </row>
    <row r="857" spans="15:15">
      <c r="O857" t="s">
        <v>8817</v>
      </c>
    </row>
    <row r="858" spans="15:15">
      <c r="O858" t="s">
        <v>8818</v>
      </c>
    </row>
    <row r="859" spans="15:15">
      <c r="O859" t="s">
        <v>8819</v>
      </c>
    </row>
    <row r="860" spans="15:15">
      <c r="O860" t="s">
        <v>8820</v>
      </c>
    </row>
    <row r="861" spans="15:15">
      <c r="O861" t="s">
        <v>8821</v>
      </c>
    </row>
    <row r="862" spans="15:15">
      <c r="O862" t="s">
        <v>8822</v>
      </c>
    </row>
    <row r="863" spans="15:15">
      <c r="O863" t="s">
        <v>8823</v>
      </c>
    </row>
    <row r="864" spans="15:15">
      <c r="O864" t="s">
        <v>8824</v>
      </c>
    </row>
    <row r="865" spans="15:15">
      <c r="O865" t="s">
        <v>8825</v>
      </c>
    </row>
    <row r="866" spans="15:15">
      <c r="O866" t="s">
        <v>8826</v>
      </c>
    </row>
    <row r="867" spans="15:15">
      <c r="O867" t="s">
        <v>8827</v>
      </c>
    </row>
    <row r="868" spans="15:15">
      <c r="O868" t="s">
        <v>8828</v>
      </c>
    </row>
    <row r="869" spans="15:15">
      <c r="O869" t="s">
        <v>8829</v>
      </c>
    </row>
    <row r="870" spans="15:15">
      <c r="O870" t="s">
        <v>8830</v>
      </c>
    </row>
    <row r="871" spans="15:15">
      <c r="O871" t="s">
        <v>8831</v>
      </c>
    </row>
    <row r="872" spans="15:15">
      <c r="O872" t="s">
        <v>8832</v>
      </c>
    </row>
    <row r="873" spans="15:15">
      <c r="O873" t="s">
        <v>8833</v>
      </c>
    </row>
    <row r="874" spans="15:15">
      <c r="O874" t="s">
        <v>8834</v>
      </c>
    </row>
    <row r="875" spans="15:15">
      <c r="O875" t="s">
        <v>8835</v>
      </c>
    </row>
    <row r="876" spans="15:15">
      <c r="O876" t="s">
        <v>8836</v>
      </c>
    </row>
    <row r="877" spans="15:15">
      <c r="O877" t="s">
        <v>8837</v>
      </c>
    </row>
    <row r="878" spans="15:15">
      <c r="O878" t="s">
        <v>8838</v>
      </c>
    </row>
    <row r="879" spans="15:15">
      <c r="O879" t="s">
        <v>8839</v>
      </c>
    </row>
    <row r="880" spans="15:15">
      <c r="O880" t="s">
        <v>8840</v>
      </c>
    </row>
    <row r="881" spans="15:15">
      <c r="O881" t="s">
        <v>8841</v>
      </c>
    </row>
    <row r="882" spans="15:15">
      <c r="O882" t="s">
        <v>8842</v>
      </c>
    </row>
    <row r="883" spans="15:15">
      <c r="O883" t="s">
        <v>8843</v>
      </c>
    </row>
    <row r="884" spans="15:15">
      <c r="O884" t="s">
        <v>8844</v>
      </c>
    </row>
    <row r="885" spans="15:15">
      <c r="O885" t="s">
        <v>8845</v>
      </c>
    </row>
    <row r="886" spans="15:15">
      <c r="O886" t="s">
        <v>8846</v>
      </c>
    </row>
    <row r="887" spans="15:15">
      <c r="O887" t="s">
        <v>8847</v>
      </c>
    </row>
    <row r="888" spans="15:15">
      <c r="O888" t="s">
        <v>8848</v>
      </c>
    </row>
    <row r="889" spans="15:15">
      <c r="O889" t="s">
        <v>8849</v>
      </c>
    </row>
    <row r="890" spans="15:15">
      <c r="O890" t="s">
        <v>8850</v>
      </c>
    </row>
    <row r="891" spans="15:15">
      <c r="O891" t="s">
        <v>8851</v>
      </c>
    </row>
    <row r="892" spans="15:15">
      <c r="O892" t="s">
        <v>8852</v>
      </c>
    </row>
    <row r="893" spans="15:15">
      <c r="O893" t="s">
        <v>8853</v>
      </c>
    </row>
    <row r="894" spans="15:15">
      <c r="O894" t="s">
        <v>8854</v>
      </c>
    </row>
    <row r="895" spans="15:15">
      <c r="O895" t="s">
        <v>8855</v>
      </c>
    </row>
    <row r="896" spans="15:15">
      <c r="O896" t="s">
        <v>8856</v>
      </c>
    </row>
    <row r="897" spans="15:15">
      <c r="O897" t="s">
        <v>8857</v>
      </c>
    </row>
    <row r="898" spans="15:15">
      <c r="O898" t="s">
        <v>8858</v>
      </c>
    </row>
    <row r="899" spans="15:15">
      <c r="O899" t="s">
        <v>8859</v>
      </c>
    </row>
    <row r="900" spans="15:15">
      <c r="O900" t="s">
        <v>8860</v>
      </c>
    </row>
    <row r="901" spans="15:15">
      <c r="O901" t="s">
        <v>8861</v>
      </c>
    </row>
    <row r="902" spans="15:15">
      <c r="O902" t="s">
        <v>8862</v>
      </c>
    </row>
    <row r="903" spans="15:15">
      <c r="O903" t="s">
        <v>8863</v>
      </c>
    </row>
    <row r="904" spans="15:15">
      <c r="O904" t="s">
        <v>8864</v>
      </c>
    </row>
    <row r="905" spans="15:15">
      <c r="O905" t="s">
        <v>8865</v>
      </c>
    </row>
    <row r="906" spans="15:15">
      <c r="O906" t="s">
        <v>8866</v>
      </c>
    </row>
    <row r="907" spans="15:15">
      <c r="O907" t="s">
        <v>8867</v>
      </c>
    </row>
    <row r="908" spans="15:15">
      <c r="O908" t="s">
        <v>8868</v>
      </c>
    </row>
    <row r="909" spans="15:15">
      <c r="O909" t="s">
        <v>8869</v>
      </c>
    </row>
    <row r="910" spans="15:15">
      <c r="O910" t="s">
        <v>8870</v>
      </c>
    </row>
    <row r="911" spans="15:15">
      <c r="O911" t="s">
        <v>8871</v>
      </c>
    </row>
    <row r="912" spans="15:15">
      <c r="O912" t="s">
        <v>8872</v>
      </c>
    </row>
    <row r="913" spans="15:15">
      <c r="O913" t="s">
        <v>8873</v>
      </c>
    </row>
    <row r="914" spans="15:15">
      <c r="O914" t="s">
        <v>8874</v>
      </c>
    </row>
    <row r="915" spans="15:15">
      <c r="O915" t="s">
        <v>8875</v>
      </c>
    </row>
    <row r="916" spans="15:15">
      <c r="O916" t="s">
        <v>8876</v>
      </c>
    </row>
    <row r="917" spans="15:15">
      <c r="O917" t="s">
        <v>8877</v>
      </c>
    </row>
    <row r="918" spans="15:15">
      <c r="O918" t="s">
        <v>8878</v>
      </c>
    </row>
    <row r="919" spans="15:15">
      <c r="O919" t="s">
        <v>8879</v>
      </c>
    </row>
    <row r="920" spans="15:15">
      <c r="O920" t="s">
        <v>8880</v>
      </c>
    </row>
    <row r="921" spans="15:15">
      <c r="O921" t="s">
        <v>8881</v>
      </c>
    </row>
    <row r="922" spans="15:15">
      <c r="O922" t="s">
        <v>8882</v>
      </c>
    </row>
    <row r="923" spans="15:15">
      <c r="O923" t="s">
        <v>8883</v>
      </c>
    </row>
    <row r="924" spans="15:15">
      <c r="O924" t="s">
        <v>8884</v>
      </c>
    </row>
    <row r="925" spans="15:15">
      <c r="O925" t="s">
        <v>8885</v>
      </c>
    </row>
    <row r="926" spans="15:15">
      <c r="O926" t="s">
        <v>8886</v>
      </c>
    </row>
    <row r="927" spans="15:15">
      <c r="O927" t="s">
        <v>8887</v>
      </c>
    </row>
    <row r="928" spans="15:15">
      <c r="O928" t="s">
        <v>8888</v>
      </c>
    </row>
    <row r="929" spans="15:15">
      <c r="O929" t="s">
        <v>8889</v>
      </c>
    </row>
    <row r="930" spans="15:15">
      <c r="O930" t="s">
        <v>8890</v>
      </c>
    </row>
    <row r="931" spans="15:15">
      <c r="O931" t="s">
        <v>8891</v>
      </c>
    </row>
    <row r="932" spans="15:15">
      <c r="O932" t="s">
        <v>8892</v>
      </c>
    </row>
    <row r="933" spans="15:15">
      <c r="O933" t="s">
        <v>8893</v>
      </c>
    </row>
    <row r="934" spans="15:15">
      <c r="O934" t="s">
        <v>8894</v>
      </c>
    </row>
    <row r="935" spans="15:15">
      <c r="O935" t="s">
        <v>8895</v>
      </c>
    </row>
    <row r="936" spans="15:15">
      <c r="O936" t="s">
        <v>8896</v>
      </c>
    </row>
    <row r="937" spans="15:15">
      <c r="O937" t="s">
        <v>8897</v>
      </c>
    </row>
    <row r="938" spans="15:15">
      <c r="O938" t="s">
        <v>8898</v>
      </c>
    </row>
    <row r="939" spans="15:15">
      <c r="O939" t="s">
        <v>8899</v>
      </c>
    </row>
    <row r="940" spans="15:15">
      <c r="O940" t="s">
        <v>8900</v>
      </c>
    </row>
    <row r="941" spans="15:15">
      <c r="O941" t="s">
        <v>8901</v>
      </c>
    </row>
    <row r="942" spans="15:15">
      <c r="O942" t="s">
        <v>8902</v>
      </c>
    </row>
    <row r="943" spans="15:15">
      <c r="O943" t="s">
        <v>8903</v>
      </c>
    </row>
    <row r="944" spans="15:15">
      <c r="O944" t="s">
        <v>8904</v>
      </c>
    </row>
    <row r="945" spans="15:15">
      <c r="O945" t="s">
        <v>8905</v>
      </c>
    </row>
    <row r="946" spans="15:15">
      <c r="O946" t="s">
        <v>8906</v>
      </c>
    </row>
    <row r="947" spans="15:15">
      <c r="O947" t="s">
        <v>8907</v>
      </c>
    </row>
    <row r="948" spans="15:15">
      <c r="O948" t="s">
        <v>8908</v>
      </c>
    </row>
    <row r="949" spans="15:15">
      <c r="O949" t="s">
        <v>8909</v>
      </c>
    </row>
    <row r="950" spans="15:15">
      <c r="O950" t="s">
        <v>8910</v>
      </c>
    </row>
    <row r="951" spans="15:15">
      <c r="O951" t="s">
        <v>8911</v>
      </c>
    </row>
    <row r="952" spans="15:15">
      <c r="O952" t="s">
        <v>8912</v>
      </c>
    </row>
    <row r="953" spans="15:15">
      <c r="O953" t="s">
        <v>8913</v>
      </c>
    </row>
    <row r="954" spans="15:15">
      <c r="O954" t="s">
        <v>8914</v>
      </c>
    </row>
    <row r="955" spans="15:15">
      <c r="O955" t="s">
        <v>8915</v>
      </c>
    </row>
    <row r="956" spans="15:15">
      <c r="O956" t="s">
        <v>8916</v>
      </c>
    </row>
    <row r="957" spans="15:15">
      <c r="O957" t="s">
        <v>8917</v>
      </c>
    </row>
    <row r="958" spans="15:15">
      <c r="O958" t="s">
        <v>8918</v>
      </c>
    </row>
    <row r="959" spans="15:15">
      <c r="O959" t="s">
        <v>8919</v>
      </c>
    </row>
    <row r="960" spans="15:15">
      <c r="O960" t="s">
        <v>8920</v>
      </c>
    </row>
    <row r="961" spans="15:15">
      <c r="O961" t="s">
        <v>8921</v>
      </c>
    </row>
    <row r="962" spans="15:15">
      <c r="O962" t="s">
        <v>8922</v>
      </c>
    </row>
    <row r="963" spans="15:15">
      <c r="O963" t="s">
        <v>8923</v>
      </c>
    </row>
    <row r="964" spans="15:15">
      <c r="O964" t="s">
        <v>8924</v>
      </c>
    </row>
    <row r="965" spans="15:15">
      <c r="O965" t="s">
        <v>8925</v>
      </c>
    </row>
    <row r="966" spans="15:15">
      <c r="O966" t="s">
        <v>8926</v>
      </c>
    </row>
    <row r="967" spans="15:15">
      <c r="O967" t="s">
        <v>8927</v>
      </c>
    </row>
    <row r="968" spans="15:15">
      <c r="O968" t="s">
        <v>8928</v>
      </c>
    </row>
    <row r="969" spans="15:15">
      <c r="O969" t="s">
        <v>8929</v>
      </c>
    </row>
    <row r="970" spans="15:15">
      <c r="O970" t="s">
        <v>8930</v>
      </c>
    </row>
    <row r="971" spans="15:15">
      <c r="O971" t="s">
        <v>8931</v>
      </c>
    </row>
    <row r="972" spans="15:15">
      <c r="O972" t="s">
        <v>8932</v>
      </c>
    </row>
    <row r="973" spans="15:15">
      <c r="O973" t="s">
        <v>8933</v>
      </c>
    </row>
    <row r="974" spans="15:15">
      <c r="O974" t="s">
        <v>8934</v>
      </c>
    </row>
    <row r="975" spans="15:15">
      <c r="O975" t="s">
        <v>8935</v>
      </c>
    </row>
    <row r="976" spans="15:15">
      <c r="O976" t="s">
        <v>8936</v>
      </c>
    </row>
    <row r="977" spans="15:15">
      <c r="O977" t="s">
        <v>8937</v>
      </c>
    </row>
    <row r="978" spans="15:15">
      <c r="O978" t="s">
        <v>8938</v>
      </c>
    </row>
    <row r="979" spans="15:15">
      <c r="O979" t="s">
        <v>8939</v>
      </c>
    </row>
    <row r="980" spans="15:15">
      <c r="O980" t="s">
        <v>8940</v>
      </c>
    </row>
    <row r="981" spans="15:15">
      <c r="O981" t="s">
        <v>8941</v>
      </c>
    </row>
    <row r="982" spans="15:15">
      <c r="O982" t="s">
        <v>8942</v>
      </c>
    </row>
    <row r="983" spans="15:15">
      <c r="O983" t="s">
        <v>8943</v>
      </c>
    </row>
    <row r="984" spans="15:15">
      <c r="O984" t="s">
        <v>8944</v>
      </c>
    </row>
    <row r="985" spans="15:15">
      <c r="O985" t="s">
        <v>8945</v>
      </c>
    </row>
    <row r="986" spans="15:15">
      <c r="O986" t="s">
        <v>8946</v>
      </c>
    </row>
    <row r="987" spans="15:15">
      <c r="O987" t="s">
        <v>8947</v>
      </c>
    </row>
    <row r="988" spans="15:15">
      <c r="O988" t="s">
        <v>8948</v>
      </c>
    </row>
    <row r="989" spans="15:15">
      <c r="O989" t="s">
        <v>8949</v>
      </c>
    </row>
    <row r="990" spans="15:15">
      <c r="O990" t="s">
        <v>8950</v>
      </c>
    </row>
    <row r="991" spans="15:15">
      <c r="O991" t="s">
        <v>8951</v>
      </c>
    </row>
    <row r="992" spans="15:15">
      <c r="O992" t="s">
        <v>8952</v>
      </c>
    </row>
    <row r="993" spans="15:15">
      <c r="O993" t="s">
        <v>8953</v>
      </c>
    </row>
    <row r="994" spans="15:15">
      <c r="O994" t="s">
        <v>8954</v>
      </c>
    </row>
    <row r="995" spans="15:15">
      <c r="O995" t="s">
        <v>8955</v>
      </c>
    </row>
    <row r="996" spans="15:15">
      <c r="O996" t="s">
        <v>8956</v>
      </c>
    </row>
    <row r="997" spans="15:15">
      <c r="O997" t="s">
        <v>8957</v>
      </c>
    </row>
    <row r="998" spans="15:15">
      <c r="O998" t="s">
        <v>8958</v>
      </c>
    </row>
    <row r="999" spans="15:15">
      <c r="O999" t="s">
        <v>8959</v>
      </c>
    </row>
    <row r="1000" spans="15:15">
      <c r="O1000" t="s">
        <v>8960</v>
      </c>
    </row>
    <row r="1001" spans="15:15">
      <c r="O1001" t="s">
        <v>8961</v>
      </c>
    </row>
    <row r="1002" spans="15:15">
      <c r="O1002" t="s">
        <v>8962</v>
      </c>
    </row>
    <row r="1003" spans="15:15">
      <c r="O1003" t="s">
        <v>8963</v>
      </c>
    </row>
    <row r="1004" spans="15:15">
      <c r="O1004" t="s">
        <v>8964</v>
      </c>
    </row>
    <row r="1005" spans="15:15">
      <c r="O1005" t="s">
        <v>8965</v>
      </c>
    </row>
    <row r="1006" spans="15:15">
      <c r="O1006" t="s">
        <v>8966</v>
      </c>
    </row>
    <row r="1007" spans="15:15">
      <c r="O1007" t="s">
        <v>8967</v>
      </c>
    </row>
    <row r="1008" spans="15:15">
      <c r="O1008" t="s">
        <v>8968</v>
      </c>
    </row>
    <row r="1009" spans="15:15">
      <c r="O1009" t="s">
        <v>8969</v>
      </c>
    </row>
    <row r="1010" spans="15:15">
      <c r="O1010" t="s">
        <v>8970</v>
      </c>
    </row>
    <row r="1011" spans="15:15">
      <c r="O1011" t="s">
        <v>8971</v>
      </c>
    </row>
    <row r="1012" spans="15:15">
      <c r="O1012" t="s">
        <v>8972</v>
      </c>
    </row>
    <row r="1013" spans="15:15">
      <c r="O1013" t="s">
        <v>8973</v>
      </c>
    </row>
    <row r="1014" spans="15:15">
      <c r="O1014" t="s">
        <v>8974</v>
      </c>
    </row>
    <row r="1015" spans="15:15">
      <c r="O1015" t="s">
        <v>8975</v>
      </c>
    </row>
    <row r="1016" spans="15:15">
      <c r="O1016" t="s">
        <v>8976</v>
      </c>
    </row>
    <row r="1017" spans="15:15">
      <c r="O1017" t="s">
        <v>8977</v>
      </c>
    </row>
    <row r="1018" spans="15:15">
      <c r="O1018" t="s">
        <v>8978</v>
      </c>
    </row>
    <row r="1019" spans="15:15">
      <c r="O1019" t="s">
        <v>8979</v>
      </c>
    </row>
    <row r="1020" spans="15:15">
      <c r="O1020" t="s">
        <v>8980</v>
      </c>
    </row>
    <row r="1021" spans="15:15">
      <c r="O1021" t="s">
        <v>8981</v>
      </c>
    </row>
    <row r="1022" spans="15:15">
      <c r="O1022" t="s">
        <v>8982</v>
      </c>
    </row>
    <row r="1023" spans="15:15">
      <c r="O1023" t="s">
        <v>8983</v>
      </c>
    </row>
    <row r="1024" spans="15:15">
      <c r="O1024" t="s">
        <v>8984</v>
      </c>
    </row>
    <row r="1025" spans="15:15">
      <c r="O1025" t="s">
        <v>8985</v>
      </c>
    </row>
    <row r="1026" spans="15:15">
      <c r="O1026" t="s">
        <v>8986</v>
      </c>
    </row>
    <row r="1027" spans="15:15">
      <c r="O1027" t="s">
        <v>8987</v>
      </c>
    </row>
    <row r="1028" spans="15:15">
      <c r="O1028" t="s">
        <v>8988</v>
      </c>
    </row>
    <row r="1029" spans="15:15">
      <c r="O1029" t="s">
        <v>8989</v>
      </c>
    </row>
    <row r="1030" spans="15:15">
      <c r="O1030" t="s">
        <v>8990</v>
      </c>
    </row>
    <row r="1031" spans="15:15">
      <c r="O1031" t="s">
        <v>8991</v>
      </c>
    </row>
    <row r="1032" spans="15:15">
      <c r="O1032" t="s">
        <v>8992</v>
      </c>
    </row>
    <row r="1033" spans="15:15">
      <c r="O1033" t="s">
        <v>8993</v>
      </c>
    </row>
    <row r="1034" spans="15:15">
      <c r="O1034" t="s">
        <v>8994</v>
      </c>
    </row>
    <row r="1035" spans="15:15">
      <c r="O1035" t="s">
        <v>8995</v>
      </c>
    </row>
    <row r="1036" spans="15:15">
      <c r="O1036" t="s">
        <v>8996</v>
      </c>
    </row>
    <row r="1037" spans="15:15">
      <c r="O1037" t="s">
        <v>8997</v>
      </c>
    </row>
    <row r="1038" spans="15:15">
      <c r="O1038" t="s">
        <v>8998</v>
      </c>
    </row>
    <row r="1039" spans="15:15">
      <c r="O1039" t="s">
        <v>8999</v>
      </c>
    </row>
    <row r="1040" spans="15:15">
      <c r="O1040" t="s">
        <v>9000</v>
      </c>
    </row>
    <row r="1041" spans="15:15">
      <c r="O1041" t="s">
        <v>9001</v>
      </c>
    </row>
    <row r="1042" spans="15:15">
      <c r="O1042" t="s">
        <v>9002</v>
      </c>
    </row>
    <row r="1043" spans="15:15">
      <c r="O1043" t="s">
        <v>9003</v>
      </c>
    </row>
    <row r="1044" spans="15:15">
      <c r="O1044" t="s">
        <v>9004</v>
      </c>
    </row>
    <row r="1045" spans="15:15">
      <c r="O1045" t="s">
        <v>9005</v>
      </c>
    </row>
    <row r="1046" spans="15:15">
      <c r="O1046" t="s">
        <v>9006</v>
      </c>
    </row>
    <row r="1047" spans="15:15">
      <c r="O1047" t="s">
        <v>9007</v>
      </c>
    </row>
    <row r="1048" spans="15:15">
      <c r="O1048" t="s">
        <v>9008</v>
      </c>
    </row>
    <row r="1049" spans="15:15">
      <c r="O1049" t="s">
        <v>9009</v>
      </c>
    </row>
    <row r="1050" spans="15:15">
      <c r="O1050" t="s">
        <v>9010</v>
      </c>
    </row>
    <row r="1051" spans="15:15">
      <c r="O1051" t="s">
        <v>9011</v>
      </c>
    </row>
    <row r="1052" spans="15:15">
      <c r="O1052" t="s">
        <v>9012</v>
      </c>
    </row>
    <row r="1053" spans="15:15">
      <c r="O1053" t="s">
        <v>9013</v>
      </c>
    </row>
    <row r="1054" spans="15:15">
      <c r="O1054" t="s">
        <v>9014</v>
      </c>
    </row>
    <row r="1055" spans="15:15">
      <c r="O1055" t="s">
        <v>9015</v>
      </c>
    </row>
    <row r="1056" spans="15:15">
      <c r="O1056" t="s">
        <v>9016</v>
      </c>
    </row>
    <row r="1057" spans="15:15">
      <c r="O1057" t="s">
        <v>9017</v>
      </c>
    </row>
    <row r="1058" spans="15:15">
      <c r="O1058" t="s">
        <v>9018</v>
      </c>
    </row>
    <row r="1059" spans="15:15">
      <c r="O1059" t="s">
        <v>9019</v>
      </c>
    </row>
    <row r="1060" spans="15:15">
      <c r="O1060" t="s">
        <v>9020</v>
      </c>
    </row>
    <row r="1061" spans="15:15">
      <c r="O1061" t="s">
        <v>9021</v>
      </c>
    </row>
  </sheetData>
  <autoFilter ref="A4:I447" xr:uid="{9BBCBF21-5462-43D8-A340-C24639FED6B4}"/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95bc305a-b46b-4a41-8e4f-996452a10042" ContentTypeId="0x0101" PreviousValue="false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ditor0 xmlns="dcf28604-9c48-4809-86b2-b37e9b60638a" xsi:nil="true"/>
    <Title0 xmlns="dcf28604-9c48-4809-86b2-b37e9b60638a" xsi:nil="true"/>
    <_UIVersionString0 xmlns="dcf28604-9c48-4809-86b2-b37e9b60638a" xsi:nil="true"/>
    <Modified0 xmlns="dcf28604-9c48-4809-86b2-b37e9b60638a" xsi:nil="true"/>
    <lcf76f155ced4ddcb4097134ff3c332f xmlns="dcf28604-9c48-4809-86b2-b37e9b60638a">
      <Terms xmlns="http://schemas.microsoft.com/office/infopath/2007/PartnerControls"/>
    </lcf76f155ced4ddcb4097134ff3c332f>
    <LinkFilename0 xmlns="dcf28604-9c48-4809-86b2-b37e9b60638a" xsi:nil="true"/>
    <Created0 xmlns="dcf28604-9c48-4809-86b2-b37e9b60638a" xsi:nil="true"/>
    <Author0 xmlns="dcf28604-9c48-4809-86b2-b37e9b60638a" xsi:nil="true"/>
    <TaxCatchAll xmlns="cf5c5166-6192-4af0-aca9-28ef40b1eed8" xsi:nil="true"/>
    <FileSizeDisplay0 xmlns="dcf28604-9c48-4809-86b2-b37e9b60638a" xsi:nil="true"/>
  </documentManagement>
</p:properti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15E4A10B2E93324C9F3E0324616B3CDD" ma:contentTypeVersion="18" ma:contentTypeDescription="新建文档。" ma:contentTypeScope="" ma:versionID="2f17cdcf603714cbfd2cf16855f78c6e">
  <xsd:schema xmlns:xsd="http://www.w3.org/2001/XMLSchema" xmlns:xs="http://www.w3.org/2001/XMLSchema" xmlns:p="http://schemas.microsoft.com/office/2006/metadata/properties" xmlns:ns2="dcf28604-9c48-4809-86b2-b37e9b60638a" xmlns:ns3="cf5c5166-6192-4af0-aca9-28ef40b1eed8" targetNamespace="http://schemas.microsoft.com/office/2006/metadata/properties" ma:root="true" ma:fieldsID="9f042aa41fd0c6f4344cc1ecaa328f7a" ns2:_="" ns3:_="">
    <xsd:import namespace="dcf28604-9c48-4809-86b2-b37e9b60638a"/>
    <xsd:import namespace="cf5c5166-6192-4af0-aca9-28ef40b1eed8"/>
    <xsd:element name="properties">
      <xsd:complexType>
        <xsd:sequence>
          <xsd:element name="documentManagement">
            <xsd:complexType>
              <xsd:all>
                <xsd:element ref="ns2:LinkFilename0" minOccurs="0"/>
                <xsd:element ref="ns2:Title0" minOccurs="0"/>
                <xsd:element ref="ns2:_UIVersionString0" minOccurs="0"/>
                <xsd:element ref="ns2:FileSizeDisplay0" minOccurs="0"/>
                <xsd:element ref="ns2:Modified0" minOccurs="0"/>
                <xsd:element ref="ns2:Editor0" minOccurs="0"/>
                <xsd:element ref="ns2:Created0" minOccurs="0"/>
                <xsd:element ref="ns2:Author0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f28604-9c48-4809-86b2-b37e9b60638a" elementFormDefault="qualified">
    <xsd:import namespace="http://schemas.microsoft.com/office/2006/documentManagement/types"/>
    <xsd:import namespace="http://schemas.microsoft.com/office/infopath/2007/PartnerControls"/>
    <xsd:element name="LinkFilename0" ma:index="8" nillable="true" ma:displayName="Name" ma:internalName="LinkFilename0">
      <xsd:simpleType>
        <xsd:restriction base="dms:Text"/>
      </xsd:simpleType>
    </xsd:element>
    <xsd:element name="Title0" ma:index="9" nillable="true" ma:displayName="Title" ma:internalName="Title0">
      <xsd:simpleType>
        <xsd:restriction base="dms:Text"/>
      </xsd:simpleType>
    </xsd:element>
    <xsd:element name="_UIVersionString0" ma:index="10" nillable="true" ma:displayName="Version" ma:internalName="_UIVersionString0">
      <xsd:simpleType>
        <xsd:restriction base="dms:Text"/>
      </xsd:simpleType>
    </xsd:element>
    <xsd:element name="FileSizeDisplay0" ma:index="11" nillable="true" ma:displayName="File Size" ma:internalName="FileSizeDisplay0">
      <xsd:simpleType>
        <xsd:restriction base="dms:Text"/>
      </xsd:simpleType>
    </xsd:element>
    <xsd:element name="Modified0" ma:index="12" nillable="true" ma:displayName="Modified" ma:internalName="Modified0">
      <xsd:simpleType>
        <xsd:restriction base="dms:Text"/>
      </xsd:simpleType>
    </xsd:element>
    <xsd:element name="Editor0" ma:index="13" nillable="true" ma:displayName="Modified By" ma:internalName="Editor0">
      <xsd:simpleType>
        <xsd:restriction base="dms:Text"/>
      </xsd:simpleType>
    </xsd:element>
    <xsd:element name="Created0" ma:index="14" nillable="true" ma:displayName="Created" ma:internalName="Created0">
      <xsd:simpleType>
        <xsd:restriction base="dms:Text"/>
      </xsd:simpleType>
    </xsd:element>
    <xsd:element name="Author0" ma:index="15" nillable="true" ma:displayName="Created By" ma:internalName="Author0">
      <xsd:simpleType>
        <xsd:restriction base="dms:Text"/>
      </xsd:simpleType>
    </xsd:element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图像标记" ma:readOnly="false" ma:fieldId="{5cf76f15-5ced-4ddc-b409-7134ff3c332f}" ma:taxonomyMulti="true" ma:sspId="95bc305a-b46b-4a41-8e4f-996452a1004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c5166-6192-4af0-aca9-28ef40b1eed8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27957e2a-c047-4975-b43c-98e4ac17ba2a}" ma:internalName="TaxCatchAll" ma:showField="CatchAllData" ma:web="cf5c5166-6192-4af0-aca9-28ef40b1ee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BBD6E9-F4A4-4EB0-A79F-3CAB05CEDFB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40CE34-BD3F-4295-9CCC-A7BA44E40AF7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AEA7F93C-09F6-465A-8397-E480845D621F}">
  <ds:schemaRefs>
    <ds:schemaRef ds:uri="dcf28604-9c48-4809-86b2-b37e9b60638a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f5c5166-6192-4af0-aca9-28ef40b1eed8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FA539A5-4BB8-4356-A6EF-0F327773B19F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279759C-52A9-4635-8C13-1EFC1A2245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f28604-9c48-4809-86b2-b37e9b60638a"/>
    <ds:schemaRef ds:uri="cf5c5166-6192-4af0-aca9-28ef40b1ee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_V7Batches</vt:lpstr>
      <vt:lpstr>Shipping Program</vt:lpstr>
      <vt:lpstr>Summary overview list</vt:lpstr>
      <vt:lpstr>Detail Shipping planning</vt:lpstr>
      <vt:lpstr>批量恢复结果</vt:lpstr>
      <vt:lpstr>Sheet1</vt:lpstr>
      <vt:lpstr>待处理事项</vt:lpstr>
      <vt:lpstr>PlantList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Wang, Rui (Raya)</dc:creator>
  <cp:keywords/>
  <dc:description/>
  <cp:lastModifiedBy>Liu, Jingqian (Evan)</cp:lastModifiedBy>
  <cp:revision/>
  <dcterms:created xsi:type="dcterms:W3CDTF">2015-06-05T18:17:20Z</dcterms:created>
  <dcterms:modified xsi:type="dcterms:W3CDTF">2026-10-09T04:34:14Z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2025-10-20T07:15:59Z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a4dad407-ff19-487e-9e21-6f8181276c75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bf6de623-ba0c-4b2b-a216-a4bd6e5a0b3a_Tag">
    <vt:lpwstr>10, 3, 0, 1</vt:lpwstr>
  </property>
  <property fmtid="{D5CDD505-2E9C-101B-9397-08002B2CF9AE}" pid="10" name="ContentTypeId">
    <vt:lpwstr>0x01010015E4A10B2E93324C9F3E0324616B3CDD</vt:lpwstr>
  </property>
  <property fmtid="{D5CDD505-2E9C-101B-9397-08002B2CF9AE}" pid="11" name="MediaServiceImageTags">
    <vt:lpwstr/>
  </property>
</Properties>
</file>